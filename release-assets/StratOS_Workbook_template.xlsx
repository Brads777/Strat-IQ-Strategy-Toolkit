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media/image1.png" ContentType="image/png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comments32.xml" ContentType="application/vnd.openxmlformats-officedocument.spreadsheetml.comments+xml"/>
  <Override PartName="/xl/worksheets/_rels/sheet35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20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2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comments20.xml" ContentType="application/vnd.openxmlformats-officedocument.spreadsheetml.comments+xml"/>
  <Override PartName="/xl/theme/theme1.xml" ContentType="application/vnd.openxmlformats-officedocument.theme+xml"/>
  <Override PartName="/xl/comments3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Management Interviews" sheetId="2" state="visible" r:id="rId4"/>
    <sheet name="Industry Overview" sheetId="3" state="visible" r:id="rId5"/>
    <sheet name="Competitive Analysis" sheetId="4" state="visible" r:id="rId6"/>
    <sheet name="PESTEL" sheetId="5" state="visible" r:id="rId7"/>
    <sheet name="Five Forces" sheetId="6" state="visible" r:id="rId8"/>
    <sheet name="Trending Factors" sheetId="7" state="visible" r:id="rId9"/>
    <sheet name="KSF Scorecard" sheetId="8" state="visible" r:id="rId10"/>
    <sheet name="Strategic Mapping" sheetId="9" state="visible" r:id="rId11"/>
    <sheet name="Value Chain" sheetId="10" state="visible" r:id="rId12"/>
    <sheet name="Unit Economics" sheetId="11" state="visible" r:id="rId13"/>
    <sheet name="Resources &amp; Capabilities" sheetId="12" state="visible" r:id="rId14"/>
    <sheet name="VRIO" sheetId="13" state="visible" r:id="rId15"/>
    <sheet name="Full Potential" sheetId="14" state="visible" r:id="rId16"/>
    <sheet name="Growth Barriers" sheetId="15" state="visible" r:id="rId17"/>
    <sheet name="SWOT-TOWS" sheetId="16" state="visible" r:id="rId18"/>
    <sheet name="Positioning" sheetId="17" state="visible" r:id="rId19"/>
    <sheet name="Strategic Options" sheetId="18" state="visible" r:id="rId20"/>
    <sheet name="Decision Matrix" sheetId="19" state="visible" r:id="rId21"/>
    <sheet name="Business Case" sheetId="20" state="visible" r:id="rId22"/>
    <sheet name="Expected Value" sheetId="21" state="visible" r:id="rId23"/>
    <sheet name="Risk Analysis" sheetId="22" state="visible" r:id="rId24"/>
    <sheet name="Pricing" sheetId="23" state="visible" r:id="rId25"/>
    <sheet name="Stress Test" sheetId="24" state="visible" r:id="rId26"/>
    <sheet name="Go-to-Market" sheetId="25" state="visible" r:id="rId27"/>
    <sheet name="Initiatives" sheetId="26" state="visible" r:id="rId28"/>
    <sheet name="Operating Model" sheetId="27" state="visible" r:id="rId29"/>
    <sheet name="Execution Roadmap" sheetId="28" state="visible" r:id="rId30"/>
    <sheet name="Balanced Scorecard" sheetId="29" state="visible" r:id="rId31"/>
    <sheet name="Strategy Map" sheetId="30" state="visible" r:id="rId32"/>
    <sheet name="GLO-BUS CIR" sheetId="31" state="visible" r:id="rId33"/>
    <sheet name="GLO-BUS Planner" sheetId="32" state="visible" r:id="rId34"/>
    <sheet name="Season by Year" sheetId="33" state="visible" r:id="rId35"/>
    <sheet name="Competition by Year" sheetId="34" state="visible" r:id="rId36"/>
    <sheet name="KPI Charts" sheetId="35" state="visible" r:id="rId37"/>
    <sheet name="Findings &amp; Questions" sheetId="36" state="visible" r:id="rId38"/>
  </sheets>
  <definedNames>
    <definedName function="false" hidden="false" name="CreditScale" vbProcedure="false">'Season by Year'!$R$6:$R$26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Example values from the StratOS Business Case template (illustrative).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sharedStrings.xml><?xml version="1.0" encoding="utf-8"?>
<sst xmlns="http://schemas.openxmlformats.org/spreadsheetml/2006/main" count="2037" uniqueCount="1212">
  <si>
    <t xml:space="preserve">StratOS Workbook</t>
  </si>
  <si>
    <t xml:space="preserve">Strategy analysis worksheets</t>
  </si>
  <si>
    <t xml:space="preserve">Template with one example row per sheet. Replace the examples with your own work.</t>
  </si>
  <si>
    <t xml:space="preserve">How to use</t>
  </si>
  <si>
    <t xml:space="preserve">Each sheet is one StratOS step, in process order. Type only in the cream cells (blue text). Grey cells are formulas: they score, rank and flag automatically. Every finding should name its evidence, the same rule StratOS follows.</t>
  </si>
  <si>
    <t xml:space="preserve">Colour key</t>
  </si>
  <si>
    <t xml:space="preserve">Blue on cream = input · black on grey = formula · green / amber / red = status.</t>
  </si>
  <si>
    <t xml:space="preserve">Management Interviews</t>
  </si>
  <si>
    <t xml:space="preserve">Start here. What management told you: the decisions they need made, the goals you must reach, the questions they need answered, nine questions every team answers, your own questions, and the takeaways you hold yourselves to.</t>
  </si>
  <si>
    <t xml:space="preserve">PART 1 · THE INDUSTRY</t>
  </si>
  <si>
    <t xml:space="preserve">Industry Overview</t>
  </si>
  <si>
    <t xml:space="preserve">Setup (scope, competitors, base company) and the industry introduction: market size side by side, a CAGR calculator, segments, top-4 share and HHI, history, life-cycle stage.</t>
  </si>
  <si>
    <t xml:space="preserve">Competitive Analysis</t>
  </si>
  <si>
    <t xml:space="preserve">Each competitor's financials and moat against the peer median, margin rank, moat score, signals, and annual-report seeds for PESTEL.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</si>
  <si>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</si>
  <si>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</si>
  <si>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</si>
  <si>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</si>
  <si>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Trending Factors</t>
  </si>
  <si>
    <t xml:space="preserve">Candidate drivers through the four tests; Driver or Demoted, and a 3-5 driver check.</t>
  </si>
  <si>
    <t xml:space="preserve">KSF Scorecard</t>
  </si>
  <si>
    <t xml:space="preserve">Weighted KSFs, every competitor scored, totals and rank; weights must sum to 100%.</t>
  </si>
  <si>
    <t xml:space="preserve">Strategic Mapping</t>
  </si>
  <si>
    <t xml:space="preserve">Every company scored on two vectors, plotted on a map, and the white-space candidates with ERRC and a capability stamp.</t>
  </si>
  <si>
    <t xml:space="preserve">PART 2 · THE COMPANY</t>
  </si>
  <si>
    <t xml:space="preserve">Value Chain</t>
  </si>
  <si>
    <t xml:space="preserve">Activities by cost share and value share; value minus cost reads as differentiating engine, in balance or value trap.</t>
  </si>
  <si>
    <t xml:space="preserve">Unit Economics</t>
  </si>
  <si>
    <t xml:space="preserve">Contribution, break-even, margin of safety, LTV, LTV/CAC, CAC payback and a sensitivity table (J-1).</t>
  </si>
  <si>
    <t xml:space="preserve">Resources &amp; Capabilities</t>
  </si>
  <si>
    <t xml:space="preserve">Resources, capabilities (threshold or distinctive) and core competencies.</t>
  </si>
  <si>
    <t xml:space="preserve">VRIO</t>
  </si>
  <si>
    <t xml:space="preserve">Yes / No / ? for each test; the verdict and the KSF reality check are calculated.</t>
  </si>
  <si>
    <t xml:space="preserve">Full Potential</t>
  </si>
  <si>
    <t xml:space="preserve">The profit gap to benchmark, driver by driver in sequence, with a bridge chart (K-1).</t>
  </si>
  <si>
    <t xml:space="preserve">Growth Barriers</t>
  </si>
  <si>
    <t xml:space="preserve">Six barriers marked binding, tight or slack; the binding constraint is named (K-2).</t>
  </si>
  <si>
    <t xml:space="preserve">SWOT-TOWS</t>
  </si>
  <si>
    <t xml:space="preserve">Four traced lists and the TOWS options that pair them.</t>
  </si>
  <si>
    <t xml:space="preserve">PART 3 · THE STRATEGY</t>
  </si>
  <si>
    <t xml:space="preserve">Positioning</t>
  </si>
  <si>
    <t xml:space="preserve">The strategy you chose, in your words, and five fit tests including management fit.</t>
  </si>
  <si>
    <t xml:space="preserve">Strategic Options</t>
  </si>
  <si>
    <t xml:space="preserve">SCQ framing and three or more options plus do nothing, each staged with a gate (P).</t>
  </si>
  <si>
    <t xml:space="preserve">Decision Matrix</t>
  </si>
  <si>
    <t xml:space="preserve">Criteria weights × option scores, with a weighted total and rank; do nothing included.</t>
  </si>
  <si>
    <t xml:space="preserve">Business Case</t>
  </si>
  <si>
    <t xml:space="preserve">Driver-based cash flows, NPV, IRR and cumulative cash (Q-1).</t>
  </si>
  <si>
    <t xml:space="preserve">Expected Value</t>
  </si>
  <si>
    <t xml:space="preserve">Scenario probabilities × NPVs, expected NPV, worst case, maximin, value of information, and a Bayes' rule pilot check (Q-2).</t>
  </si>
  <si>
    <t xml:space="preserve">Risk Analysis</t>
  </si>
  <si>
    <t xml:space="preserve">A tornado chart and a 1,000-run Monte Carlo simulation over your low / likely / high ranges (Q-3).</t>
  </si>
  <si>
    <t xml:space="preserve">Pricing</t>
  </si>
  <si>
    <t xml:space="preserve">Optional: price points against expected volume; the profit-maximising price inside the acceptable range.</t>
  </si>
  <si>
    <t xml:space="preserve">Stress Test</t>
  </si>
  <si>
    <t xml:space="preserve">Assumption audit with headroom, competitor war-game, and a risk register with owners and triggers (R).</t>
  </si>
  <si>
    <t xml:space="preserve">Go-to-Market</t>
  </si>
  <si>
    <t xml:space="preserve">Beachhead, ICP, a channel funnel worked back to CAC, CAC checked against LTV, launch phases (T).</t>
  </si>
  <si>
    <t xml:space="preserve">Initiatives</t>
  </si>
  <si>
    <t xml:space="preserve">RICE scores and rank; every initiative traces to a finding (S).</t>
  </si>
  <si>
    <t xml:space="preserve">Operating Model</t>
  </si>
  <si>
    <t xml:space="preserve">Decision rights (RAPID) and a stakeholder power-interest map.</t>
  </si>
  <si>
    <t xml:space="preserve">Execution Roadmap</t>
  </si>
  <si>
    <t xml:space="preserve">First 100 days as bars by week, milestones and stage gates (S).</t>
  </si>
  <si>
    <t xml:space="preserve">Balanced Scorecard</t>
  </si>
  <si>
    <t xml:space="preserve">Objectives and measures in four perspectives, leading vs lagging, status vs target, balance check (U).</t>
  </si>
  <si>
    <t xml:space="preserve">Strategy Map</t>
  </si>
  <si>
    <t xml:space="preserve">Objectives by perspective and their cause-and-effect links (U).</t>
  </si>
  <si>
    <t xml:space="preserve">GLO-BUS</t>
  </si>
  <si>
    <t xml:space="preserve">GLO-BUS CIR</t>
  </si>
  <si>
    <t xml:space="preserve">Paste the CIR figures; each company is placed in a strategic group automatically.</t>
  </si>
  <si>
    <t xml:space="preserve">GLO-BUS Planner</t>
  </si>
  <si>
    <t xml:space="preserve">Plan every decision for each year in screen order; flags big changes and years where price and advertising are both cut. You enter the decisions in GLO-BUS yourself.</t>
  </si>
  <si>
    <t xml:space="preserve">Season by Year</t>
  </si>
  <si>
    <t xml:space="preserve">All years on one tab: every decision entered (top) and every result (below), each year followed by its change (▲ ▼, green = better). The first columns stay put as you scroll.</t>
  </si>
  <si>
    <t xml:space="preserve">Competition by Year</t>
  </si>
  <si>
    <t xml:space="preserve">Every company's score, rank, KPIs, price, P/Q and share by year with the change, from the class-wide reports only, plus your rank on each measure.</t>
  </si>
  <si>
    <t xml:space="preserve">KPI Charts</t>
  </si>
  <si>
    <t xml:space="preserve">Graphs of how you're doing: KPIs vs investor expectations, score by company, rank, share, cost per unit and position vs the industry, revenue, profit and margins.</t>
  </si>
  <si>
    <t xml:space="preserve">Findings &amp; Questions</t>
  </si>
  <si>
    <t xml:space="preserve">Findings, watch items and questions to consider, year by year (filled from the weekly review), with the team's response and status.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</si>
  <si>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</si>
  <si>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</si>
  <si>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StratOS Strategy Lab · Apache-2.0</t>
  </si>
  <si>
    <t xml:space="preserve">What management told you, in their words. It sets up everything after it: the memo's Key Issues and Exhibit B, the decision criteria, the strategy you choose, and the weekly check.</t>
  </si>
  <si>
    <t xml:space="preserve">Blue text on cream = your inputs.  Black on grey = formulas (do not type over them).  Delete the example row before you start.</t>
  </si>
  <si>
    <t xml:space="preserve">1. Key issues from the interview  (these become your memo's Key Issues and Exhibit B)</t>
  </si>
  <si>
    <t xml:space="preserve">Central problem: the decision management needs made</t>
  </si>
  <si>
    <t xml:space="preserve">[e.g. How should Company C position cameras and drones to beat investor expectations over the season?]</t>
  </si>
  <si>
    <t xml:space="preserve">#</t>
  </si>
  <si>
    <t xml:space="preserve">Decisions management needs us to make</t>
  </si>
  <si>
    <t xml:space="preserve">By when</t>
  </si>
  <si>
    <t xml:space="preserve">Notes</t>
  </si>
  <si>
    <t xml:space="preserve">D1</t>
  </si>
  <si>
    <t xml:space="preserve">[e.g. Choose a competitive strategy for each product line]</t>
  </si>
  <si>
    <t xml:space="preserve">Year 6</t>
  </si>
  <si>
    <t xml:space="preserve">D2</t>
  </si>
  <si>
    <t xml:space="preserve">D3</t>
  </si>
  <si>
    <t xml:space="preserve">D4</t>
  </si>
  <si>
    <t xml:space="preserve">D5</t>
  </si>
  <si>
    <t xml:space="preserve">Required goals (the decision criteria come from these)</t>
  </si>
  <si>
    <t xml:space="preserve">Measure / KPI</t>
  </si>
  <si>
    <t xml:space="preserve">Target</t>
  </si>
  <si>
    <t xml:space="preserve">B1</t>
  </si>
  <si>
    <t xml:space="preserve">[e.g. Beat investor expectations for EPS every year]</t>
  </si>
  <si>
    <t xml:space="preserve">EPS</t>
  </si>
  <si>
    <t xml:space="preserve">[from the scoreboard]</t>
  </si>
  <si>
    <t xml:space="preserve">Every year</t>
  </si>
  <si>
    <t xml:space="preserve">B2</t>
  </si>
  <si>
    <t xml:space="preserve">B3</t>
  </si>
  <si>
    <t xml:space="preserve">B4</t>
  </si>
  <si>
    <t xml:space="preserve">B5</t>
  </si>
  <si>
    <t xml:space="preserve">Questions management needs answered</t>
  </si>
  <si>
    <t xml:space="preserve">Why it matters to them</t>
  </si>
  <si>
    <t xml:space="preserve">Q1</t>
  </si>
  <si>
    <t xml:space="preserve">[e.g. Can we grow share without hurting the credit rating?]</t>
  </si>
  <si>
    <t xml:space="preserve">[their reason]</t>
  </si>
  <si>
    <t xml:space="preserve">Q2</t>
  </si>
  <si>
    <t xml:space="preserve">Q3</t>
  </si>
  <si>
    <t xml:space="preserve">Q4</t>
  </si>
  <si>
    <t xml:space="preserve">Q5</t>
  </si>
  <si>
    <t xml:space="preserve">2. Questions every team must answer</t>
  </si>
  <si>
    <t xml:space="preserve">Area</t>
  </si>
  <si>
    <t xml:space="preserve">Question</t>
  </si>
  <si>
    <t xml:space="preserve">What management said</t>
  </si>
  <si>
    <t xml:space="preserve">Their words (quote)</t>
  </si>
  <si>
    <t xml:space="preserve">What it means for our strategy</t>
  </si>
  <si>
    <t xml:space="preserve">Touches</t>
  </si>
  <si>
    <t xml:space="preserve">How sure</t>
  </si>
  <si>
    <t xml:space="preserve">Follow-up question</t>
  </si>
  <si>
    <t xml:space="preserve">M1</t>
  </si>
  <si>
    <t xml:space="preserve">Goals</t>
  </si>
  <si>
    <t xml:space="preserve">Which scored measures matter most to management: EPS, ROE, stock price, credit rating or image rating?</t>
  </si>
  <si>
    <t xml:space="preserve">[e.g. EPS and the credit rating come first]</t>
  </si>
  <si>
    <t xml:space="preserve">["We will not take on debt that risks our rating."]</t>
  </si>
  <si>
    <t xml:space="preserve">[e.g. Growth must be funded mostly from earnings]</t>
  </si>
  <si>
    <t xml:space="preserve">Credit rating</t>
  </si>
  <si>
    <t xml:space="preserve">Stated</t>
  </si>
  <si>
    <t xml:space="preserve">M2</t>
  </si>
  <si>
    <t xml:space="preserve">What would management call a successful season, and what would be a failure?</t>
  </si>
  <si>
    <t xml:space="preserve">M3</t>
  </si>
  <si>
    <t xml:space="preserve">Strategy</t>
  </si>
  <si>
    <t xml:space="preserve">What strategy does management favour for cameras, and for drones? Why?</t>
  </si>
  <si>
    <t xml:space="preserve">M4</t>
  </si>
  <si>
    <t xml:space="preserve">Markets</t>
  </si>
  <si>
    <t xml:space="preserve">Are there regions or segments management wants to lead in, or to avoid?</t>
  </si>
  <si>
    <t xml:space="preserve">M5</t>
  </si>
  <si>
    <t xml:space="preserve">Risk</t>
  </si>
  <si>
    <t xml:space="preserve">How much risk will management accept: debt, issuing stock, dividends, the lowest credit rating it will tolerate?</t>
  </si>
  <si>
    <t xml:space="preserve">M6</t>
  </si>
  <si>
    <t xml:space="preserve">Brand</t>
  </si>
  <si>
    <t xml:space="preserve">Are there minimum quality, warranty, image or CSR standards the company must keep?</t>
  </si>
  <si>
    <t xml:space="preserve">M7</t>
  </si>
  <si>
    <t xml:space="preserve">Operations</t>
  </si>
  <si>
    <t xml:space="preserve">What are management's views on capacity, workforce and pay?</t>
  </si>
  <si>
    <t xml:space="preserve">M8</t>
  </si>
  <si>
    <t xml:space="preserve">Rivals</t>
  </si>
  <si>
    <t xml:space="preserve">What does management expect competitors to do?</t>
  </si>
  <si>
    <t xml:space="preserve">M9</t>
  </si>
  <si>
    <t xml:space="preserve">Decision rights</t>
  </si>
  <si>
    <t xml:space="preserve">Which decisions must the team check with management before entering them?</t>
  </si>
  <si>
    <t xml:space="preserve">3. Our own questions  (anything else the team asked)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</si>
  <si>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</si>
  <si>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</si>
  <si>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</si>
  <si>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</si>
  <si>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</si>
  <si>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</si>
  <si>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</si>
  <si>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</si>
  <si>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4. Management brief: the takeaways we hold ourselves to</t>
  </si>
  <si>
    <t xml:space="preserve">Takeaway</t>
  </si>
  <si>
    <t xml:space="preserve">From (row)</t>
  </si>
  <si>
    <t xml:space="preserve">How we'll check it each round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</si>
  <si>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</si>
  <si>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</si>
  <si>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</si>
  <si>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</si>
  <si>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</si>
  <si>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Completeness</t>
  </si>
  <si>
    <t xml:space="preserve">Record what management said, not what you hoped they meant. Mark anything you are inferring as 'Our interpretation'. This sheet stays with your team.</t>
  </si>
  <si>
    <t xml:space="preserve">Setup and Industry Overview</t>
  </si>
  <si>
    <t xml:space="preserve">Part 1, steps 1-2. The scope every later step uses, and the business-plan-style introduction to the industry. Cite a source for every figure.</t>
  </si>
  <si>
    <t xml:space="preserve">Scope (from setup)</t>
  </si>
  <si>
    <t xml:space="preserve">Industry</t>
  </si>
  <si>
    <t xml:space="preserve">[e.g. Global passenger electric vehicles]</t>
  </si>
  <si>
    <t xml:space="preserve">In scope / out of scope</t>
  </si>
  <si>
    <t xml:space="preserve">[e.g. BEV + PHEV cars; excludes trucks]</t>
  </si>
  <si>
    <t xml:space="preserve">Geography</t>
  </si>
  <si>
    <t xml:space="preserve">Global</t>
  </si>
  <si>
    <t xml:space="preserve">Horizon</t>
  </si>
  <si>
    <t xml:space="preserve">2026-2030</t>
  </si>
  <si>
    <t xml:space="preserve">Competitor set</t>
  </si>
  <si>
    <t xml:space="preserve">[e.g. BYD, Tesla, VW Group]</t>
  </si>
  <si>
    <t xml:space="preserve">Base company</t>
  </si>
  <si>
    <t xml:space="preserve">[e.g. BYD]</t>
  </si>
  <si>
    <t xml:space="preserve">Market size (estimates differ by definition: show them side by side)</t>
  </si>
  <si>
    <t xml:space="preserve">Value</t>
  </si>
  <si>
    <t xml:space="preserve">Unit</t>
  </si>
  <si>
    <t xml:space="preserve">Year</t>
  </si>
  <si>
    <t xml:space="preserve">Publisher</t>
  </si>
  <si>
    <t xml:space="preserve">Definition</t>
  </si>
  <si>
    <t xml:space="preserve">Matches scope?</t>
  </si>
  <si>
    <t xml:space="preserve">million units</t>
  </si>
  <si>
    <t xml:space="preserve">[publisher]</t>
  </si>
  <si>
    <t xml:space="preserve">BEV + PHEV car sales</t>
  </si>
  <si>
    <t xml:space="preserve">Yes</t>
  </si>
  <si>
    <t xml:space="preserve">Growth: compound annual growth rate calculator</t>
  </si>
  <si>
    <t xml:space="preserve">Start value</t>
  </si>
  <si>
    <t xml:space="preserve">End value</t>
  </si>
  <si>
    <t xml:space="preserve">Number of years</t>
  </si>
  <si>
    <t xml:space="preserve">CAGR</t>
  </si>
  <si>
    <t xml:space="preserve">Forecast: publisher</t>
  </si>
  <si>
    <t xml:space="preserve">To year</t>
  </si>
  <si>
    <t xml:space="preserve">Published</t>
  </si>
  <si>
    <t xml:space="preserve">Segments and customers</t>
  </si>
  <si>
    <t xml:space="preserve">Segment</t>
  </si>
  <si>
    <t xml:space="preserve">Share</t>
  </si>
  <si>
    <t xml:space="preserve">Growth</t>
  </si>
  <si>
    <t xml:space="preserve">Who buys, and why</t>
  </si>
  <si>
    <t xml:space="preserve">Key players and concentration</t>
  </si>
  <si>
    <t xml:space="preserve">Company</t>
  </si>
  <si>
    <t xml:space="preserve">Market share</t>
  </si>
  <si>
    <t xml:space="preserve">[Leader 1]</t>
  </si>
  <si>
    <t xml:space="preserve">Top-4 share</t>
  </si>
  <si>
    <t xml:space="preserve">[Leader 2]</t>
  </si>
  <si>
    <t xml:space="preserve">HHI (shares listed)</t>
  </si>
  <si>
    <t xml:space="preserve">[Leader 3]</t>
  </si>
  <si>
    <t xml:space="preserve">Below 1,500 unconcentrated; above 2,500 highly concentrated.</t>
  </si>
  <si>
    <t xml:space="preserve">[Leader 4]</t>
  </si>
  <si>
    <t xml:space="preserve">Recent history: the events that explain today's structure</t>
  </si>
  <si>
    <t xml:space="preserve">Event</t>
  </si>
  <si>
    <t xml:space="preserve">Why it mattered</t>
  </si>
  <si>
    <t xml:space="preserve">Life-cycle stage</t>
  </si>
  <si>
    <t xml:space="preserve">Stage</t>
  </si>
  <si>
    <t xml:space="preserve">growth</t>
  </si>
  <si>
    <t xml:space="preserve">What it implies</t>
  </si>
  <si>
    <t xml:space="preserve">Part 1, step 3. Each competitor's financials, moat and signals, benchmarked against the peer median. Same fiscal year for all; note the currency.</t>
  </si>
  <si>
    <t xml:space="preserve">Financial benchmark and moat</t>
  </si>
  <si>
    <t xml:space="preserve">Fiscal year</t>
  </si>
  <si>
    <t xml:space="preserve">Currency</t>
  </si>
  <si>
    <t xml:space="preserve">Revenue (m)</t>
  </si>
  <si>
    <t xml:space="preserve">Gross margin</t>
  </si>
  <si>
    <t xml:space="preserve">Op. margin</t>
  </si>
  <si>
    <t xml:space="preserve">R&amp;D % rev.</t>
  </si>
  <si>
    <t xml:space="preserve">Moat: network</t>
  </si>
  <si>
    <t xml:space="preserve">Moat: switching</t>
  </si>
  <si>
    <t xml:space="preserve">Moat: scale</t>
  </si>
  <si>
    <t xml:space="preserve">Moat: intangibles</t>
  </si>
  <si>
    <t xml:space="preserve">Apparent strategy</t>
  </si>
  <si>
    <t xml:space="preserve">[Firm A]</t>
  </si>
  <si>
    <t xml:space="preserve">FY2025</t>
  </si>
  <si>
    <t xml:space="preserve">USD</t>
  </si>
  <si>
    <t xml:space="preserve">weak</t>
  </si>
  <si>
    <t xml:space="preserve">moderate</t>
  </si>
  <si>
    <t xml:space="preserve">strong</t>
  </si>
  <si>
    <t xml:space="preserve">[cost leader at scale]</t>
  </si>
  <si>
    <t xml:space="preserve">[Firm B]</t>
  </si>
  <si>
    <t xml:space="preserve">[premium tech brand]</t>
  </si>
  <si>
    <t xml:space="preserve">Peer median</t>
  </si>
  <si>
    <t xml:space="preserve">Op. margin vs median</t>
  </si>
  <si>
    <t xml:space="preserve">Margin rank</t>
  </si>
  <si>
    <t xml:space="preserve">Moat score (0-8)</t>
  </si>
  <si>
    <t xml:space="preserve">Signals: what competitors are doing (hiring, patents, launches, capex, pricing)</t>
  </si>
  <si>
    <t xml:space="preserve">Kind</t>
  </si>
  <si>
    <t xml:space="preserve">Observation</t>
  </si>
  <si>
    <t xml:space="preserve">What it suggests</t>
  </si>
  <si>
    <t xml:space="preserve">Annual-report seeds for PESTEL (risk factors and management discussion)</t>
  </si>
  <si>
    <t xml:space="preserve">Text</t>
  </si>
  <si>
    <t xml:space="preserve">P&amp;L line</t>
  </si>
  <si>
    <t xml:space="preserve">Firms citing it</t>
  </si>
  <si>
    <t xml:space="preserve">PESTEL Analysis</t>
  </si>
  <si>
    <t xml:space="preserve">Macro findings, each tied to a P&amp;L line. Priority = impact × certainty (1-25).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</si>
  <si>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</si>
  <si>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</si>
  <si>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</si>
  <si>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</si>
  <si>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</si>
  <si>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</si>
  <si>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</si>
  <si>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Source / evidence</t>
  </si>
  <si>
    <t xml:space="preserve">P1</t>
  </si>
  <si>
    <t xml:space="preserve">Economic</t>
  </si>
  <si>
    <t xml:space="preserve">Battery cell prices keep falling as LFP capacity grows</t>
  </si>
  <si>
    <t xml:space="preserve">+</t>
  </si>
  <si>
    <t xml:space="preserve">cogs.inputs</t>
  </si>
  <si>
    <t xml:space="preserve">Example: industry price survey, 2026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</si>
  <si>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</si>
  <si>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</si>
  <si>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</si>
  <si>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</si>
  <si>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</si>
  <si>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</si>
  <si>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</si>
  <si>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</si>
  <si>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</si>
  <si>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</si>
  <si>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</si>
  <si>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</si>
  <si>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</si>
  <si>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</si>
  <si>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</si>
  <si>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</si>
  <si>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Example: top three cell makers hold most global capacity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</si>
  <si>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</si>
  <si>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</si>
  <si>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</si>
  <si>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</si>
  <si>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</si>
  <si>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</si>
  <si>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</si>
  <si>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</si>
  <si>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</si>
  <si>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</si>
  <si>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</si>
  <si>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</si>
  <si>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</si>
  <si>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</si>
  <si>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</si>
  <si>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</si>
  <si>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</si>
  <si>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</si>
  <si>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</si>
  <si>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</si>
  <si>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</si>
  <si>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</si>
  <si>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</si>
  <si>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</si>
  <si>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</si>
  <si>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Trending Influence Factors</t>
  </si>
  <si>
    <t xml:space="preserve">Part 1, step 6. Candidates from PESTEL and Competitive Analysis; a driver must pass all four tests. Keep 3-5.</t>
  </si>
  <si>
    <t xml:space="preserve">Candidate driver</t>
  </si>
  <si>
    <t xml:space="preserve">From (PESTEL / CI ids)</t>
  </si>
  <si>
    <t xml:space="preserve">Mechanism → P&amp;L</t>
  </si>
  <si>
    <t xml:space="preserve">Forces moved</t>
  </si>
  <si>
    <t xml:space="preserve">Moves a force ≥1 pt?</t>
  </si>
  <si>
    <t xml:space="preserve">Moves P&amp;L for most firms?</t>
  </si>
  <si>
    <t xml:space="preserve">Acts within horizon?</t>
  </si>
  <si>
    <t xml:space="preserve">Two source types?</t>
  </si>
  <si>
    <t xml:space="preserve">Verdict</t>
  </si>
  <si>
    <t xml:space="preserve">Profit pool</t>
  </si>
  <si>
    <t xml:space="preserve">[Battery cost curve]</t>
  </si>
  <si>
    <t xml:space="preserve">[cheaper cells → lower input cost]</t>
  </si>
  <si>
    <t xml:space="preserve">suppliers</t>
  </si>
  <si>
    <t xml:space="preserve">redistributing</t>
  </si>
  <si>
    <t xml:space="preserve">[Fuel-price spike]</t>
  </si>
  <si>
    <t xml:space="preserve">P7</t>
  </si>
  <si>
    <t xml:space="preserve">[one-off demand pull]</t>
  </si>
  <si>
    <t xml:space="preserve">revenue.volume</t>
  </si>
  <si>
    <t xml:space="preserve">substitutes</t>
  </si>
  <si>
    <t xml:space="preserve">No</t>
  </si>
  <si>
    <t xml:space="preserve">expanding</t>
  </si>
  <si>
    <t xml:space="preserve">Drivers kept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</si>
  <si>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</si>
  <si>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</si>
  <si>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</si>
  <si>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</si>
  <si>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</si>
  <si>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BYD</t>
  </si>
  <si>
    <t xml:space="preserve">Stellantis</t>
  </si>
  <si>
    <t xml:space="preserve">Xiaomi</t>
  </si>
  <si>
    <t xml:space="preserve">Competitor 4</t>
  </si>
  <si>
    <t xml:space="preserve">Competitor 5</t>
  </si>
  <si>
    <t xml:space="preserve">Competitor 6</t>
  </si>
  <si>
    <t xml:space="preserve">Battery cost per kWh</t>
  </si>
  <si>
    <t xml:space="preserve">suppliers, D2</t>
  </si>
  <si>
    <t xml:space="preserve">Weight check (must be 100%)</t>
  </si>
  <si>
    <t xml:space="preserve">Weighted score (out of 5)</t>
  </si>
  <si>
    <t xml:space="preserve">Rank</t>
  </si>
  <si>
    <t xml:space="preserve">Part 1, step 8. Score each company on two vectors (0-10), see the map, then list the white space and stamp each candidate after VRIO.</t>
  </si>
  <si>
    <t xml:space="preserve">Horizontal axis (vector)</t>
  </si>
  <si>
    <t xml:space="preserve">[e.g. Ecosystem integration]</t>
  </si>
  <si>
    <t xml:space="preserve">Vertical axis (vector)</t>
  </si>
  <si>
    <t xml:space="preserve">[e.g. Resale value]</t>
  </si>
  <si>
    <t xml:space="preserve">X score (0-10)</t>
  </si>
  <si>
    <t xml:space="preserve">Y score (0-10)</t>
  </si>
  <si>
    <t xml:space="preserve">Size (share or revenue)</t>
  </si>
  <si>
    <t xml:space="preserve">[Firm C]</t>
  </si>
  <si>
    <t xml:space="preserve">White space and blue-ocean candidates</t>
  </si>
  <si>
    <t xml:space="preserve">X</t>
  </si>
  <si>
    <t xml:space="preserve">Y</t>
  </si>
  <si>
    <t xml:space="preserve">Demand</t>
  </si>
  <si>
    <t xml:space="preserve">Thesis</t>
  </si>
  <si>
    <t xml:space="preserve">Eliminate</t>
  </si>
  <si>
    <t xml:space="preserve">Reduce</t>
  </si>
  <si>
    <t xml:space="preserve">Raise</t>
  </si>
  <si>
    <t xml:space="preserve">Create</t>
  </si>
  <si>
    <t xml:space="preserve">Capability (after VRIO)</t>
  </si>
  <si>
    <t xml:space="preserve">unpriced</t>
  </si>
  <si>
    <t xml:space="preserve">[the empty corner and who it serves]</t>
  </si>
  <si>
    <t xml:space="preserve">[…]</t>
  </si>
  <si>
    <t xml:space="preserve">UNVALIDATED</t>
  </si>
  <si>
    <t xml:space="preserve">Part 2, step 9. Each activity's share of cost and of the value customers pay for. Value minus cost shows where the firm earns its margin.</t>
  </si>
  <si>
    <t xml:space="preserve">Activity</t>
  </si>
  <si>
    <t xml:space="preserve">Porter category</t>
  </si>
  <si>
    <t xml:space="preserve">Sourcing</t>
  </si>
  <si>
    <t xml:space="preserve">Cost share</t>
  </si>
  <si>
    <t xml:space="preserve">Value share</t>
  </si>
  <si>
    <t xml:space="preserve">Value − cost</t>
  </si>
  <si>
    <t xml:space="preserve">Reading</t>
  </si>
  <si>
    <t xml:space="preserve">Delivers KSF</t>
  </si>
  <si>
    <t xml:space="preserve">A1</t>
  </si>
  <si>
    <t xml:space="preserve">[Battery cells and packs]</t>
  </si>
  <si>
    <t xml:space="preserve">product</t>
  </si>
  <si>
    <t xml:space="preserve">in-house</t>
  </si>
  <si>
    <t xml:space="preserve">A2</t>
  </si>
  <si>
    <t xml:space="preserve">[Software and connected services]</t>
  </si>
  <si>
    <t xml:space="preserve">Technology</t>
  </si>
  <si>
    <t xml:space="preserve">custom</t>
  </si>
  <si>
    <t xml:space="preserve">Totals</t>
  </si>
  <si>
    <t xml:space="preserve">Unit Economics (Exhibit J-1)</t>
  </si>
  <si>
    <t xml:space="preserve">Part 2, step 10. Does one more unit make money, and what does a customer cost? Matches unit_economics.py.</t>
  </si>
  <si>
    <t xml:space="preserve">Inputs</t>
  </si>
  <si>
    <t xml:space="preserve">Results</t>
  </si>
  <si>
    <t xml:space="preserve">one vehicle</t>
  </si>
  <si>
    <t xml:space="preserve">Contribution per unit</t>
  </si>
  <si>
    <t xml:space="preserve">Price per unit</t>
  </si>
  <si>
    <t xml:space="preserve">Contribution margin</t>
  </si>
  <si>
    <t xml:space="preserve">Variable cost per unit</t>
  </si>
  <si>
    <t xml:space="preserve">Break-even volume</t>
  </si>
  <si>
    <t xml:space="preserve">Fixed costs per period</t>
  </si>
  <si>
    <t xml:space="preserve">Margin of safety</t>
  </si>
  <si>
    <t xml:space="preserve">Volume per period</t>
  </si>
  <si>
    <t xml:space="preserve">Operating profit</t>
  </si>
  <si>
    <t xml:space="preserve">Customer acquisition cost (CAC)</t>
  </si>
  <si>
    <t xml:space="preserve">Annual contribution per customer</t>
  </si>
  <si>
    <t xml:space="preserve">Units per customer per year</t>
  </si>
  <si>
    <t xml:space="preserve">Customer lifetime (years, max 10)</t>
  </si>
  <si>
    <t xml:space="preserve">Retention (share kept each year)</t>
  </si>
  <si>
    <t xml:space="preserve">Lifetime value (LTV)</t>
  </si>
  <si>
    <t xml:space="preserve">Discount rate</t>
  </si>
  <si>
    <t xml:space="preserve">LTV / CAC</t>
  </si>
  <si>
    <t xml:space="preserve">Service margin per customer per year</t>
  </si>
  <si>
    <t xml:space="preserve">CAC payback (months)</t>
  </si>
  <si>
    <t xml:space="preserve">Sensitivity: operating profit when one input moves</t>
  </si>
  <si>
    <t xml:space="preserve">Input</t>
  </si>
  <si>
    <t xml:space="preserve">−10%</t>
  </si>
  <si>
    <t xml:space="preserve">Plan</t>
  </si>
  <si>
    <t xml:space="preserve">+10%</t>
  </si>
  <si>
    <t xml:space="preserve">Price</t>
  </si>
  <si>
    <t xml:space="preserve">Variable cost</t>
  </si>
  <si>
    <t xml:space="preserve">Volume</t>
  </si>
  <si>
    <t xml:space="preserve">Fixed costs</t>
  </si>
  <si>
    <t xml:space="preserve">Resources and Capabilities</t>
  </si>
  <si>
    <t xml:space="preserve">Part 2, step 11. What the firm owns, what it does well, and which capabilities might be core competencies (VRIO tests them next).</t>
  </si>
  <si>
    <t xml:space="preserve">Resources</t>
  </si>
  <si>
    <t xml:space="preserve">Resource</t>
  </si>
  <si>
    <t xml:space="preserve">Type</t>
  </si>
  <si>
    <t xml:space="preserve">Measure or evidence</t>
  </si>
  <si>
    <t xml:space="preserve">R1</t>
  </si>
  <si>
    <t xml:space="preserve">[In-house cell plants]</t>
  </si>
  <si>
    <t xml:space="preserve">tangible</t>
  </si>
  <si>
    <t xml:space="preserve">[GWh of capacity]</t>
  </si>
  <si>
    <t xml:space="preserve">R2</t>
  </si>
  <si>
    <t xml:space="preserve">[Brand in home market]</t>
  </si>
  <si>
    <t xml:space="preserve">intangible</t>
  </si>
  <si>
    <t xml:space="preserve">[NPS / share]</t>
  </si>
  <si>
    <t xml:space="preserve">Capabilities</t>
  </si>
  <si>
    <t xml:space="preserve">Capability</t>
  </si>
  <si>
    <t xml:space="preserve">Combines (resources)</t>
  </si>
  <si>
    <t xml:space="preserve">Performance evidence</t>
  </si>
  <si>
    <t xml:space="preserve">From activity</t>
  </si>
  <si>
    <t xml:space="preserve">Class</t>
  </si>
  <si>
    <t xml:space="preserve">C1</t>
  </si>
  <si>
    <t xml:space="preserve">[Vertical battery integration]</t>
  </si>
  <si>
    <t xml:space="preserve">[cost per kWh below peers]</t>
  </si>
  <si>
    <t xml:space="preserve">distinctive</t>
  </si>
  <si>
    <t xml:space="preserve">Core competencies (Prahalad and Hamel: customer benefit, hard to imitate, extendable)</t>
  </si>
  <si>
    <t xml:space="preserve">Customer benefit (KSF)</t>
  </si>
  <si>
    <t xml:space="preserve">Hard to imitate because</t>
  </si>
  <si>
    <t xml:space="preserve">Extends to</t>
  </si>
  <si>
    <t xml:space="preserve">Status</t>
  </si>
  <si>
    <t xml:space="preserve">Counts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</si>
  <si>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</si>
  <si>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</si>
  <si>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</si>
  <si>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Valuable?</t>
  </si>
  <si>
    <t xml:space="preserve">Rare?</t>
  </si>
  <si>
    <t xml:space="preserve">Inimitable?</t>
  </si>
  <si>
    <t xml:space="preserve">Organized?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</si>
  <si>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</si>
  <si>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</si>
  <si>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</si>
  <si>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</si>
  <si>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Blade-cell battery know-how</t>
  </si>
  <si>
    <t xml:space="preserve">capability</t>
  </si>
  <si>
    <t xml:space="preserve">Example: patents and cost lead in filings</t>
  </si>
  <si>
    <t xml:space="preserve">Full Potential (Exhibit K-1)</t>
  </si>
  <si>
    <t xml:space="preserve">Part 2, step 14. The profit gap to a benchmark, driver by driver, applied in sequence so overlaps count once. A ceiling, not a forecast. Matches full_potential.py.</t>
  </si>
  <si>
    <t xml:space="preserve">Driver</t>
  </si>
  <si>
    <t xml:space="preserve">Today</t>
  </si>
  <si>
    <t xml:space="preserve">Benchmark</t>
  </si>
  <si>
    <t xml:space="preserve">Benchmark source</t>
  </si>
  <si>
    <t xml:space="preserve">Controllability</t>
  </si>
  <si>
    <t xml:space="preserve">Value after step</t>
  </si>
  <si>
    <t xml:space="preserve">Gap captured</t>
  </si>
  <si>
    <t xml:space="preserve">peer median</t>
  </si>
  <si>
    <t xml:space="preserve">controllable</t>
  </si>
  <si>
    <t xml:space="preserve">Mix premium per unit</t>
  </si>
  <si>
    <t xml:space="preserve">Operating profit today</t>
  </si>
  <si>
    <t xml:space="preserve">Full-potential operating profit</t>
  </si>
  <si>
    <t xml:space="preserve">Uplift</t>
  </si>
  <si>
    <t xml:space="preserve">Largest gap</t>
  </si>
  <si>
    <t xml:space="preserve">Growth Barriers (Exhibit K-2)</t>
  </si>
  <si>
    <t xml:space="preserve">Part 2, step 15. Which constraint binds growth now? Exactly one should be binding; lifting it is what unlocks the next stage.</t>
  </si>
  <si>
    <t xml:space="preserve">Barrier</t>
  </si>
  <si>
    <t xml:space="preserve">What lifting it unlocks</t>
  </si>
  <si>
    <t xml:space="preserve">Demand: enough customers want it</t>
  </si>
  <si>
    <t xml:space="preserve">slack</t>
  </si>
  <si>
    <t xml:space="preserve">Supply / capacity</t>
  </si>
  <si>
    <t xml:space="preserve">Capability / talent</t>
  </si>
  <si>
    <t xml:space="preserve">Capital / funding</t>
  </si>
  <si>
    <t xml:space="preserve">tight</t>
  </si>
  <si>
    <t xml:space="preserve">Distribution / market access</t>
  </si>
  <si>
    <t xml:space="preserve">binding</t>
  </si>
  <si>
    <t xml:space="preserve">Regulation / licences</t>
  </si>
  <si>
    <t xml:space="preserve">Binding constraint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</si>
  <si>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</si>
  <si>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</si>
  <si>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</si>
  <si>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</si>
  <si>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</si>
  <si>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</si>
  <si>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Lowest battery cost in the peer set</t>
  </si>
  <si>
    <t xml:space="preserve">VRIO: C1</t>
  </si>
  <si>
    <t xml:space="preserve">W1</t>
  </si>
  <si>
    <t xml:space="preserve">No dealer network in Europe</t>
  </si>
  <si>
    <t xml:space="preserve">Value chain: A6</t>
  </si>
  <si>
    <t xml:space="preserve">S2</t>
  </si>
  <si>
    <t xml:space="preserve">W2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</si>
  <si>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</si>
  <si>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</si>
  <si>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</si>
  <si>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</si>
  <si>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</si>
  <si>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</si>
  <si>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</si>
  <si>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</si>
  <si>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</si>
  <si>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</si>
  <si>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</si>
  <si>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EU fleet electrification mandates</t>
  </si>
  <si>
    <t xml:space="preserve">PESTEL: P7</t>
  </si>
  <si>
    <t xml:space="preserve">EU tariffs on imported EVs</t>
  </si>
  <si>
    <t xml:space="preserve">PESTEL: P2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</si>
  <si>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</si>
  <si>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</si>
  <si>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</si>
  <si>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</si>
  <si>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</si>
  <si>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Cell</t>
  </si>
  <si>
    <t xml:space="preserve">TOWS strategic option</t>
  </si>
  <si>
    <t xml:space="preserve">Pairs (e.g. S1 × O1)</t>
  </si>
  <si>
    <t xml:space="preserve">SO</t>
  </si>
  <si>
    <t xml:space="preserve">Use the battery cost lead to price fleet vans below diesel TCO</t>
  </si>
  <si>
    <t xml:space="preserve">S1 × O1</t>
  </si>
  <si>
    <t xml:space="preserve">Positioning (Strategy Interview)</t>
  </si>
  <si>
    <t xml:space="preserve">Part 3, step 17. The strategy you chose, in your words, and the four fit tests. The workbook records; it never chooses.</t>
  </si>
  <si>
    <t xml:space="preserve">Generic strategy</t>
  </si>
  <si>
    <t xml:space="preserve">[your choice]</t>
  </si>
  <si>
    <t xml:space="preserve">Target customers</t>
  </si>
  <si>
    <t xml:space="preserve">Source of advantage</t>
  </si>
  <si>
    <t xml:space="preserve">Why now</t>
  </si>
  <si>
    <t xml:space="preserve">What we will not do</t>
  </si>
  <si>
    <t xml:space="preserve">Positioning statement (your words)</t>
  </si>
  <si>
    <t xml:space="preserve">Fit test</t>
  </si>
  <si>
    <t xml:space="preserve">Market fit</t>
  </si>
  <si>
    <t xml:space="preserve">Is there demand where you are aiming (maps, segments, trends)?</t>
  </si>
  <si>
    <t xml:space="preserve">Competitive fit</t>
  </si>
  <si>
    <t xml:space="preserve">Can you hold the position against the rivals near it?</t>
  </si>
  <si>
    <t xml:space="preserve">Capability fit</t>
  </si>
  <si>
    <t xml:space="preserve">Do VRIO and the capability stamps support it?</t>
  </si>
  <si>
    <t xml:space="preserve">Economic fit</t>
  </si>
  <si>
    <t xml:space="preserve">Do unit economics and the business case work?</t>
  </si>
  <si>
    <t xml:space="preserve">Management fit</t>
  </si>
  <si>
    <t xml:space="preserve">Does it fit the goals and limits from your management interview?</t>
  </si>
  <si>
    <t xml:space="preserve">Fit summary</t>
  </si>
  <si>
    <t xml:space="preserve">Strategic Options (Exhibit P)</t>
  </si>
  <si>
    <t xml:space="preserve">Part 3, step 18. Frame the decision, then three or more distinct options plus do nothing, each with a staged first step and a gate.</t>
  </si>
  <si>
    <t xml:space="preserve">Situation</t>
  </si>
  <si>
    <t xml:space="preserve">Complication</t>
  </si>
  <si>
    <t xml:space="preserve">Option</t>
  </si>
  <si>
    <t xml:space="preserve">Route</t>
  </si>
  <si>
    <t xml:space="preserve">Exploits (TOWS ids)</t>
  </si>
  <si>
    <t xml:space="preserve">Staged first step</t>
  </si>
  <si>
    <t xml:space="preserve">Gate to the next stage</t>
  </si>
  <si>
    <t xml:space="preserve">Suggested?</t>
  </si>
  <si>
    <t xml:space="preserve">O-A</t>
  </si>
  <si>
    <t xml:space="preserve">[Build an EU plant]</t>
  </si>
  <si>
    <t xml:space="preserve">build</t>
  </si>
  <si>
    <t xml:space="preserve">ST1</t>
  </si>
  <si>
    <t xml:space="preserve">[pilot line first]</t>
  </si>
  <si>
    <t xml:space="preserve">[orders &gt; X by Q4]</t>
  </si>
  <si>
    <t xml:space="preserve">O-0</t>
  </si>
  <si>
    <t xml:space="preserve">Do nothing</t>
  </si>
  <si>
    <t xml:space="preserve">do nothing</t>
  </si>
  <si>
    <t xml:space="preserve">Checks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</si>
  <si>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</si>
  <si>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</si>
  <si>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</si>
  <si>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</si>
  <si>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A. Build in-house</t>
  </si>
  <si>
    <t xml:space="preserve">B. Partner for cells</t>
  </si>
  <si>
    <t xml:space="preserve">C. Reposition</t>
  </si>
  <si>
    <t xml:space="preserve">0. Do nothing</t>
  </si>
  <si>
    <t xml:space="preserve">Option 5</t>
  </si>
  <si>
    <t xml:space="preserve">Fits the 2029 profit goal</t>
  </si>
  <si>
    <t xml:space="preserve">Exhibit B, goal 1</t>
  </si>
  <si>
    <t xml:space="preserve">The matrix ranks; it does not choose. The recommendation is yours.</t>
  </si>
  <si>
    <t xml:space="preserve">One option. Year 0 is the investment year. Working capital is released in the final year. Money in $.</t>
  </si>
  <si>
    <t xml:space="preserve">Assumptions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</si>
  <si>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</si>
  <si>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</si>
  <si>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</si>
  <si>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</si>
  <si>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</si>
  <si>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</si>
  <si>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</si>
  <si>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</si>
  <si>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</si>
  <si>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</si>
  <si>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</si>
  <si>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</si>
  <si>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</si>
  <si>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</si>
  <si>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</si>
  <si>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</si>
  <si>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</si>
  <si>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</si>
  <si>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</si>
  <si>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</si>
  <si>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</si>
  <si>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</si>
  <si>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</si>
  <si>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Probabilities as percentages that sum to 100% per option; NPV in $M. Follows the course handout 'Choosing Among Strategic Alternatives'.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</si>
  <si>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</si>
  <si>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</si>
  <si>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</si>
  <si>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</si>
  <si>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</si>
  <si>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</si>
  <si>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</si>
  <si>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</si>
  <si>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</si>
  <si>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</si>
  <si>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A. Move upmarket</t>
  </si>
  <si>
    <t xml:space="preserve">B. Cut costs</t>
  </si>
  <si>
    <t xml:space="preserve">C. Do nothing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</si>
  <si>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</si>
  <si>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</si>
  <si>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</si>
  <si>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</si>
  <si>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</si>
  <si>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</si>
  <si>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</si>
  <si>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</si>
  <si>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</si>
  <si>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</si>
  <si>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</si>
  <si>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</si>
  <si>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</si>
  <si>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</si>
  <si>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</si>
  <si>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</si>
  <si>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</si>
  <si>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</si>
  <si>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</si>
  <si>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</si>
  <si>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</si>
  <si>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</si>
  <si>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</si>
  <si>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</si>
  <si>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</si>
  <si>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</si>
  <si>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</si>
  <si>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</si>
  <si>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</si>
  <si>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</si>
  <si>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</si>
  <si>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</si>
  <si>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</si>
  <si>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</si>
  <si>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</si>
  <si>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</si>
  <si>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</si>
  <si>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</si>
  <si>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</si>
  <si>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</si>
  <si>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</si>
  <si>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</si>
  <si>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</si>
  <si>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</si>
  <si>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</si>
  <si>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</si>
  <si>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</si>
  <si>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</si>
  <si>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</si>
  <si>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</si>
  <si>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</si>
  <si>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</si>
  <si>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</si>
  <si>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</si>
  <si>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</si>
  <si>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</si>
  <si>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</si>
  <si>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</si>
  <si>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</si>
  <si>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</si>
  <si>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</si>
  <si>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</si>
  <si>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</si>
  <si>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</si>
  <si>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</si>
  <si>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</si>
  <si>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</si>
  <si>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</si>
  <si>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</si>
  <si>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</si>
  <si>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</si>
  <si>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</si>
  <si>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</si>
  <si>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</si>
  <si>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</si>
  <si>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</si>
  <si>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</si>
  <si>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</si>
  <si>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</si>
  <si>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</si>
  <si>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</si>
  <si>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</si>
  <si>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</si>
  <si>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</si>
  <si>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</si>
  <si>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</si>
  <si>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</si>
  <si>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</si>
  <si>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</si>
  <si>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</si>
  <si>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</si>
  <si>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Pricing (optional)</t>
  </si>
  <si>
    <t xml:space="preserve">Part 3. Only when price is a lever. Test price points against the volume you expect at each; the sheet finds the profit-maximising point inside the acceptable range.</t>
  </si>
  <si>
    <t xml:space="preserve">Acceptable range: low</t>
  </si>
  <si>
    <t xml:space="preserve">Acceptable range: high</t>
  </si>
  <si>
    <t xml:space="preserve">Price point</t>
  </si>
  <si>
    <t xml:space="preserve">Expected volume</t>
  </si>
  <si>
    <t xml:space="preserve">In range?</t>
  </si>
  <si>
    <t xml:space="preserve">Best price in range</t>
  </si>
  <si>
    <t xml:space="preserve">Profit there</t>
  </si>
  <si>
    <t xml:space="preserve">Stress Test (Exhibit R)</t>
  </si>
  <si>
    <t xml:space="preserve">Part 3, step 22. Attack the leading option before anyone plans: the assumptions it rests on, how rivals respond, and a risk register with owners and triggers.</t>
  </si>
  <si>
    <t xml:space="preserve">Assumption audit</t>
  </si>
  <si>
    <t xml:space="preserve">Assumption</t>
  </si>
  <si>
    <t xml:space="preserve">Value used</t>
  </si>
  <si>
    <t xml:space="preserve">Break-even value</t>
  </si>
  <si>
    <t xml:space="preserve">Headroom</t>
  </si>
  <si>
    <t xml:space="preserve">Danger zone?</t>
  </si>
  <si>
    <t xml:space="preserve">[Units in year 3]</t>
  </si>
  <si>
    <t xml:space="preserve">[source]</t>
  </si>
  <si>
    <t xml:space="preserve">Competitor war-game</t>
  </si>
  <si>
    <t xml:space="preserve">Rival</t>
  </si>
  <si>
    <t xml:space="preserve">Most likely response</t>
  </si>
  <si>
    <t xml:space="preserve">Effect on us</t>
  </si>
  <si>
    <t xml:space="preserve">Our counter</t>
  </si>
  <si>
    <t xml:space="preserve">Risk register</t>
  </si>
  <si>
    <t xml:space="preserve">Likelihood (1-5)</t>
  </si>
  <si>
    <t xml:space="preserve">Impact (1-5)</t>
  </si>
  <si>
    <t xml:space="preserve">Score</t>
  </si>
  <si>
    <t xml:space="preserve">Rating</t>
  </si>
  <si>
    <t xml:space="preserve">Owner</t>
  </si>
  <si>
    <t xml:space="preserve">Mitigation</t>
  </si>
  <si>
    <t xml:space="preserve">Early-warning trigger</t>
  </si>
  <si>
    <t xml:space="preserve">[Price war in the target segment]</t>
  </si>
  <si>
    <t xml:space="preserve">[CMO]</t>
  </si>
  <si>
    <t xml:space="preserve">[hold price; add value]</t>
  </si>
  <si>
    <t xml:space="preserve">[rival cuts &gt; 5%]</t>
  </si>
  <si>
    <t xml:space="preserve">High risks without an owner</t>
  </si>
  <si>
    <t xml:space="preserve">Go-to-Market (Exhibit T)</t>
  </si>
  <si>
    <t xml:space="preserve">Part 3, step 23. One named beachhead, the funnel worked back to spend and CAC, and launch gates. CAC must fit the unit economics.</t>
  </si>
  <si>
    <t xml:space="preserve">Beachhead segment</t>
  </si>
  <si>
    <t xml:space="preserve">Ideal customer profile</t>
  </si>
  <si>
    <t xml:space="preserve">Value proposition</t>
  </si>
  <si>
    <t xml:space="preserve">Channel</t>
  </si>
  <si>
    <t xml:space="preserve">Spend</t>
  </si>
  <si>
    <t xml:space="preserve">Reach</t>
  </si>
  <si>
    <t xml:space="preserve">Lead rate</t>
  </si>
  <si>
    <t xml:space="preserve">Close rate</t>
  </si>
  <si>
    <t xml:space="preserve">Leads</t>
  </si>
  <si>
    <t xml:space="preserve">Customers</t>
  </si>
  <si>
    <t xml:space="preserve">CAC</t>
  </si>
  <si>
    <t xml:space="preserve">CAC vs LTV</t>
  </si>
  <si>
    <t xml:space="preserve">[Dealer partners]</t>
  </si>
  <si>
    <t xml:space="preserve">[Online direct]</t>
  </si>
  <si>
    <t xml:space="preserve">Blended</t>
  </si>
  <si>
    <t xml:space="preserve">Launch phases and gates</t>
  </si>
  <si>
    <t xml:space="preserve">Phase</t>
  </si>
  <si>
    <t xml:space="preserve">When</t>
  </si>
  <si>
    <t xml:space="preserve">Goal</t>
  </si>
  <si>
    <t xml:space="preserve">Gate to the next phase</t>
  </si>
  <si>
    <t xml:space="preserve">Initiative Prioritizer (Exhibit S)</t>
  </si>
  <si>
    <t xml:space="preserve">Part 3, step 24. RICE score = reach × impact × confidence ÷ effort. The binding constraint goes first; every initiative traces to a finding.</t>
  </si>
  <si>
    <t xml:space="preserve">Initiative</t>
  </si>
  <si>
    <t xml:space="preserve">Traces to</t>
  </si>
  <si>
    <t xml:space="preserve">Impact (0.25-3)</t>
  </si>
  <si>
    <t xml:space="preserve">Confidence</t>
  </si>
  <si>
    <t xml:space="preserve">Effort (person-months)</t>
  </si>
  <si>
    <t xml:space="preserve">RICE</t>
  </si>
  <si>
    <t xml:space="preserve">Depends on</t>
  </si>
  <si>
    <t xml:space="preserve">I1</t>
  </si>
  <si>
    <t xml:space="preserve">[Secure dealer partners in Germany]</t>
  </si>
  <si>
    <t xml:space="preserve">GB:access</t>
  </si>
  <si>
    <t xml:space="preserve">I2</t>
  </si>
  <si>
    <t xml:space="preserve">[Cut cell cost 8%]</t>
  </si>
  <si>
    <t xml:space="preserve">Initiatives with nothing to trace to</t>
  </si>
  <si>
    <t xml:space="preserve">Operating Model and Stakeholders</t>
  </si>
  <si>
    <t xml:space="preserve">Part 3, steps 25-26. Who decides what (RAPID), and who must say yes: power and interest place each stakeholder in a quadrant.</t>
  </si>
  <si>
    <t xml:space="preserve">Decision rights (RAPID)</t>
  </si>
  <si>
    <t xml:space="preserve">Decision</t>
  </si>
  <si>
    <t xml:space="preserve">Recommend</t>
  </si>
  <si>
    <t xml:space="preserve">Agree</t>
  </si>
  <si>
    <t xml:space="preserve">Perform</t>
  </si>
  <si>
    <t xml:space="preserve">Decide</t>
  </si>
  <si>
    <t xml:space="preserve">[Enter Germany]</t>
  </si>
  <si>
    <t xml:space="preserve">[Strategy lead]</t>
  </si>
  <si>
    <t xml:space="preserve">[CFO]</t>
  </si>
  <si>
    <t xml:space="preserve">[EU GM]</t>
  </si>
  <si>
    <t xml:space="preserve">[Sales, Legal]</t>
  </si>
  <si>
    <t xml:space="preserve">[CEO]</t>
  </si>
  <si>
    <t xml:space="preserve">Stakeholder map</t>
  </si>
  <si>
    <t xml:space="preserve">Stakeholder</t>
  </si>
  <si>
    <t xml:space="preserve">Power (1-5)</t>
  </si>
  <si>
    <t xml:space="preserve">Interest (1-5)</t>
  </si>
  <si>
    <t xml:space="preserve">Stance (−2..+2)</t>
  </si>
  <si>
    <t xml:space="preserve">Quadrant</t>
  </si>
  <si>
    <t xml:space="preserve">Action</t>
  </si>
  <si>
    <t xml:space="preserve">[EU regulators]</t>
  </si>
  <si>
    <t xml:space="preserve">[early dialogue]</t>
  </si>
  <si>
    <t xml:space="preserve">[Dealer groups]</t>
  </si>
  <si>
    <t xml:space="preserve">[co-design terms]</t>
  </si>
  <si>
    <t xml:space="preserve">Execution Roadmap (Exhibit S)</t>
  </si>
  <si>
    <t xml:space="preserve">Part 3, step 27. The first 100 days by workstream (the bars fill in from the start and end weeks), milestones and stage gates.</t>
  </si>
  <si>
    <t xml:space="preserve">Workstream / action</t>
  </si>
  <si>
    <t xml:space="preserve">Start wk</t>
  </si>
  <si>
    <t xml:space="preserve">End wk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</si>
  <si>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</si>
  <si>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</si>
  <si>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</si>
  <si>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</si>
  <si>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</si>
  <si>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</si>
  <si>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</si>
  <si>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</si>
  <si>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</si>
  <si>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</si>
  <si>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</si>
  <si>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</si>
  <si>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</si>
  <si>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</si>
  <si>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</si>
  <si>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[Sign two dealer groups]</t>
  </si>
  <si>
    <t xml:space="preserve">[Pilot line ready]</t>
  </si>
  <si>
    <t xml:space="preserve">[COO]</t>
  </si>
  <si>
    <t xml:space="preserve">Milestones</t>
  </si>
  <si>
    <t xml:space="preserve">Milestone</t>
  </si>
  <si>
    <t xml:space="preserve">Date</t>
  </si>
  <si>
    <t xml:space="preserve">KPI</t>
  </si>
  <si>
    <t xml:space="preserve">Stage gates (go / no-go)</t>
  </si>
  <si>
    <t xml:space="preserve">Gate</t>
  </si>
  <si>
    <t xml:space="preserve">Criteria to pass</t>
  </si>
  <si>
    <t xml:space="preserve">Evidence we will use</t>
  </si>
  <si>
    <t xml:space="preserve">Decision date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</si>
  <si>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</si>
  <si>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</si>
  <si>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</si>
  <si>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</si>
  <si>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</si>
  <si>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</si>
  <si>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Actual</t>
  </si>
  <si>
    <t xml:space="preserve">% of target</t>
  </si>
  <si>
    <t xml:space="preserve">Financial</t>
  </si>
  <si>
    <t xml:space="preserve">Grow operating profit to full potential</t>
  </si>
  <si>
    <t xml:space="preserve">Contribution per car ($)</t>
  </si>
  <si>
    <t xml:space="preserve">Lagging</t>
  </si>
  <si>
    <t xml:space="preserve">Higher</t>
  </si>
  <si>
    <t xml:space="preserve">CFO</t>
  </si>
  <si>
    <t xml:space="preserve">I2 Close variable-cost gap</t>
  </si>
  <si>
    <t xml:space="preserve">Internal process</t>
  </si>
  <si>
    <t xml:space="preserve">Secure a second qualified cell supplier</t>
  </si>
  <si>
    <t xml:space="preserve">Supplier qualification pass rate</t>
  </si>
  <si>
    <t xml:space="preserve">Leading</t>
  </si>
  <si>
    <t xml:space="preserve">VP Quality</t>
  </si>
  <si>
    <t xml:space="preserve">I1 Second cell supplier</t>
  </si>
  <si>
    <t xml:space="preserve">Growth Barriers: supply</t>
  </si>
  <si>
    <t xml:space="preserve">Balance check</t>
  </si>
  <si>
    <t xml:space="preserve">Customer</t>
  </si>
  <si>
    <t xml:space="preserve">Learning and growth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</si>
  <si>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</si>
  <si>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</si>
  <si>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</si>
  <si>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</si>
  <si>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</si>
  <si>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</si>
  <si>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F1</t>
  </si>
  <si>
    <t xml:space="preserve">Win the beachhead: urban fleets</t>
  </si>
  <si>
    <t xml:space="preserve">L1</t>
  </si>
  <si>
    <t xml:space="preserve">Supplier-quality engineering capability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</si>
  <si>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</si>
  <si>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</si>
  <si>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</si>
  <si>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</si>
  <si>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</si>
  <si>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</si>
  <si>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</si>
  <si>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</si>
  <si>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A</t>
  </si>
  <si>
    <t xml:space="preserve">Camera</t>
  </si>
  <si>
    <t xml:space="preserve">B</t>
  </si>
  <si>
    <t xml:space="preserve">C</t>
  </si>
  <si>
    <t xml:space="preserve">D</t>
  </si>
  <si>
    <t xml:space="preserve">E</t>
  </si>
  <si>
    <t xml:space="preserve">Industry averages (share-weighted)</t>
  </si>
  <si>
    <t xml:space="preserve">P/Q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</si>
  <si>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</si>
  <si>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</si>
  <si>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</si>
  <si>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</si>
  <si>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</si>
  <si>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</si>
  <si>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</si>
  <si>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</si>
  <si>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</si>
  <si>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</si>
  <si>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</si>
  <si>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</si>
  <si>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</si>
  <si>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</si>
  <si>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</si>
  <si>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</si>
  <si>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</si>
  <si>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</si>
  <si>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</si>
  <si>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Best-cost</t>
  </si>
  <si>
    <t xml:space="preserve">strategy.drone</t>
  </si>
  <si>
    <t xml:space="preserve">Strategy (Drones)</t>
  </si>
  <si>
    <t xml:space="preserve">Focused differentiation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</si>
  <si>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</si>
  <si>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</si>
  <si>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</si>
  <si>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</si>
  <si>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</si>
  <si>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</si>
  <si>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</si>
  <si>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</si>
  <si>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</si>
  <si>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</si>
  <si>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</si>
  <si>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</si>
  <si>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</si>
  <si>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</si>
  <si>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</si>
  <si>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</si>
  <si>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</si>
  <si>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</si>
  <si>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</si>
  <si>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</si>
  <si>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</si>
  <si>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</si>
  <si>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</si>
  <si>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</si>
  <si>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</si>
  <si>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</si>
  <si>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</si>
  <si>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</si>
  <si>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</si>
  <si>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</si>
  <si>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</si>
  <si>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</si>
  <si>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</si>
  <si>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</si>
  <si>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</si>
  <si>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</si>
  <si>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</si>
  <si>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</si>
  <si>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</si>
  <si>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</si>
  <si>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</si>
  <si>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</si>
  <si>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</si>
  <si>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</si>
  <si>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</si>
  <si>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</si>
  <si>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</si>
  <si>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</si>
  <si>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</si>
  <si>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</si>
  <si>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</si>
  <si>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</si>
  <si>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</si>
  <si>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</si>
  <si>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</si>
  <si>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</si>
  <si>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</si>
  <si>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</si>
  <si>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</si>
  <si>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</si>
  <si>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</si>
  <si>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</si>
  <si>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</si>
  <si>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</si>
  <si>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</si>
  <si>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</si>
  <si>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</si>
  <si>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</si>
  <si>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</si>
  <si>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</si>
  <si>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</si>
  <si>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</si>
  <si>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</si>
  <si>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</si>
  <si>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</si>
  <si>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</si>
  <si>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</si>
  <si>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</si>
  <si>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</si>
  <si>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</si>
  <si>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</si>
  <si>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</si>
  <si>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</si>
  <si>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</si>
  <si>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</si>
  <si>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</si>
  <si>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</si>
  <si>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</si>
  <si>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</si>
  <si>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</si>
  <si>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</si>
  <si>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</si>
  <si>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</si>
  <si>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</si>
  <si>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</si>
  <si>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</si>
  <si>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</si>
  <si>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</si>
  <si>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</si>
  <si>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</si>
  <si>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</si>
  <si>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</si>
  <si>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</si>
  <si>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</si>
  <si>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</si>
  <si>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</si>
  <si>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</si>
  <si>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</si>
  <si>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</si>
  <si>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</si>
  <si>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</si>
  <si>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</si>
  <si>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Finance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</si>
  <si>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</si>
  <si>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</si>
  <si>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</si>
  <si>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</si>
  <si>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</si>
  <si>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</si>
  <si>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</si>
  <si>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</si>
  <si>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</si>
  <si>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</si>
  <si>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</si>
  <si>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</si>
  <si>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</si>
  <si>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</si>
  <si>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</si>
  <si>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</si>
  <si>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</si>
  <si>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</si>
  <si>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</si>
  <si>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</si>
  <si>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</si>
  <si>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</si>
  <si>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</si>
  <si>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</si>
  <si>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</si>
  <si>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</si>
  <si>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</si>
  <si>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</si>
  <si>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</si>
  <si>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</si>
  <si>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</si>
  <si>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</si>
  <si>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</si>
  <si>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</si>
  <si>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</si>
  <si>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</si>
  <si>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season by year</t>
  </si>
  <si>
    <t xml:space="preserve">Every decision and result, one pair of columns per year: the value, then the change from the year before (▲ up, ▼ down; green = better, red = worse). The first three columns stay put as you scroll right. Rebuild after each round to add the new year.</t>
  </si>
  <si>
    <t xml:space="preserve">Decision or result</t>
  </si>
  <si>
    <t xml:space="preserve">Change</t>
  </si>
  <si>
    <t xml:space="preserve">DECISIONS ENTERED  (from your captures; planned values in grey italics where nothing was captured)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</si>
  <si>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</si>
  <si>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</si>
  <si>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</si>
  <si>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</si>
  <si>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</si>
  <si>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A-</t>
  </si>
  <si>
    <t xml:space="preserve">BBB+</t>
  </si>
  <si>
    <t xml:space="preserve">BBB</t>
  </si>
  <si>
    <t xml:space="preserve">BBB-</t>
  </si>
  <si>
    <t xml:space="preserve">BB+</t>
  </si>
  <si>
    <t xml:space="preserve">BB</t>
  </si>
  <si>
    <t xml:space="preserve">BB-</t>
  </si>
  <si>
    <t xml:space="preserve">B+</t>
  </si>
  <si>
    <t xml:space="preserve">B-</t>
  </si>
  <si>
    <t xml:space="preserve">CCC+</t>
  </si>
  <si>
    <t xml:space="preserve">CCC</t>
  </si>
  <si>
    <t xml:space="preserve">CCC-</t>
  </si>
  <si>
    <t xml:space="preserve">CC</t>
  </si>
  <si>
    <t xml:space="preserve">RESULTS  (from your captures: the scorecard, company and product reports)</t>
  </si>
  <si>
    <t xml:space="preserve">Scored KPIs</t>
  </si>
  <si>
    <t xml:space="preserve">EPS: investor expectation</t>
  </si>
  <si>
    <t xml:space="preserve">ROE</t>
  </si>
  <si>
    <t xml:space="preserve">ROE: investor expectation</t>
  </si>
  <si>
    <t xml:space="preserve">Stock price</t>
  </si>
  <si>
    <t xml:space="preserve">Stock price: investor expectation</t>
  </si>
  <si>
    <t xml:space="preserve">Credit rating: investor expectation</t>
  </si>
  <si>
    <t xml:space="preserve">Credit rating score (AAA = 21)</t>
  </si>
  <si>
    <t xml:space="preserve">Image rating</t>
  </si>
  <si>
    <t xml:space="preserve">Image rating: investor expectation</t>
  </si>
  <si>
    <t xml:space="preserve">Overall score</t>
  </si>
  <si>
    <t xml:space="preserve">Rank in the industry</t>
  </si>
  <si>
    <t xml:space="preserve">Net revenues ($000s)</t>
  </si>
  <si>
    <t xml:space="preserve">Net profit ($000s)</t>
  </si>
  <si>
    <t xml:space="preserve">Ending cash ($000s)</t>
  </si>
  <si>
    <t xml:space="preserve">Cameras</t>
  </si>
  <si>
    <t xml:space="preserve">Cameras: units sold (000s)</t>
  </si>
  <si>
    <t xml:space="preserve">Cameras: average price ($)</t>
  </si>
  <si>
    <t xml:space="preserve">Cameras: industry average price ($)</t>
  </si>
  <si>
    <t xml:space="preserve">Cameras: price vs industry</t>
  </si>
  <si>
    <t xml:space="preserve">Cameras: P/Q rating</t>
  </si>
  <si>
    <t xml:space="preserve">Cameras: industry average P/Q</t>
  </si>
  <si>
    <t xml:space="preserve">Cameras: cost per unit ($)</t>
  </si>
  <si>
    <t xml:space="preserve">Cameras: industry cost per unit ($)</t>
  </si>
  <si>
    <t xml:space="preserve">Cameras: cost per unit vs industry</t>
  </si>
  <si>
    <t xml:space="preserve">Cameras: operating margin</t>
  </si>
  <si>
    <t xml:space="preserve">Cameras: share, North America (%)</t>
  </si>
  <si>
    <t xml:space="preserve">Cameras: share, Europe-Africa (%)</t>
  </si>
  <si>
    <t xml:space="preserve">Cameras: share, Asia-Pacific (%)</t>
  </si>
  <si>
    <t xml:space="preserve">Cameras: share, Latin America (%)</t>
  </si>
  <si>
    <t xml:space="preserve">Cameras: share, average of regions (%)</t>
  </si>
  <si>
    <t xml:space="preserve">Drones</t>
  </si>
  <si>
    <t xml:space="preserve">Drones: units sold (000s)</t>
  </si>
  <si>
    <t xml:space="preserve">Drones: average price ($)</t>
  </si>
  <si>
    <t xml:space="preserve">Drones: industry average price ($)</t>
  </si>
  <si>
    <t xml:space="preserve">Drones: price vs industry</t>
  </si>
  <si>
    <t xml:space="preserve">Drones: P/Q rating</t>
  </si>
  <si>
    <t xml:space="preserve">Drones: industry average P/Q</t>
  </si>
  <si>
    <t xml:space="preserve">Drones: cost per unit ($)</t>
  </si>
  <si>
    <t xml:space="preserve">Drones: industry cost per unit ($)</t>
  </si>
  <si>
    <t xml:space="preserve">Drones: cost per unit vs industry</t>
  </si>
  <si>
    <t xml:space="preserve">Drones: operating margin</t>
  </si>
  <si>
    <t xml:space="preserve">Drones: share, North America (%)</t>
  </si>
  <si>
    <t xml:space="preserve">Drones: share, Europe-Africa (%)</t>
  </si>
  <si>
    <t xml:space="preserve">Drones: share, Asia-Pacific (%)</t>
  </si>
  <si>
    <t xml:space="preserve">Drones: share, Latin America (%)</t>
  </si>
  <si>
    <t xml:space="preserve">Drones: share, average of regions (%)</t>
  </si>
  <si>
    <t xml:space="preserve">Competition by year</t>
  </si>
  <si>
    <t xml:space="preserve">Every company on the measures that decide the contest, from the class-wide reports only (scoreboard and Competitive Intelligence Report). Each year: the value, then the change (▲ ▼). Your row is highlighted; the last row of each block is your rank on that measure.</t>
  </si>
  <si>
    <t xml:space="preserve">Company A</t>
  </si>
  <si>
    <t xml:space="preserve">Company B</t>
  </si>
  <si>
    <t xml:space="preserve">Company C  (you)</t>
  </si>
  <si>
    <t xml:space="preserve">Company D</t>
  </si>
  <si>
    <t xml:space="preserve">Company E</t>
  </si>
  <si>
    <t xml:space="preserve">Company F</t>
  </si>
  <si>
    <t xml:space="preserve">Company G</t>
  </si>
  <si>
    <t xml:space="preserve">Company H</t>
  </si>
  <si>
    <t xml:space="preserve">Industry average</t>
  </si>
  <si>
    <t xml:space="preserve">Your rank on this measure</t>
  </si>
  <si>
    <t xml:space="preserve">EPS ($)</t>
  </si>
  <si>
    <t xml:space="preserve">Cameras: price ($)</t>
  </si>
  <si>
    <t xml:space="preserve">Cameras: P/Q</t>
  </si>
  <si>
    <t xml:space="preserve">Cameras: market share (%)</t>
  </si>
  <si>
    <t xml:space="preserve">Key performance indicators</t>
  </si>
  <si>
    <t xml:space="preserve">Charts update from Season by Year and Competition by Year for the years captured so far; rebuild the workbook after each round to add the new year. The chart data below the charts is formulas; do not type over it.</t>
  </si>
  <si>
    <t xml:space="preserve">Chart data (formulas)</t>
  </si>
  <si>
    <t xml:space="preserve">Series</t>
  </si>
  <si>
    <t xml:space="preserve">Y6</t>
  </si>
  <si>
    <t xml:space="preserve">Y7</t>
  </si>
  <si>
    <t xml:space="preserve">Y8</t>
  </si>
  <si>
    <t xml:space="preserve">EPS expectation</t>
  </si>
  <si>
    <t xml:space="preserve">ROE expectation</t>
  </si>
  <si>
    <t xml:space="preserve">Stock price expectation</t>
  </si>
  <si>
    <t xml:space="preserve">Image rating expectation</t>
  </si>
  <si>
    <t xml:space="preserve">Cameras: share (%)</t>
  </si>
  <si>
    <t xml:space="preserve">Drones: share (%)</t>
  </si>
  <si>
    <t xml:space="preserve">Cameras: cost per unit</t>
  </si>
  <si>
    <t xml:space="preserve">Cameras: industry cost per unit</t>
  </si>
  <si>
    <t xml:space="preserve">Drones: cost per unit</t>
  </si>
  <si>
    <t xml:space="preserve">Drones: industry cost per unit</t>
  </si>
  <si>
    <t xml:space="preserve">Cameras: cost vs industry</t>
  </si>
  <si>
    <t xml:space="preserve">Drones: cost vs industry</t>
  </si>
  <si>
    <t xml:space="preserve">Company C (you)</t>
  </si>
  <si>
    <t xml:space="preserve">Findings and questions to consider</t>
  </si>
  <si>
    <t xml:space="preserve">One row per finding, watch item or question, year by year. Rows from the weekly report are filled in; add your own. The 'Our response' column is the team's.</t>
  </si>
  <si>
    <t xml:space="preserve">What we see</t>
  </si>
  <si>
    <t xml:space="preserve">General lesson</t>
  </si>
  <si>
    <t xml:space="preserve">Our response or decision</t>
  </si>
  <si>
    <t xml:space="preserve">Watch item</t>
  </si>
  <si>
    <t xml:space="preserve">The position your inputs show differs from the strategy you chose</t>
  </si>
  <si>
    <t xml:space="preserve">Chose differentiation; price +3.5% and P/Q +0.2 stars look like best-cost</t>
  </si>
  <si>
    <t xml:space="preserve">Teams that drift between positions usually pay for both and get credit for neither.</t>
  </si>
  <si>
    <t xml:space="preserve">Open</t>
  </si>
  <si>
    <t xml:space="preserve">Question to consider</t>
  </si>
  <si>
    <t xml:space="preserve">Which input did you change most this year, and did the result move the way the projections said?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</si>
</sst>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\+0.0%;\-0.0%;0.0%"/>
    <numFmt numFmtId="170" formatCode="0.0"/>
    <numFmt numFmtId="171" formatCode="0%"/>
    <numFmt numFmtId="172" formatCode="0.00"/>
    <numFmt numFmtId="173" formatCode="\+0%;\-0%;0%"/>
    <numFmt numFmtId="174" formatCode="\$#,##0"/>
    <numFmt numFmtId="175" formatCode="\$#,##0;&quot;($&quot;#,##0\)"/>
    <numFmt numFmtId="176" formatCode="#,##0;\(#,##0\)"/>
    <numFmt numFmtId="177" formatCode="\$#,##0;&quot;($&quot;#,##0\);\-"/>
    <numFmt numFmtId="178" formatCode="\$#,##0,,\M"/>
    <numFmt numFmtId="179" formatCode="General"/>
    <numFmt numFmtId="180" formatCode="#,##0.##"/>
    <numFmt numFmtId="181" formatCode="\+0;\-0;0"/>
    <numFmt numFmtId="182" formatCode="#,##0.00"/>
    <numFmt numFmtId="183" formatCode="\$#,##0.00"/>
    <numFmt numFmtId="184" formatCode="&quot;▲ &quot;0.0;&quot;▼ &quot;0.0;\–"/>
    <numFmt numFmtId="185" formatCode="&quot;▲ &quot;0;&quot;▼ &quot;0;\–"/>
    <numFmt numFmtId="186" formatCode="&quot;▲ &quot;#,##0;&quot;▼ &quot;#,##0;\–"/>
    <numFmt numFmtId="187" formatCode="&quot;▲ $&quot;#,##0.00;&quot;▼ $&quot;#,##0.00;\–"/>
    <numFmt numFmtId="188" formatCode="&quot;▲ &quot;0.0%;&quot;▼ &quot;0.0%;\–"/>
    <numFmt numFmtId="189" formatCode="&quot;▲ $&quot;#,##0;&quot;▼ $&quot;#,##0;\–"/>
    <numFmt numFmtId="190" formatCode="\$0.00"/>
    <numFmt numFmtId="191" formatCode="&quot;▲ $&quot;0.00;&quot;▼ $&quot;0.00;\–"/>
    <numFmt numFmtId="192" formatCode="\$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9A55C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D3557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BBBBBB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5F6B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3F1EC"/>
      </patternFill>
    </fill>
    <fill>
      <patternFill patternType="solid">
        <fgColor rgb="FF1D3557"/>
        <bgColor rgb="FF264653"/>
      </patternFill>
    </fill>
    <fill>
      <patternFill patternType="solid">
        <fgColor rgb="FFEEF2F7"/>
        <bgColor rgb="FFF3F1EC"/>
      </patternFill>
    </fill>
    <fill>
      <patternFill patternType="solid">
        <fgColor rgb="FFF3F1EC"/>
        <bgColor rgb="FFEEF2F7"/>
      </patternFill>
    </fill>
    <fill>
      <patternFill patternType="solid">
        <fgColor rgb="FFFBE9C9"/>
        <bgColor rgb="FFFFF0C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 diagonalUp="false" diagonalDown="false">
      <left style="thin">
        <color rgb="FFC8CDD3"/>
      </left>
      <right/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8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9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  <dxf>
      <fill>
        <patternFill>
          <bgColor rgb="FFC9A55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6C757D"/>
      <rgbColor rgb="FFBBBBBB"/>
      <rgbColor rgb="FF878787"/>
      <rgbColor rgb="FF888888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D8F0DF"/>
      <rgbColor rgb="FFFFF0C2"/>
      <rgbColor rgb="FFA8DADC"/>
      <rgbColor rgb="FFFBE9C9"/>
      <rgbColor rgb="FFD9D9D9"/>
      <rgbColor rgb="FFF8D7D3"/>
      <rgbColor rgb="FF457B9D"/>
      <rgbColor rgb="FF33CCCC"/>
      <rgbColor rgb="FF99CC00"/>
      <rgbColor rgb="FFFFCC00"/>
      <rgbColor rgb="FFFF9900"/>
      <rgbColor rgb="FFFF6600"/>
      <rgbColor rgb="FF5F6B76"/>
      <rgbColor rgb="FF999999"/>
      <rgbColor rgb="FF1D3557"/>
      <rgbColor rgb="FF2D936C"/>
      <rgbColor rgb="FF003300"/>
      <rgbColor rgb="FF333300"/>
      <rgbColor rgb="FF993300"/>
      <rgbColor rgb="FF8D6A9F"/>
      <rgbColor rgb="FF555555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Strategic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'Strategic Mapping'!$A$9</c:f>
              <c:strCache>
                <c:ptCount val="1"/>
                <c:pt idx="0">
                  <c:v>[Firm A]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Mapping'!$B$9</c:f>
              <c:numCache>
                <c:formatCode>0.0</c:formatCode>
                <c:ptCount val="1"/>
                <c:pt idx="0">
                  <c:v>3</c:v>
                </c:pt>
              </c:numCache>
            </c:numRef>
          </c:xVal>
          <c:yVal>
            <c:numRef>
              <c:f>'Strategic Mapping'!$C$9</c:f>
              <c:numCache>
                <c:formatCode>0.0</c:formatCode>
                <c:ptCount val="1"/>
                <c:pt idx="0">
                  <c:v>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'Strategic Mapping'!$A$10</c:f>
              <c:strCache>
                <c:ptCount val="1"/>
                <c:pt idx="0">
                  <c:v>[Firm B]</c:v>
                </c:pt>
              </c:strCache>
            </c:strRef>
          </c:tx>
          <c:spPr>
            <a:solidFill>
              <a:srgbClr val="c9a55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9a55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Mapping'!$B$10</c:f>
              <c:numCache>
                <c:formatCode>0.0</c:formatCode>
                <c:ptCount val="1"/>
                <c:pt idx="0">
                  <c:v>8</c:v>
                </c:pt>
              </c:numCache>
            </c:numRef>
          </c:xVal>
          <c:yVal>
            <c:numRef>
              <c:f>'Strategic Mapping'!$C$10</c:f>
              <c:numCache>
                <c:formatCode>0.0</c:formatCode>
                <c:ptCount val="1"/>
                <c:pt idx="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'Strategic Mapping'!$A$11</c:f>
              <c:strCache>
                <c:ptCount val="1"/>
                <c:pt idx="0">
                  <c:v>[Firm C]</c:v>
                </c:pt>
              </c:strCache>
            </c:strRef>
          </c:tx>
          <c:spPr>
            <a:solidFill>
              <a:srgbClr val="2d936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d936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Mapping'!$B$11</c:f>
              <c:numCache>
                <c:formatCode>0.0</c:formatCode>
                <c:ptCount val="1"/>
                <c:pt idx="0">
                  <c:v>5</c:v>
                </c:pt>
              </c:numCache>
            </c:numRef>
          </c:xVal>
          <c:yVal>
            <c:numRef>
              <c:f>'Strategic Mapping'!$C$11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'Strategic Mapping'!$A$12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44536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4453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Mapping'!$B$12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Mapping'!$C$12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4"/>
          <c:order val="4"/>
          <c:tx>
            <c:strRef>
              <c:f>'Strategic Mapping'!$A$13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57b9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457b9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Mapping'!$B$13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Mapping'!$C$13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5"/>
          <c:order val="5"/>
          <c:tx>
            <c:strRef>
              <c:f>'Strategic Mapping'!$A$14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d6a9f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8d6a9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Mapping'!$B$14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Mapping'!$C$14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6"/>
          <c:order val="6"/>
          <c:tx>
            <c:strRef>
              <c:f>'Strategic Mapping'!$A$15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c757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6c757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Mapping'!$B$15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Mapping'!$C$15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7"/>
          <c:order val="7"/>
          <c:tx>
            <c:strRef>
              <c:f>'Strategic Mapping'!$A$16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5651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b565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Mapping'!$B$16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Mapping'!$C$16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8"/>
          <c:order val="8"/>
          <c:tx>
            <c:strRef>
              <c:f>'Strategic Mapping'!$A$17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8dad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a8d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Mapping'!$B$17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Mapping'!$C$17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9"/>
          <c:order val="9"/>
          <c:tx>
            <c:strRef>
              <c:f>'Strategic Mapping'!$A$18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64653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6465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Mapping'!$B$18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Mapping'!$C$18</c:f>
              <c:numCache>
                <c:formatCode>General</c:formatCode>
                <c:ptCount val="1"/>
              </c:numCache>
            </c:numRef>
          </c:yVal>
          <c:smooth val="1"/>
        </c:ser>
        <c:axId val="95584027"/>
        <c:axId val="62492066"/>
      </c:scatterChart>
      <c:valAx>
        <c:axId val="95584027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92066"/>
        <c:crosses val="autoZero"/>
        <c:crossBetween val="midCat"/>
      </c:valAx>
      <c:valAx>
        <c:axId val="62492066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8402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gap captured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'Full Potential'!G5</c:f>
              <c:strCache>
                <c:ptCount val="1"/>
                <c:pt idx="0">
                  <c:v>Gap captured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Potential'!$A$6:$A$10</c:f>
              <c:strCache>
                <c:ptCount val="5"/>
                <c:pt idx="0">
                  <c:v>Price per unit</c:v>
                </c:pt>
                <c:pt idx="1">
                  <c:v>Mix premium per unit</c:v>
                </c:pt>
                <c:pt idx="2">
                  <c:v>Volume</c:v>
                </c:pt>
                <c:pt idx="3">
                  <c:v>Variable cost per unit</c:v>
                </c:pt>
                <c:pt idx="4">
                  <c:v>Fixed costs</c:v>
                </c:pt>
              </c:strCache>
            </c:strRef>
          </c:cat>
          <c:val>
            <c:numRef>
              <c:f>'Full Potential'!$G$6:$G$10</c:f>
              <c:numCache>
                <c:formatCode>#,##0;\(#,##0\)</c:formatCode>
                <c:ptCount val="5"/>
                <c:pt idx="0">
                  <c:v>600000000</c:v>
                </c:pt>
                <c:pt idx="1">
                  <c:v>240000000</c:v>
                </c:pt>
                <c:pt idx="2">
                  <c:v>528000000</c:v>
                </c:pt>
                <c:pt idx="3">
                  <c:v>540000000</c:v>
                </c:pt>
                <c:pt idx="4">
                  <c:v>100000000</c:v>
                </c:pt>
              </c:numCache>
            </c:numRef>
          </c:val>
        </c:ser>
        <c:gapWidth val="150"/>
        <c:overlap val="0"/>
        <c:axId val="49628173"/>
        <c:axId val="25763230"/>
      </c:barChart>
      <c:catAx>
        <c:axId val="49628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63230"/>
        <c:crosses val="autoZero"/>
        <c:auto val="1"/>
        <c:lblAlgn val="ctr"/>
        <c:lblOffset val="100"/>
        <c:noMultiLvlLbl val="0"/>
      </c:catAx>
      <c:valAx>
        <c:axId val="25763230"/>
        <c:scaling>
          <c:orientation val="minMax"/>
        </c:scaling>
        <c:delete val="0"/>
        <c:axPos val="l"/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28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Analysis'!$E$32:$E$37</c:f>
              <c:numCache>
                <c:formatCode>\$#,##0;"($"#,##0\);\-</c:formatCode>
                <c:ptCount val="6"/>
                <c:pt idx="0">
                  <c:v>-834245036.019646</c:v>
                </c:pt>
                <c:pt idx="1">
                  <c:v>-747122088.978025</c:v>
                </c:pt>
                <c:pt idx="2">
                  <c:v>234520205.152405</c:v>
                </c:pt>
                <c:pt idx="3">
                  <c:v>113815809.898728</c:v>
                </c:pt>
                <c:pt idx="4">
                  <c:v>141203349.272976</c:v>
                </c:pt>
                <c:pt idx="5">
                  <c:v>53904987.8609884</c:v>
                </c:pt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Analysis'!$F$32:$F$37</c:f>
              <c:numCache>
                <c:formatCode>\$#,##0;"($"#,##0\);\-</c:formatCode>
                <c:ptCount val="6"/>
                <c:pt idx="0">
                  <c:v>417122518.009823</c:v>
                </c:pt>
                <c:pt idx="1">
                  <c:v>373561044.489013</c:v>
                </c:pt>
                <c:pt idx="2">
                  <c:v>-469040410.30481</c:v>
                </c:pt>
                <c:pt idx="3">
                  <c:v>-569079049.493639</c:v>
                </c:pt>
                <c:pt idx="4">
                  <c:v>-188918183.002911</c:v>
                </c:pt>
                <c:pt idx="5">
                  <c:v>-80857481.791482</c:v>
                </c:pt>
              </c:numCache>
            </c:numRef>
          </c:val>
        </c:ser>
        <c:gapWidth val="150"/>
        <c:overlap val="100"/>
        <c:axId val="6872420"/>
        <c:axId val="9300790"/>
      </c:barChart>
      <c:catAx>
        <c:axId val="68724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0790"/>
        <c:crosses val="autoZero"/>
        <c:auto val="1"/>
        <c:lblAlgn val="ctr"/>
        <c:lblOffset val="100"/>
        <c:noMultiLvlLbl val="0"/>
      </c:catAx>
      <c:valAx>
        <c:axId val="9300790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4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-$1,456M</c:v>
                </c:pt>
                <c:pt idx="1">
                  <c:v>-$1,348M</c:v>
                </c:pt>
                <c:pt idx="2">
                  <c:v>-$1,240M</c:v>
                </c:pt>
                <c:pt idx="3">
                  <c:v>-$1,132M</c:v>
                </c:pt>
                <c:pt idx="4">
                  <c:v>-$1,025M</c:v>
                </c:pt>
                <c:pt idx="5">
                  <c:v>-$917M</c:v>
                </c:pt>
                <c:pt idx="6">
                  <c:v>-$809M</c:v>
                </c:pt>
                <c:pt idx="7">
                  <c:v>-$701M</c:v>
                </c:pt>
                <c:pt idx="8">
                  <c:v>-$593M</c:v>
                </c:pt>
                <c:pt idx="9">
                  <c:v>-$485M</c:v>
                </c:pt>
                <c:pt idx="10">
                  <c:v>-$377M</c:v>
                </c:pt>
                <c:pt idx="11">
                  <c:v>-$270M</c:v>
                </c:pt>
                <c:pt idx="12">
                  <c:v>-$162M</c:v>
                </c:pt>
                <c:pt idx="13">
                  <c:v>-$54M</c:v>
                </c:pt>
                <c:pt idx="14">
                  <c:v>$54M</c:v>
                </c:pt>
                <c:pt idx="15">
                  <c:v>$162M</c:v>
                </c:pt>
                <c:pt idx="16">
                  <c:v>$270M</c:v>
                </c:pt>
                <c:pt idx="17">
                  <c:v>$377M</c:v>
                </c:pt>
                <c:pt idx="18">
                  <c:v>$485M</c:v>
                </c:pt>
                <c:pt idx="19">
                  <c:v>$593M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7</c:v>
                </c:pt>
                <c:pt idx="1">
                  <c:v>4</c:v>
                </c:pt>
                <c:pt idx="2">
                  <c:v>16</c:v>
                </c:pt>
                <c:pt idx="3">
                  <c:v>34</c:v>
                </c:pt>
                <c:pt idx="4">
                  <c:v>46</c:v>
                </c:pt>
                <c:pt idx="5">
                  <c:v>68</c:v>
                </c:pt>
                <c:pt idx="6">
                  <c:v>67</c:v>
                </c:pt>
                <c:pt idx="7">
                  <c:v>80</c:v>
                </c:pt>
                <c:pt idx="8">
                  <c:v>102</c:v>
                </c:pt>
                <c:pt idx="9">
                  <c:v>120</c:v>
                </c:pt>
                <c:pt idx="10">
                  <c:v>105</c:v>
                </c:pt>
                <c:pt idx="11">
                  <c:v>84</c:v>
                </c:pt>
                <c:pt idx="12">
                  <c:v>87</c:v>
                </c:pt>
                <c:pt idx="13">
                  <c:v>62</c:v>
                </c:pt>
                <c:pt idx="14">
                  <c:v>56</c:v>
                </c:pt>
                <c:pt idx="15">
                  <c:v>29</c:v>
                </c:pt>
                <c:pt idx="16">
                  <c:v>17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</c:ser>
        <c:gapWidth val="10"/>
        <c:overlap val="0"/>
        <c:axId val="22799936"/>
        <c:axId val="81599755"/>
      </c:barChart>
      <c:catAx>
        <c:axId val="22799936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99755"/>
        <c:crosses val="autoZero"/>
        <c:auto val="1"/>
        <c:lblAlgn val="ctr"/>
        <c:lblOffset val="100"/>
        <c:noMultiLvlLbl val="0"/>
      </c:catAx>
      <c:valAx>
        <c:axId val="8159975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99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and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'Operating Model'!$H$16:$H$25</c:f>
              <c:numCache>
                <c:formatCode>0</c:formatCode>
                <c:ptCount val="10"/>
                <c:pt idx="0">
                  <c:v>3</c:v>
                </c:pt>
                <c:pt idx="1">
                  <c:v>5</c:v>
                </c:pt>
              </c:numCache>
            </c:numRef>
          </c:xVal>
          <c:yVal>
            <c:numRef>
              <c:f>'Operating Model'!$G$16:$G$25</c:f>
              <c:numCache>
                <c:formatCode>0</c:formatCode>
                <c:ptCount val="10"/>
                <c:pt idx="0">
                  <c:v>5</c:v>
                </c:pt>
                <c:pt idx="1">
                  <c:v>3</c:v>
                </c:pt>
              </c:numCache>
            </c:numRef>
          </c:yVal>
          <c:smooth val="1"/>
        </c:ser>
        <c:axId val="65246393"/>
        <c:axId val="21976695"/>
      </c:scatterChart>
      <c:valAx>
        <c:axId val="65246393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76695"/>
        <c:crosses val="autoZero"/>
        <c:crossBetween val="midCat"/>
      </c:valAx>
      <c:valAx>
        <c:axId val="21976695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4639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Charts'!A60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Charts'!$B$60:$D$60</c:f>
              <c:numCache>
                <c:formatCode>\$0.00</c:formatCode>
                <c:ptCount val="3"/>
                <c:pt idx="0">
                  <c:v>1.85</c:v>
                </c:pt>
                <c:pt idx="1">
                  <c:v>2.1</c:v>
                </c:pt>
                <c:pt idx="2">
                  <c:v>2.32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Charts'!A61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Charts'!$B$61:$D$61</c:f>
              <c:numCache>
                <c:formatCode>\$0.00</c:formatCode>
                <c:ptCount val="3"/>
                <c:pt idx="0">
                  <c:v>2</c:v>
                </c:pt>
                <c:pt idx="1">
                  <c:v>2.15</c:v>
                </c:pt>
                <c:pt idx="2">
                  <c:v>2.3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58241"/>
        <c:axId val="95108305"/>
      </c:lineChart>
      <c:catAx>
        <c:axId val="9258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08305"/>
        <c:crosses val="autoZero"/>
        <c:auto val="1"/>
        <c:lblAlgn val="ctr"/>
        <c:lblOffset val="100"/>
        <c:noMultiLvlLbl val="0"/>
      </c:catAx>
      <c:valAx>
        <c:axId val="95108305"/>
        <c:scaling>
          <c:orientation val="minMax"/>
        </c:scaling>
        <c:delete val="0"/>
        <c:axPos val="l"/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8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Charts'!$B$62:$D$62</c:f>
              <c:numCache>
                <c:formatCode>0.0%</c:formatCode>
                <c:ptCount val="3"/>
                <c:pt idx="0">
                  <c:v>0.142</c:v>
                </c:pt>
                <c:pt idx="1">
                  <c:v>0.155</c:v>
                </c:pt>
                <c:pt idx="2">
                  <c:v>0.168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Charts'!A63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Charts'!$B$63:$D$63</c:f>
              <c:numCache>
                <c:formatCode>0.0%</c:formatCode>
                <c:ptCount val="3"/>
                <c:pt idx="0">
                  <c:v>0.15</c:v>
                </c:pt>
                <c:pt idx="1">
                  <c:v>0.155</c:v>
                </c:pt>
                <c:pt idx="2">
                  <c:v>0.16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944864"/>
        <c:axId val="40646528"/>
      </c:lineChart>
      <c:catAx>
        <c:axId val="509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6528"/>
        <c:crosses val="autoZero"/>
        <c:auto val="1"/>
        <c:lblAlgn val="ctr"/>
        <c:lblOffset val="100"/>
        <c:noMultiLvlLbl val="0"/>
      </c:catAx>
      <c:valAx>
        <c:axId val="406465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48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Charts'!A64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Charts'!$B$64:$D$64</c:f>
              <c:numCache>
                <c:formatCode>\$0.00</c:formatCode>
                <c:ptCount val="3"/>
                <c:pt idx="0">
                  <c:v>22.4</c:v>
                </c:pt>
                <c:pt idx="1">
                  <c:v>26.1</c:v>
                </c:pt>
                <c:pt idx="2">
                  <c:v>29.5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Charts'!A65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Charts'!$B$65:$D$65</c:f>
              <c:numCache>
                <c:formatCode>\$0.00</c:formatCode>
                <c:ptCount val="3"/>
                <c:pt idx="0">
                  <c:v>25</c:v>
                </c:pt>
                <c:pt idx="1">
                  <c:v>27</c:v>
                </c:pt>
                <c:pt idx="2">
                  <c:v>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107035"/>
        <c:axId val="26553405"/>
      </c:lineChart>
      <c:catAx>
        <c:axId val="60107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53405"/>
        <c:crosses val="autoZero"/>
        <c:auto val="1"/>
        <c:lblAlgn val="ctr"/>
        <c:lblOffset val="100"/>
        <c:noMultiLvlLbl val="0"/>
      </c:catAx>
      <c:valAx>
        <c:axId val="26553405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070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Charts'!A66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Charts'!$B$66:$D$66</c:f>
              <c:numCache>
                <c:formatCode>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Charts'!A67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Charts'!$B$67:$D$67</c:f>
              <c:numCache>
                <c:formatCode>0</c:formatCode>
                <c:ptCount val="3"/>
                <c:pt idx="0">
                  <c:v>70</c:v>
                </c:pt>
                <c:pt idx="1">
                  <c:v>72</c:v>
                </c:pt>
                <c:pt idx="2">
                  <c:v>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751863"/>
        <c:axId val="28242519"/>
      </c:lineChart>
      <c:catAx>
        <c:axId val="8575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42519"/>
        <c:crosses val="autoZero"/>
        <c:auto val="1"/>
        <c:lblAlgn val="ctr"/>
        <c:lblOffset val="100"/>
        <c:noMultiLvlLbl val="0"/>
      </c:catAx>
      <c:valAx>
        <c:axId val="2824251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518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 rating score (AAA = 21, 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Charts'!A68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Charts'!$B$68:$D$68</c:f>
              <c:numCache>
                <c:formatCode>0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240120"/>
        <c:axId val="3223039"/>
      </c:lineChart>
      <c:catAx>
        <c:axId val="7424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3039"/>
        <c:crosses val="autoZero"/>
        <c:auto val="1"/>
        <c:lblAlgn val="ctr"/>
        <c:lblOffset val="100"/>
        <c:noMultiLvlLbl val="0"/>
      </c:catAx>
      <c:valAx>
        <c:axId val="322303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401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score by company (scoreboard)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Charts'!A85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Charts'!$B$85:$D$85</c:f>
              <c:numCache>
                <c:formatCode>0</c:formatCode>
                <c:ptCount val="3"/>
                <c:pt idx="0">
                  <c:v>80</c:v>
                </c:pt>
                <c:pt idx="1">
                  <c:v>79</c:v>
                </c:pt>
                <c:pt idx="2">
                  <c:v>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Charts'!A86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Charts'!$B$86:$D$86</c:f>
              <c:numCache>
                <c:formatCode>0</c:formatCode>
                <c:ptCount val="3"/>
                <c:pt idx="0">
                  <c:v>72</c:v>
                </c:pt>
                <c:pt idx="1">
                  <c:v>73</c:v>
                </c:pt>
                <c:pt idx="2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Charts'!A87</c:f>
              <c:strCache>
                <c:ptCount val="1"/>
                <c:pt idx="0">
                  <c:v>Company C (you)</c:v>
                </c:pt>
              </c:strCache>
            </c:strRef>
          </c:tx>
          <c:spPr>
            <a:solidFill>
              <a:srgbClr val="c9a55c"/>
            </a:solidFill>
            <a:ln w="381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Charts'!$B$87:$D$87</c:f>
              <c:numCache>
                <c:formatCode>0</c:formatCode>
                <c:ptCount val="3"/>
                <c:pt idx="0">
                  <c:v>78</c:v>
                </c:pt>
                <c:pt idx="1">
                  <c:v>84</c:v>
                </c:pt>
                <c:pt idx="2">
                  <c:v>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Charts'!A88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Charts'!$B$88:$D$88</c:f>
              <c:numCache>
                <c:formatCode>0</c:formatCode>
                <c:ptCount val="3"/>
                <c:pt idx="0">
                  <c:v>85</c:v>
                </c:pt>
                <c:pt idx="1">
                  <c:v>86</c:v>
                </c:pt>
                <c:pt idx="2">
                  <c:v>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'KPI Charts'!A89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2196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Charts'!$B$89:$D$89</c:f>
              <c:numCache>
                <c:formatCode>0</c:formatCode>
                <c:ptCount val="3"/>
                <c:pt idx="0">
                  <c:v>70</c:v>
                </c:pt>
                <c:pt idx="1">
                  <c:v>72</c:v>
                </c:pt>
                <c:pt idx="2">
                  <c:v>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'KPI Charts'!A90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2196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Charts'!$B$90:$D$90</c:f>
              <c:numCache>
                <c:formatCode>0</c:formatCode>
                <c:ptCount val="3"/>
                <c:pt idx="0">
                  <c:v>75</c:v>
                </c:pt>
                <c:pt idx="1">
                  <c:v>75</c:v>
                </c:pt>
                <c:pt idx="2">
                  <c:v>81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'KPI Charts'!A91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6c757d"/>
            </a:solidFill>
            <a:ln w="2196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Charts'!$B$91:$D$91</c:f>
              <c:numCache>
                <c:formatCode>0</c:formatCode>
                <c:ptCount val="3"/>
                <c:pt idx="0">
                  <c:v>82</c:v>
                </c:pt>
                <c:pt idx="1">
                  <c:v>86</c:v>
                </c:pt>
                <c:pt idx="2">
                  <c:v>92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'KPI Charts'!A92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2196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Charts'!$B$92:$D$92</c:f>
              <c:numCache>
                <c:formatCode>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137226"/>
        <c:axId val="96247258"/>
      </c:lineChart>
      <c:catAx>
        <c:axId val="98137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47258"/>
        <c:crosses val="autoZero"/>
        <c:auto val="1"/>
        <c:lblAlgn val="ctr"/>
        <c:lblOffset val="100"/>
        <c:noMultiLvlLbl val="0"/>
      </c:catAx>
      <c:valAx>
        <c:axId val="96247258"/>
        <c:scaling>
          <c:orientation val="minMax"/>
          <c:max val="100"/>
          <c:min val="55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37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Your rank (1 = 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Charts'!A70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Charts'!$B$70:$D$70</c:f>
              <c:numCache>
                <c:formatCode>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709733"/>
        <c:axId val="94420436"/>
      </c:lineChart>
      <c:catAx>
        <c:axId val="45709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20436"/>
        <c:crosses val="autoZero"/>
        <c:auto val="1"/>
        <c:lblAlgn val="ctr"/>
        <c:lblOffset val="100"/>
        <c:noMultiLvlLbl val="0"/>
      </c:catAx>
      <c:valAx>
        <c:axId val="94420436"/>
        <c:scaling>
          <c:orientation val="maxMin"/>
          <c:min val="1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097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Charts'!A73</c:f>
              <c:strCache>
                <c:ptCount val="1"/>
                <c:pt idx="0">
                  <c:v>Cameras: share (%)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Charts'!$B$73:$D$73</c:f>
              <c:numCache>
                <c:formatCode>0.0</c:formatCode>
                <c:ptCount val="3"/>
                <c:pt idx="0">
                  <c:v>12.225</c:v>
                </c:pt>
                <c:pt idx="1">
                  <c:v>12.975</c:v>
                </c:pt>
                <c:pt idx="2">
                  <c:v>13.575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Charts'!A74</c:f>
              <c:strCache>
                <c:ptCount val="1"/>
                <c:pt idx="0">
                  <c:v>Drones: share (%)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Charts'!$B$74:$D$74</c:f>
              <c:numCache>
                <c:formatCode>0.0</c:formatCode>
                <c:ptCount val="3"/>
                <c:pt idx="0">
                  <c:v>11.975</c:v>
                </c:pt>
                <c:pt idx="1">
                  <c:v>12.55</c:v>
                </c:pt>
                <c:pt idx="2">
                  <c:v>13.125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301661"/>
        <c:axId val="27230536"/>
      </c:lineChart>
      <c:catAx>
        <c:axId val="30301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30536"/>
        <c:crosses val="autoZero"/>
        <c:auto val="1"/>
        <c:lblAlgn val="ctr"/>
        <c:lblOffset val="100"/>
        <c:noMultiLvlLbl val="0"/>
      </c:catAx>
      <c:valAx>
        <c:axId val="27230536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016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Charts'!A75</c:f>
              <c:strCache>
                <c:ptCount val="1"/>
                <c:pt idx="0">
                  <c:v>Cameras: cost per unit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Charts'!$B$75:$D$75</c:f>
              <c:numCache>
                <c:formatCode>\$#,##0</c:formatCode>
                <c:ptCount val="3"/>
                <c:pt idx="0">
                  <c:v>182</c:v>
                </c:pt>
                <c:pt idx="1">
                  <c:v>176</c:v>
                </c:pt>
                <c:pt idx="2">
                  <c:v>171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Charts'!A76</c:f>
              <c:strCache>
                <c:ptCount val="1"/>
                <c:pt idx="0">
                  <c:v>Cameras: industry cost per unit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Charts'!$B$76:$D$76</c:f>
              <c:numCache>
                <c:formatCode>\$#,##0</c:formatCode>
                <c:ptCount val="3"/>
                <c:pt idx="0">
                  <c:v>186</c:v>
                </c:pt>
                <c:pt idx="1">
                  <c:v>184</c:v>
                </c:pt>
                <c:pt idx="2">
                  <c:v>181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Charts'!A77</c:f>
              <c:strCache>
                <c:ptCount val="1"/>
                <c:pt idx="0">
                  <c:v>Drones: cost per unit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Charts'!$B$77:$D$77</c:f>
              <c:numCache>
                <c:formatCode>\$#,##0</c:formatCode>
                <c:ptCount val="3"/>
                <c:pt idx="0">
                  <c:v>905</c:v>
                </c:pt>
                <c:pt idx="1">
                  <c:v>884</c:v>
                </c:pt>
                <c:pt idx="2">
                  <c:v>870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Charts'!A78</c:f>
              <c:strCache>
                <c:ptCount val="1"/>
                <c:pt idx="0">
                  <c:v>Drones: industry cost per unit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Charts'!$B$78:$D$78</c:f>
              <c:numCache>
                <c:formatCode>\$#,##0</c:formatCode>
                <c:ptCount val="3"/>
                <c:pt idx="0">
                  <c:v>890</c:v>
                </c:pt>
                <c:pt idx="1">
                  <c:v>879</c:v>
                </c:pt>
                <c:pt idx="2">
                  <c:v>871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462282"/>
        <c:axId val="68665172"/>
      </c:lineChart>
      <c:catAx>
        <c:axId val="28462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65172"/>
        <c:crosses val="autoZero"/>
        <c:auto val="1"/>
        <c:lblAlgn val="ctr"/>
        <c:lblOffset val="100"/>
        <c:noMultiLvlLbl val="0"/>
      </c:catAx>
      <c:valAx>
        <c:axId val="68665172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622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Position vs industry: price and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Charts'!A79</c:f>
              <c:strCache>
                <c:ptCount val="1"/>
                <c:pt idx="0">
                  <c:v>Cameras: price vs industry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Charts'!$B$79:$D$79</c:f>
              <c:numCache>
                <c:formatCode>\+0.0%;\-0.0%;0.0%</c:formatCode>
                <c:ptCount val="3"/>
                <c:pt idx="0">
                  <c:v>-0.0434782608695652</c:v>
                </c:pt>
                <c:pt idx="1">
                  <c:v>-0.044280442804428</c:v>
                </c:pt>
                <c:pt idx="2">
                  <c:v>-0.0485074626865671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Charts'!A80</c:f>
              <c:strCache>
                <c:ptCount val="1"/>
                <c:pt idx="0">
                  <c:v>Cameras: cost vs industry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Charts'!$B$80:$D$80</c:f>
              <c:numCache>
                <c:formatCode>\+0.0%;\-0.0%;0.0%</c:formatCode>
                <c:ptCount val="3"/>
                <c:pt idx="0">
                  <c:v>-0.021505376344086</c:v>
                </c:pt>
                <c:pt idx="1">
                  <c:v>-0.0434782608695652</c:v>
                </c:pt>
                <c:pt idx="2">
                  <c:v>-0.0552486187845304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Charts'!A81</c:f>
              <c:strCache>
                <c:ptCount val="1"/>
                <c:pt idx="0">
                  <c:v>Drones: price vs industry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Charts'!$B$81:$D$81</c:f>
              <c:numCache>
                <c:formatCode>\+0.0%;\-0.0%;0.0%</c:formatCode>
                <c:ptCount val="3"/>
                <c:pt idx="0">
                  <c:v>0.0351464435146442</c:v>
                </c:pt>
                <c:pt idx="1">
                  <c:v>0.0345117845117846</c:v>
                </c:pt>
                <c:pt idx="2">
                  <c:v>0.0321761219305674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Charts'!A82</c:f>
              <c:strCache>
                <c:ptCount val="1"/>
                <c:pt idx="0">
                  <c:v>Drones: cost vs industry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Charts'!$B$82:$D$82</c:f>
              <c:numCache>
                <c:formatCode>\+0.0%;\-0.0%;0.0%</c:formatCode>
                <c:ptCount val="3"/>
                <c:pt idx="0">
                  <c:v>0.0168539325842696</c:v>
                </c:pt>
                <c:pt idx="1">
                  <c:v>0.00568828213879402</c:v>
                </c:pt>
                <c:pt idx="2">
                  <c:v>-0.00114810562571754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519628"/>
        <c:axId val="88549195"/>
      </c:lineChart>
      <c:catAx>
        <c:axId val="34519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49195"/>
        <c:crosses val="autoZero"/>
        <c:auto val="1"/>
        <c:lblAlgn val="ctr"/>
        <c:lblOffset val="100"/>
        <c:noMultiLvlLbl val="0"/>
      </c:catAx>
      <c:valAx>
        <c:axId val="8854919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196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Charts'!A71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Charts'!$B$71:$D$71</c:f>
              <c:numCache>
                <c:formatCode>#,##0</c:formatCode>
                <c:ptCount val="3"/>
                <c:pt idx="0">
                  <c:v>412000</c:v>
                </c:pt>
                <c:pt idx="1">
                  <c:v>455000</c:v>
                </c:pt>
                <c:pt idx="2">
                  <c:v>498000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Charts'!A72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Charts'!$B$72:$D$72</c:f>
              <c:numCache>
                <c:formatCode>#,##0</c:formatCode>
                <c:ptCount val="3"/>
                <c:pt idx="0">
                  <c:v>18500</c:v>
                </c:pt>
                <c:pt idx="1">
                  <c:v>21900</c:v>
                </c:pt>
                <c:pt idx="2">
                  <c:v>24800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852765"/>
        <c:axId val="87261906"/>
      </c:lineChart>
      <c:catAx>
        <c:axId val="41852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61906"/>
        <c:crosses val="autoZero"/>
        <c:auto val="1"/>
        <c:lblAlgn val="ctr"/>
        <c:lblOffset val="100"/>
        <c:noMultiLvlLbl val="0"/>
      </c:catAx>
      <c:valAx>
        <c:axId val="8726190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527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Charts'!A83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Charts'!$B$83:$D$83</c:f>
              <c:numCache>
                <c:formatCode>0.0%</c:formatCode>
                <c:ptCount val="3"/>
                <c:pt idx="0">
                  <c:v>0.11</c:v>
                </c:pt>
                <c:pt idx="1">
                  <c:v>0.125</c:v>
                </c:pt>
                <c:pt idx="2">
                  <c:v>0.135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Charts'!A84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Charts'!$B$84:$D$84</c:f>
              <c:numCache>
                <c:formatCode>0.0%</c:formatCode>
                <c:ptCount val="3"/>
                <c:pt idx="0">
                  <c:v>0.09</c:v>
                </c:pt>
                <c:pt idx="1">
                  <c:v>0.105</c:v>
                </c:pt>
                <c:pt idx="2">
                  <c:v>0.112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70453"/>
        <c:axId val="71403247"/>
      </c:lineChart>
      <c:catAx>
        <c:axId val="456704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03247"/>
        <c:crosses val="autoZero"/>
        <c:auto val="1"/>
        <c:lblAlgn val="ctr"/>
        <c:lblOffset val="100"/>
        <c:noMultiLvlLbl val="0"/>
      </c:catAx>
      <c:valAx>
        <c:axId val="714032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704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<Relationship Id="rId1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7</xdr:col>
      <xdr:colOff>1374480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343560" y="762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18360</xdr:rowOff>
    </xdr:from>
    <xdr:to>
      <xdr:col>3</xdr:col>
      <xdr:colOff>1155240</xdr:colOff>
      <xdr:row>29</xdr:row>
      <xdr:rowOff>61560</xdr:rowOff>
    </xdr:to>
    <xdr:graphicFrame>
      <xdr:nvGraphicFramePr>
        <xdr:cNvPr id="1" name="Chart 1"/>
        <xdr:cNvGraphicFramePr/>
      </xdr:nvGraphicFramePr>
      <xdr:xfrm>
        <a:off x="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36</xdr:row>
      <xdr:rowOff>186840</xdr:rowOff>
    </xdr:to>
    <xdr:graphicFrame>
      <xdr:nvGraphicFramePr>
        <xdr:cNvPr id="2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48</xdr:row>
      <xdr:rowOff>129600</xdr:rowOff>
    </xdr:from>
    <xdr:to>
      <xdr:col>9</xdr:col>
      <xdr:colOff>747360</xdr:colOff>
      <xdr:row>57</xdr:row>
      <xdr:rowOff>249840</xdr:rowOff>
    </xdr:to>
    <xdr:graphicFrame>
      <xdr:nvGraphicFramePr>
        <xdr:cNvPr id="3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3</xdr:col>
      <xdr:colOff>231480</xdr:colOff>
      <xdr:row>41</xdr:row>
      <xdr:rowOff>153000</xdr:rowOff>
    </xdr:to>
    <xdr:graphicFrame>
      <xdr:nvGraphicFramePr>
        <xdr:cNvPr id="4" name="Chart 1"/>
        <xdr:cNvGraphicFramePr/>
      </xdr:nvGraphicFramePr>
      <xdr:xfrm>
        <a:off x="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17</xdr:col>
      <xdr:colOff>131040</xdr:colOff>
      <xdr:row>28</xdr:row>
      <xdr:rowOff>92520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8646840" y="762120"/>
          <a:ext cx="6857640" cy="491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3</xdr:col>
      <xdr:colOff>552600</xdr:colOff>
      <xdr:row>16</xdr:row>
      <xdr:rowOff>174240</xdr:rowOff>
    </xdr:to>
    <xdr:graphicFrame>
      <xdr:nvGraphicFramePr>
        <xdr:cNvPr id="6" name="Chart 1"/>
        <xdr:cNvGraphicFramePr/>
      </xdr:nvGraphicFramePr>
      <xdr:xfrm>
        <a:off x="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131040</xdr:rowOff>
    </xdr:from>
    <xdr:to>
      <xdr:col>14</xdr:col>
      <xdr:colOff>219240</xdr:colOff>
      <xdr:row>16</xdr:row>
      <xdr:rowOff>174240</xdr:rowOff>
    </xdr:to>
    <xdr:graphicFrame>
      <xdr:nvGraphicFramePr>
        <xdr:cNvPr id="7" name="Chart 2"/>
        <xdr:cNvGraphicFramePr/>
      </xdr:nvGraphicFramePr>
      <xdr:xfrm>
        <a:off x="655704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3</xdr:col>
      <xdr:colOff>552600</xdr:colOff>
      <xdr:row>31</xdr:row>
      <xdr:rowOff>173880</xdr:rowOff>
    </xdr:to>
    <xdr:graphicFrame>
      <xdr:nvGraphicFramePr>
        <xdr:cNvPr id="8" name="Chart 3"/>
        <xdr:cNvGraphicFramePr/>
      </xdr:nvGraphicFramePr>
      <xdr:xfrm>
        <a:off x="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14</xdr:col>
      <xdr:colOff>219240</xdr:colOff>
      <xdr:row>31</xdr:row>
      <xdr:rowOff>173880</xdr:rowOff>
    </xdr:to>
    <xdr:graphicFrame>
      <xdr:nvGraphicFramePr>
        <xdr:cNvPr id="9" name="Chart 4"/>
        <xdr:cNvGraphicFramePr/>
      </xdr:nvGraphicFramePr>
      <xdr:xfrm>
        <a:off x="655704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3</xdr:col>
      <xdr:colOff>552600</xdr:colOff>
      <xdr:row>46</xdr:row>
      <xdr:rowOff>174240</xdr:rowOff>
    </xdr:to>
    <xdr:graphicFrame>
      <xdr:nvGraphicFramePr>
        <xdr:cNvPr id="10" name="Chart 5"/>
        <xdr:cNvGraphicFramePr/>
      </xdr:nvGraphicFramePr>
      <xdr:xfrm>
        <a:off x="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131040</xdr:rowOff>
    </xdr:from>
    <xdr:to>
      <xdr:col>14</xdr:col>
      <xdr:colOff>219240</xdr:colOff>
      <xdr:row>46</xdr:row>
      <xdr:rowOff>174240</xdr:rowOff>
    </xdr:to>
    <xdr:graphicFrame>
      <xdr:nvGraphicFramePr>
        <xdr:cNvPr id="11" name="Chart 6"/>
        <xdr:cNvGraphicFramePr/>
      </xdr:nvGraphicFramePr>
      <xdr:xfrm>
        <a:off x="655704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48</xdr:row>
      <xdr:rowOff>130680</xdr:rowOff>
    </xdr:from>
    <xdr:to>
      <xdr:col>3</xdr:col>
      <xdr:colOff>552600</xdr:colOff>
      <xdr:row>60</xdr:row>
      <xdr:rowOff>173880</xdr:rowOff>
    </xdr:to>
    <xdr:graphicFrame>
      <xdr:nvGraphicFramePr>
        <xdr:cNvPr id="12" name="Chart 7"/>
        <xdr:cNvGraphicFramePr/>
      </xdr:nvGraphicFramePr>
      <xdr:xfrm>
        <a:off x="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48</xdr:row>
      <xdr:rowOff>130680</xdr:rowOff>
    </xdr:from>
    <xdr:to>
      <xdr:col>14</xdr:col>
      <xdr:colOff>219240</xdr:colOff>
      <xdr:row>60</xdr:row>
      <xdr:rowOff>173880</xdr:rowOff>
    </xdr:to>
    <xdr:graphicFrame>
      <xdr:nvGraphicFramePr>
        <xdr:cNvPr id="13" name="Chart 8"/>
        <xdr:cNvGraphicFramePr/>
      </xdr:nvGraphicFramePr>
      <xdr:xfrm>
        <a:off x="655704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63</xdr:row>
      <xdr:rowOff>131040</xdr:rowOff>
    </xdr:from>
    <xdr:to>
      <xdr:col>3</xdr:col>
      <xdr:colOff>552600</xdr:colOff>
      <xdr:row>76</xdr:row>
      <xdr:rowOff>173880</xdr:rowOff>
    </xdr:to>
    <xdr:graphicFrame>
      <xdr:nvGraphicFramePr>
        <xdr:cNvPr id="14" name="Chart 9"/>
        <xdr:cNvGraphicFramePr/>
      </xdr:nvGraphicFramePr>
      <xdr:xfrm>
        <a:off x="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63</xdr:row>
      <xdr:rowOff>131040</xdr:rowOff>
    </xdr:from>
    <xdr:to>
      <xdr:col>14</xdr:col>
      <xdr:colOff>219240</xdr:colOff>
      <xdr:row>76</xdr:row>
      <xdr:rowOff>173880</xdr:rowOff>
    </xdr:to>
    <xdr:graphicFrame>
      <xdr:nvGraphicFramePr>
        <xdr:cNvPr id="15" name="Chart 10"/>
        <xdr:cNvGraphicFramePr/>
      </xdr:nvGraphicFramePr>
      <xdr:xfrm>
        <a:off x="655704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78</xdr:row>
      <xdr:rowOff>130680</xdr:rowOff>
    </xdr:from>
    <xdr:to>
      <xdr:col>3</xdr:col>
      <xdr:colOff>552600</xdr:colOff>
      <xdr:row>91</xdr:row>
      <xdr:rowOff>173880</xdr:rowOff>
    </xdr:to>
    <xdr:graphicFrame>
      <xdr:nvGraphicFramePr>
        <xdr:cNvPr id="16" name="Chart 11"/>
        <xdr:cNvGraphicFramePr/>
      </xdr:nvGraphicFramePr>
      <xdr:xfrm>
        <a:off x="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0</xdr:colOff>
      <xdr:row>78</xdr:row>
      <xdr:rowOff>130680</xdr:rowOff>
    </xdr:from>
    <xdr:to>
      <xdr:col>14</xdr:col>
      <xdr:colOff>219240</xdr:colOff>
      <xdr:row>91</xdr:row>
      <xdr:rowOff>173880</xdr:rowOff>
    </xdr:to>
    <xdr:graphicFrame>
      <xdr:nvGraphicFramePr>
        <xdr:cNvPr id="17" name="Chart 12"/>
        <xdr:cNvGraphicFramePr/>
      </xdr:nvGraphicFramePr>
      <xdr:xfrm>
        <a:off x="655704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3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5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35.0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6" t="s">
        <v>9</v>
      </c>
      <c r="C9" s="5"/>
    </row>
    <row r="10" customFormat="false" ht="23.85" hidden="false" customHeight="false" outlineLevel="0" collapsed="false">
      <c r="B10" s="4" t="s">
        <v>10</v>
      </c>
      <c r="C10" s="5" t="s">
        <v>11</v>
      </c>
    </row>
    <row r="11" customFormat="false" ht="23.8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  <row r="16" customFormat="false" ht="23.8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6" t="s">
        <v>24</v>
      </c>
      <c r="C17" s="5"/>
    </row>
    <row r="18" customFormat="false" ht="23.85" hidden="false" customHeight="false" outlineLevel="0" collapsed="false">
      <c r="B18" s="4" t="s">
        <v>25</v>
      </c>
      <c r="C18" s="5" t="s">
        <v>26</v>
      </c>
    </row>
    <row r="19" customFormat="false" ht="15" hidden="false" customHeight="false" outlineLevel="0" collapsed="false">
      <c r="B19" s="4" t="s">
        <v>27</v>
      </c>
      <c r="C19" s="5" t="s">
        <v>28</v>
      </c>
    </row>
    <row r="20" customFormat="false" ht="15" hidden="false" customHeight="fals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4" t="s">
        <v>31</v>
      </c>
      <c r="C21" s="5" t="s">
        <v>32</v>
      </c>
    </row>
    <row r="22" customFormat="false" ht="15" hidden="false" customHeight="false" outlineLevel="0" collapsed="false">
      <c r="B22" s="4" t="s">
        <v>33</v>
      </c>
      <c r="C22" s="5" t="s">
        <v>34</v>
      </c>
    </row>
    <row r="23" customFormat="false" ht="15" hidden="false" customHeight="false" outlineLevel="0" collapsed="false">
      <c r="B23" s="4" t="s">
        <v>35</v>
      </c>
      <c r="C23" s="5" t="s">
        <v>36</v>
      </c>
    </row>
    <row r="24" customFormat="false" ht="15" hidden="false" customHeight="false" outlineLevel="0" collapsed="false">
      <c r="B24" s="4" t="s">
        <v>37</v>
      </c>
      <c r="C24" s="5" t="s">
        <v>38</v>
      </c>
    </row>
    <row r="25" customFormat="false" ht="15" hidden="false" customHeight="false" outlineLevel="0" collapsed="false">
      <c r="B25" s="6" t="s">
        <v>39</v>
      </c>
      <c r="C25" s="5"/>
    </row>
    <row r="26" customFormat="false" ht="15" hidden="false" customHeight="false" outlineLevel="0" collapsed="false">
      <c r="B26" s="4" t="s">
        <v>40</v>
      </c>
      <c r="C26" s="5" t="s">
        <v>41</v>
      </c>
    </row>
    <row r="27" customFormat="false" ht="15" hidden="false" customHeight="false" outlineLevel="0" collapsed="false">
      <c r="B27" s="4" t="s">
        <v>42</v>
      </c>
      <c r="C27" s="5" t="s">
        <v>43</v>
      </c>
    </row>
    <row r="28" customFormat="false" ht="15" hidden="false" customHeight="false" outlineLevel="0" collapsed="false">
      <c r="B28" s="4" t="s">
        <v>44</v>
      </c>
      <c r="C28" s="5" t="s">
        <v>45</v>
      </c>
    </row>
    <row r="29" customFormat="false" ht="15" hidden="false" customHeight="false" outlineLevel="0" collapsed="false">
      <c r="B29" s="4" t="s">
        <v>46</v>
      </c>
      <c r="C29" s="5" t="s">
        <v>47</v>
      </c>
    </row>
    <row r="30" customFormat="false" ht="23.85" hidden="false" customHeight="false" outlineLevel="0" collapsed="false">
      <c r="B30" s="4" t="s">
        <v>48</v>
      </c>
      <c r="C30" s="5" t="s">
        <v>49</v>
      </c>
    </row>
    <row r="31" customFormat="false" ht="15" hidden="false" customHeight="false" outlineLevel="0" collapsed="false">
      <c r="B31" s="4" t="s">
        <v>50</v>
      </c>
      <c r="C31" s="5" t="s">
        <v>51</v>
      </c>
    </row>
    <row r="32" customFormat="false" ht="15" hidden="false" customHeight="false" outlineLevel="0" collapsed="false">
      <c r="B32" s="4" t="s">
        <v>52</v>
      </c>
      <c r="C32" s="5" t="s">
        <v>53</v>
      </c>
    </row>
    <row r="33" customFormat="false" ht="15" hidden="false" customHeight="false" outlineLevel="0" collapsed="false">
      <c r="B33" s="4" t="s">
        <v>54</v>
      </c>
      <c r="C33" s="5" t="s">
        <v>55</v>
      </c>
    </row>
    <row r="34" customFormat="false" ht="15" hidden="false" customHeight="false" outlineLevel="0" collapsed="false">
      <c r="B34" s="4" t="s">
        <v>56</v>
      </c>
      <c r="C34" s="5" t="s">
        <v>57</v>
      </c>
    </row>
    <row r="35" customFormat="false" ht="15" hidden="false" customHeight="false" outlineLevel="0" collapsed="false">
      <c r="B35" s="4" t="s">
        <v>58</v>
      </c>
      <c r="C35" s="5" t="s">
        <v>59</v>
      </c>
    </row>
    <row r="36" customFormat="false" ht="15" hidden="false" customHeight="false" outlineLevel="0" collapsed="false">
      <c r="B36" s="4" t="s">
        <v>60</v>
      </c>
      <c r="C36" s="5" t="s">
        <v>61</v>
      </c>
    </row>
    <row r="37" customFormat="false" ht="15" hidden="false" customHeight="false" outlineLevel="0" collapsed="false">
      <c r="B37" s="4" t="s">
        <v>62</v>
      </c>
      <c r="C37" s="5" t="s">
        <v>63</v>
      </c>
    </row>
    <row r="38" customFormat="false" ht="15" hidden="false" customHeight="false" outlineLevel="0" collapsed="false">
      <c r="B38" s="4" t="s">
        <v>64</v>
      </c>
      <c r="C38" s="5" t="s">
        <v>65</v>
      </c>
    </row>
    <row r="39" customFormat="false" ht="15" hidden="false" customHeight="false" outlineLevel="0" collapsed="false">
      <c r="B39" s="4" t="s">
        <v>66</v>
      </c>
      <c r="C39" s="5" t="s">
        <v>67</v>
      </c>
    </row>
    <row r="40" customFormat="false" ht="15" hidden="false" customHeight="false" outlineLevel="0" collapsed="false">
      <c r="B40" s="6" t="s">
        <v>68</v>
      </c>
      <c r="C40" s="5"/>
    </row>
    <row r="41" customFormat="false" ht="15" hidden="false" customHeight="false" outlineLevel="0" collapsed="false">
      <c r="B41" s="4" t="s">
        <v>69</v>
      </c>
      <c r="C41" s="5" t="s">
        <v>70</v>
      </c>
    </row>
    <row r="42" customFormat="false" ht="23.85" hidden="false" customHeight="false" outlineLevel="0" collapsed="false">
      <c r="B42" s="4" t="s">
        <v>71</v>
      </c>
      <c r="C42" s="5" t="s">
        <v>72</v>
      </c>
    </row>
    <row r="43" customFormat="false" ht="23.85" hidden="false" customHeight="false" outlineLevel="0" collapsed="false">
      <c r="B43" s="4" t="s">
        <v>73</v>
      </c>
      <c r="C43" s="5" t="s">
        <v>74</v>
      </c>
    </row>
    <row r="44" customFormat="false" ht="23.85" hidden="false" customHeight="false" outlineLevel="0" collapsed="false">
      <c r="B44" s="4" t="s">
        <v>75</v>
      </c>
      <c r="C44" s="5" t="s">
        <v>76</v>
      </c>
    </row>
    <row r="45" customFormat="false" ht="23.85" hidden="false" customHeight="false" outlineLevel="0" collapsed="false">
      <c r="B45" s="4" t="s">
        <v>77</v>
      </c>
      <c r="C45" s="5" t="s">
        <v>78</v>
      </c>
    </row>
    <row r="46" customFormat="false" ht="23.85" hidden="false" customHeight="false" outlineLevel="0" collapsed="false">
      <c r="B46" s="4" t="s">
        <v>79</v>
      </c>
      <c r="C46" s="5" t="s">
        <v>80</v>
      </c>
    </row>
    <row r="47" customFormat="false" ht="23.85" hidden="false" customHeight="false" outlineLevel="0" collapsed="false">
      <c r="B47" s="4" t="s">
        <v>81</v>
      </c>
      <c r="C47" s="5" t="s">
        <v>82</v>
      </c>
    </row>
    <row r="49" customFormat="false" ht="15" hidden="false" customHeight="false" outlineLevel="0" collapsed="false">
      <c r="B49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7" t="s">
        <v>7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9" t="s">
        <v>86</v>
      </c>
      <c r="B5" s="9"/>
      <c r="C5" s="9"/>
      <c r="D5" s="9"/>
      <c r="E5" s="9"/>
      <c r="F5" s="9"/>
      <c r="G5" s="9"/>
      <c r="H5" s="9"/>
      <c r="I5" s="9"/>
    </row>
    <row r="6" customFormat="false" ht="31.5" hidden="false" customHeight="true" outlineLevel="0" collapsed="false">
      <c r="A6" s="10" t="s">
        <v>87</v>
      </c>
      <c r="B6" s="10"/>
      <c r="C6" s="11" t="s">
        <v>88</v>
      </c>
      <c r="D6" s="11"/>
      <c r="E6" s="11"/>
      <c r="F6" s="11"/>
      <c r="G6" s="11"/>
      <c r="H6" s="11"/>
      <c r="I6" s="11"/>
    </row>
    <row r="8" customFormat="false" ht="30" hidden="false" customHeight="true" outlineLevel="0" collapsed="false">
      <c r="A8" s="12" t="s">
        <v>89</v>
      </c>
      <c r="B8" s="12" t="s">
        <v>90</v>
      </c>
      <c r="C8" s="12"/>
      <c r="D8" s="12" t="s">
        <v>91</v>
      </c>
      <c r="E8" s="12" t="s">
        <v>92</v>
      </c>
    </row>
    <row r="9" customFormat="false" ht="15" hidden="false" customHeight="true" outlineLevel="0" collapsed="false">
      <c r="A9" s="13" t="s">
        <v>93</v>
      </c>
      <c r="B9" s="14" t="s">
        <v>94</v>
      </c>
      <c r="C9" s="14"/>
      <c r="D9" s="11" t="s">
        <v>95</v>
      </c>
      <c r="E9" s="11"/>
    </row>
    <row r="10" customFormat="false" ht="15" hidden="false" customHeight="false" outlineLevel="0" collapsed="false">
      <c r="A10" s="13" t="s">
        <v>96</v>
      </c>
      <c r="B10" s="14"/>
      <c r="C10" s="14"/>
      <c r="D10" s="11"/>
      <c r="E10" s="11"/>
    </row>
    <row r="11" customFormat="false" ht="15" hidden="false" customHeight="false" outlineLevel="0" collapsed="false">
      <c r="A11" s="13" t="s">
        <v>97</v>
      </c>
      <c r="B11" s="14"/>
      <c r="C11" s="14"/>
      <c r="D11" s="11"/>
      <c r="E11" s="11"/>
    </row>
    <row r="12" customFormat="false" ht="15" hidden="false" customHeight="false" outlineLevel="0" collapsed="false">
      <c r="A12" s="13" t="s">
        <v>98</v>
      </c>
      <c r="B12" s="14"/>
      <c r="C12" s="14"/>
      <c r="D12" s="11"/>
      <c r="E12" s="11"/>
    </row>
    <row r="13" customFormat="false" ht="15" hidden="false" customHeight="false" outlineLevel="0" collapsed="false">
      <c r="A13" s="13" t="s">
        <v>99</v>
      </c>
      <c r="B13" s="14"/>
      <c r="C13" s="14"/>
      <c r="D13" s="11"/>
      <c r="E13" s="11"/>
    </row>
    <row r="15" customFormat="false" ht="30" hidden="false" customHeight="true" outlineLevel="0" collapsed="false">
      <c r="A15" s="12" t="s">
        <v>89</v>
      </c>
      <c r="B15" s="12" t="s">
        <v>100</v>
      </c>
      <c r="C15" s="12"/>
      <c r="D15" s="12" t="s">
        <v>101</v>
      </c>
      <c r="E15" s="12" t="s">
        <v>102</v>
      </c>
      <c r="F15" s="12" t="s">
        <v>91</v>
      </c>
    </row>
    <row r="16" customFormat="false" ht="15" hidden="false" customHeight="true" outlineLevel="0" collapsed="false">
      <c r="A16" s="13" t="s">
        <v>103</v>
      </c>
      <c r="B16" s="14" t="s">
        <v>104</v>
      </c>
      <c r="C16" s="14"/>
      <c r="D16" s="11" t="s">
        <v>105</v>
      </c>
      <c r="E16" s="11" t="s">
        <v>106</v>
      </c>
      <c r="F16" s="11" t="s">
        <v>107</v>
      </c>
    </row>
    <row r="17" customFormat="false" ht="15" hidden="false" customHeight="false" outlineLevel="0" collapsed="false">
      <c r="A17" s="13" t="s">
        <v>108</v>
      </c>
      <c r="B17" s="14"/>
      <c r="C17" s="14"/>
      <c r="D17" s="11"/>
      <c r="E17" s="11"/>
      <c r="F17" s="11"/>
    </row>
    <row r="18" customFormat="false" ht="15" hidden="false" customHeight="false" outlineLevel="0" collapsed="false">
      <c r="A18" s="13" t="s">
        <v>109</v>
      </c>
      <c r="B18" s="14"/>
      <c r="C18" s="14"/>
      <c r="D18" s="11"/>
      <c r="E18" s="11"/>
      <c r="F18" s="11"/>
    </row>
    <row r="19" customFormat="false" ht="15" hidden="false" customHeight="false" outlineLevel="0" collapsed="false">
      <c r="A19" s="13" t="s">
        <v>110</v>
      </c>
      <c r="B19" s="14"/>
      <c r="C19" s="14"/>
      <c r="D19" s="11"/>
      <c r="E19" s="11"/>
      <c r="F19" s="11"/>
    </row>
    <row r="20" customFormat="false" ht="15" hidden="false" customHeight="false" outlineLevel="0" collapsed="false">
      <c r="A20" s="13" t="s">
        <v>111</v>
      </c>
      <c r="B20" s="14"/>
      <c r="C20" s="14"/>
      <c r="D20" s="11"/>
      <c r="E20" s="11"/>
      <c r="F20" s="11"/>
    </row>
    <row r="22" customFormat="false" ht="30" hidden="false" customHeight="true" outlineLevel="0" collapsed="false">
      <c r="A22" s="12" t="s">
        <v>89</v>
      </c>
      <c r="B22" s="12" t="s">
        <v>112</v>
      </c>
      <c r="C22" s="12"/>
      <c r="D22" s="12" t="s">
        <v>113</v>
      </c>
    </row>
    <row r="23" customFormat="false" ht="15" hidden="false" customHeight="true" outlineLevel="0" collapsed="false">
      <c r="A23" s="13" t="s">
        <v>114</v>
      </c>
      <c r="B23" s="14" t="s">
        <v>115</v>
      </c>
      <c r="C23" s="14"/>
      <c r="D23" s="11" t="s">
        <v>116</v>
      </c>
    </row>
    <row r="24" customFormat="false" ht="15" hidden="false" customHeight="false" outlineLevel="0" collapsed="false">
      <c r="A24" s="13" t="s">
        <v>117</v>
      </c>
      <c r="B24" s="14"/>
      <c r="C24" s="14"/>
      <c r="D24" s="11"/>
    </row>
    <row r="25" customFormat="false" ht="15" hidden="false" customHeight="false" outlineLevel="0" collapsed="false">
      <c r="A25" s="13" t="s">
        <v>118</v>
      </c>
      <c r="B25" s="14"/>
      <c r="C25" s="14"/>
      <c r="D25" s="11"/>
    </row>
    <row r="26" customFormat="false" ht="15" hidden="false" customHeight="false" outlineLevel="0" collapsed="false">
      <c r="A26" s="13" t="s">
        <v>119</v>
      </c>
      <c r="B26" s="14"/>
      <c r="C26" s="14"/>
      <c r="D26" s="11"/>
    </row>
    <row r="27" customFormat="false" ht="15" hidden="false" customHeight="false" outlineLevel="0" collapsed="false">
      <c r="A27" s="13" t="s">
        <v>120</v>
      </c>
      <c r="B27" s="14"/>
      <c r="C27" s="14"/>
      <c r="D27" s="11"/>
    </row>
    <row r="29" customFormat="false" ht="15" hidden="false" customHeight="true" outlineLevel="0" collapsed="false">
      <c r="A29" s="9" t="s">
        <v>121</v>
      </c>
      <c r="B29" s="9"/>
      <c r="C29" s="9"/>
      <c r="D29" s="9"/>
      <c r="E29" s="9"/>
      <c r="F29" s="9"/>
      <c r="G29" s="9"/>
      <c r="H29" s="9"/>
      <c r="I29" s="9"/>
    </row>
    <row r="30" customFormat="false" ht="30" hidden="false" customHeight="true" outlineLevel="0" collapsed="false">
      <c r="A30" s="12" t="s">
        <v>89</v>
      </c>
      <c r="B30" s="12" t="s">
        <v>122</v>
      </c>
      <c r="C30" s="12" t="s">
        <v>123</v>
      </c>
      <c r="D30" s="12" t="s">
        <v>124</v>
      </c>
      <c r="E30" s="12" t="s">
        <v>125</v>
      </c>
      <c r="F30" s="12" t="s">
        <v>126</v>
      </c>
      <c r="G30" s="12" t="s">
        <v>127</v>
      </c>
      <c r="H30" s="12" t="s">
        <v>128</v>
      </c>
      <c r="I30" s="12" t="s">
        <v>129</v>
      </c>
    </row>
    <row r="31" customFormat="false" ht="42" hidden="false" customHeight="true" outlineLevel="0" collapsed="false">
      <c r="A31" s="4" t="s">
        <v>130</v>
      </c>
      <c r="B31" s="5" t="s">
        <v>131</v>
      </c>
      <c r="C31" s="5" t="s">
        <v>132</v>
      </c>
      <c r="D31" s="11" t="s">
        <v>133</v>
      </c>
      <c r="E31" s="11" t="s">
        <v>134</v>
      </c>
      <c r="F31" s="11" t="s">
        <v>135</v>
      </c>
      <c r="G31" s="11" t="s">
        <v>136</v>
      </c>
      <c r="H31" s="11" t="s">
        <v>137</v>
      </c>
      <c r="I31" s="11"/>
    </row>
    <row r="32" customFormat="false" ht="42" hidden="false" customHeight="true" outlineLevel="0" collapsed="false">
      <c r="A32" s="4" t="s">
        <v>138</v>
      </c>
      <c r="B32" s="5" t="s">
        <v>131</v>
      </c>
      <c r="C32" s="5" t="s">
        <v>139</v>
      </c>
      <c r="D32" s="11"/>
      <c r="E32" s="11"/>
      <c r="F32" s="11"/>
      <c r="G32" s="11"/>
      <c r="H32" s="11"/>
      <c r="I32" s="11"/>
    </row>
    <row r="33" customFormat="false" ht="42" hidden="false" customHeight="true" outlineLevel="0" collapsed="false">
      <c r="A33" s="4" t="s">
        <v>140</v>
      </c>
      <c r="B33" s="5" t="s">
        <v>141</v>
      </c>
      <c r="C33" s="5" t="s">
        <v>142</v>
      </c>
      <c r="D33" s="11"/>
      <c r="E33" s="11"/>
      <c r="F33" s="11"/>
      <c r="G33" s="11"/>
      <c r="H33" s="11"/>
      <c r="I33" s="11"/>
    </row>
    <row r="34" customFormat="false" ht="42" hidden="false" customHeight="true" outlineLevel="0" collapsed="false">
      <c r="A34" s="4" t="s">
        <v>143</v>
      </c>
      <c r="B34" s="5" t="s">
        <v>144</v>
      </c>
      <c r="C34" s="5" t="s">
        <v>145</v>
      </c>
      <c r="D34" s="11"/>
      <c r="E34" s="11"/>
      <c r="F34" s="11"/>
      <c r="G34" s="11"/>
      <c r="H34" s="11"/>
      <c r="I34" s="11"/>
    </row>
    <row r="35" customFormat="false" ht="42" hidden="false" customHeight="true" outlineLevel="0" collapsed="false">
      <c r="A35" s="4" t="s">
        <v>146</v>
      </c>
      <c r="B35" s="5" t="s">
        <v>147</v>
      </c>
      <c r="C35" s="5" t="s">
        <v>148</v>
      </c>
      <c r="D35" s="11"/>
      <c r="E35" s="11"/>
      <c r="F35" s="11"/>
      <c r="G35" s="11"/>
      <c r="H35" s="11"/>
      <c r="I35" s="11"/>
    </row>
    <row r="36" customFormat="false" ht="42" hidden="false" customHeight="true" outlineLevel="0" collapsed="false">
      <c r="A36" s="4" t="s">
        <v>149</v>
      </c>
      <c r="B36" s="5" t="s">
        <v>150</v>
      </c>
      <c r="C36" s="5" t="s">
        <v>151</v>
      </c>
      <c r="D36" s="11"/>
      <c r="E36" s="11"/>
      <c r="F36" s="11"/>
      <c r="G36" s="11"/>
      <c r="H36" s="11"/>
      <c r="I36" s="11"/>
    </row>
    <row r="37" customFormat="false" ht="42" hidden="false" customHeight="true" outlineLevel="0" collapsed="false">
      <c r="A37" s="4" t="s">
        <v>152</v>
      </c>
      <c r="B37" s="5" t="s">
        <v>153</v>
      </c>
      <c r="C37" s="5" t="s">
        <v>154</v>
      </c>
      <c r="D37" s="11"/>
      <c r="E37" s="11"/>
      <c r="F37" s="11"/>
      <c r="G37" s="11"/>
      <c r="H37" s="11"/>
      <c r="I37" s="11"/>
    </row>
    <row r="38" customFormat="false" ht="42" hidden="false" customHeight="true" outlineLevel="0" collapsed="false">
      <c r="A38" s="4" t="s">
        <v>155</v>
      </c>
      <c r="B38" s="5" t="s">
        <v>156</v>
      </c>
      <c r="C38" s="5" t="s">
        <v>157</v>
      </c>
      <c r="D38" s="11"/>
      <c r="E38" s="11"/>
      <c r="F38" s="11"/>
      <c r="G38" s="11"/>
      <c r="H38" s="11"/>
      <c r="I38" s="11"/>
    </row>
    <row r="39" customFormat="false" ht="42" hidden="false" customHeight="true" outlineLevel="0" collapsed="false">
      <c r="A39" s="4" t="s">
        <v>158</v>
      </c>
      <c r="B39" s="5" t="s">
        <v>159</v>
      </c>
      <c r="C39" s="5" t="s">
        <v>160</v>
      </c>
      <c r="D39" s="11"/>
      <c r="E39" s="11"/>
      <c r="F39" s="11"/>
      <c r="G39" s="11"/>
      <c r="H39" s="11"/>
      <c r="I39" s="11"/>
    </row>
    <row r="41" customFormat="false" ht="15" hidden="false" customHeight="true" outlineLevel="0" collapsed="false">
      <c r="A41" s="9" t="s">
        <v>161</v>
      </c>
      <c r="B41" s="9"/>
      <c r="C41" s="9"/>
      <c r="D41" s="9"/>
      <c r="E41" s="9"/>
      <c r="F41" s="9"/>
      <c r="G41" s="9"/>
      <c r="H41" s="9"/>
      <c r="I41" s="9"/>
    </row>
    <row r="42" customFormat="false" ht="30" hidden="false" customHeight="true" outlineLevel="0" collapsed="false">
      <c r="A42" s="12" t="s">
        <v>89</v>
      </c>
      <c r="B42" s="12" t="s">
        <v>122</v>
      </c>
      <c r="C42" s="12" t="s">
        <v>123</v>
      </c>
      <c r="D42" s="12" t="s">
        <v>124</v>
      </c>
      <c r="E42" s="12" t="s">
        <v>125</v>
      </c>
      <c r="F42" s="12" t="s">
        <v>126</v>
      </c>
      <c r="G42" s="12" t="s">
        <v>127</v>
      </c>
      <c r="H42" s="12" t="s">
        <v>128</v>
      </c>
      <c r="I42" s="12" t="s">
        <v>129</v>
      </c>
    </row>
    <row r="43" customFormat="false" ht="30" hidden="false" customHeight="true" outlineLevel="0" collapsed="false">
      <c r="A43" s="4" t="s">
        <v>162</v>
      </c>
      <c r="B43" s="11"/>
      <c r="C43" s="11"/>
      <c r="D43" s="11"/>
      <c r="E43" s="11"/>
      <c r="F43" s="11"/>
      <c r="G43" s="11"/>
      <c r="H43" s="11"/>
      <c r="I43" s="11"/>
    </row>
    <row r="44" customFormat="false" ht="30" hidden="false" customHeight="true" outlineLevel="0" collapsed="false">
      <c r="A44" s="4" t="s">
        <v>163</v>
      </c>
      <c r="B44" s="11"/>
      <c r="C44" s="11"/>
      <c r="D44" s="11"/>
      <c r="E44" s="11"/>
      <c r="F44" s="11"/>
      <c r="G44" s="11"/>
      <c r="H44" s="11"/>
      <c r="I44" s="11"/>
    </row>
    <row r="45" customFormat="false" ht="30" hidden="false" customHeight="true" outlineLevel="0" collapsed="false">
      <c r="A45" s="4" t="s">
        <v>164</v>
      </c>
      <c r="B45" s="11"/>
      <c r="C45" s="11"/>
      <c r="D45" s="11"/>
      <c r="E45" s="11"/>
      <c r="F45" s="11"/>
      <c r="G45" s="11"/>
      <c r="H45" s="11"/>
      <c r="I45" s="11"/>
    </row>
    <row r="46" customFormat="false" ht="30" hidden="false" customHeight="true" outlineLevel="0" collapsed="false">
      <c r="A46" s="4" t="s">
        <v>165</v>
      </c>
      <c r="B46" s="11"/>
      <c r="C46" s="11"/>
      <c r="D46" s="11"/>
      <c r="E46" s="11"/>
      <c r="F46" s="11"/>
      <c r="G46" s="11"/>
      <c r="H46" s="11"/>
      <c r="I46" s="11"/>
    </row>
    <row r="47" customFormat="false" ht="30" hidden="false" customHeight="true" outlineLevel="0" collapsed="false">
      <c r="A47" s="4" t="s">
        <v>166</v>
      </c>
      <c r="B47" s="11"/>
      <c r="C47" s="11"/>
      <c r="D47" s="11"/>
      <c r="E47" s="11"/>
      <c r="F47" s="11"/>
      <c r="G47" s="11"/>
      <c r="H47" s="11"/>
      <c r="I47" s="11"/>
    </row>
    <row r="48" customFormat="false" ht="30" hidden="false" customHeight="true" outlineLevel="0" collapsed="false">
      <c r="A48" s="4" t="s">
        <v>167</v>
      </c>
      <c r="B48" s="11"/>
      <c r="C48" s="11"/>
      <c r="D48" s="11"/>
      <c r="E48" s="11"/>
      <c r="F48" s="11"/>
      <c r="G48" s="11"/>
      <c r="H48" s="11"/>
      <c r="I48" s="11"/>
    </row>
    <row r="49" customFormat="false" ht="30" hidden="false" customHeight="true" outlineLevel="0" collapsed="false">
      <c r="A49" s="4" t="s">
        <v>168</v>
      </c>
      <c r="B49" s="11"/>
      <c r="C49" s="11"/>
      <c r="D49" s="11"/>
      <c r="E49" s="11"/>
      <c r="F49" s="11"/>
      <c r="G49" s="11"/>
      <c r="H49" s="11"/>
      <c r="I49" s="11"/>
    </row>
    <row r="50" customFormat="false" ht="30" hidden="false" customHeight="true" outlineLevel="0" collapsed="false">
      <c r="A50" s="4" t="s">
        <v>169</v>
      </c>
      <c r="B50" s="11"/>
      <c r="C50" s="11"/>
      <c r="D50" s="11"/>
      <c r="E50" s="11"/>
      <c r="F50" s="11"/>
      <c r="G50" s="11"/>
      <c r="H50" s="11"/>
      <c r="I50" s="11"/>
    </row>
    <row r="52" customFormat="false" ht="15" hidden="false" customHeight="true" outlineLevel="0" collapsed="false">
      <c r="A52" s="9" t="s">
        <v>170</v>
      </c>
      <c r="B52" s="9"/>
      <c r="C52" s="9"/>
      <c r="D52" s="9"/>
      <c r="E52" s="9"/>
      <c r="F52" s="9"/>
      <c r="G52" s="9"/>
      <c r="H52" s="9"/>
      <c r="I52" s="9"/>
    </row>
    <row r="53" customFormat="false" ht="30" hidden="false" customHeight="true" outlineLevel="0" collapsed="false">
      <c r="A53" s="12" t="s">
        <v>89</v>
      </c>
      <c r="B53" s="12" t="s">
        <v>171</v>
      </c>
      <c r="C53" s="12"/>
      <c r="D53" s="12" t="s">
        <v>172</v>
      </c>
      <c r="E53" s="12" t="s">
        <v>173</v>
      </c>
      <c r="F53" s="12"/>
      <c r="G53" s="12"/>
      <c r="H53" s="12"/>
      <c r="I53" s="12"/>
    </row>
    <row r="54" customFormat="false" ht="15" hidden="false" customHeight="false" outlineLevel="0" collapsed="false">
      <c r="A54" s="4" t="s">
        <v>174</v>
      </c>
      <c r="B54" s="14"/>
      <c r="C54" s="14"/>
      <c r="D54" s="11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4" t="s">
        <v>175</v>
      </c>
      <c r="B55" s="14"/>
      <c r="C55" s="14"/>
      <c r="D55" s="11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4" t="s">
        <v>176</v>
      </c>
      <c r="B56" s="14"/>
      <c r="C56" s="14"/>
      <c r="D56" s="11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4" t="s">
        <v>177</v>
      </c>
      <c r="B57" s="14"/>
      <c r="C57" s="14"/>
      <c r="D57" s="11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4" t="s">
        <v>178</v>
      </c>
      <c r="B58" s="14"/>
      <c r="C58" s="14"/>
      <c r="D58" s="11"/>
      <c r="E58" s="14"/>
      <c r="F58" s="14"/>
      <c r="G58" s="14"/>
      <c r="H58" s="14"/>
      <c r="I58" s="14"/>
    </row>
    <row r="60" customFormat="false" ht="23.85" hidden="false" customHeight="true" outlineLevel="0" collapsed="false">
      <c r="A60" s="9" t="s">
        <v>179</v>
      </c>
      <c r="B60" s="9"/>
      <c r="C60" s="15" t="str">
        <f aca="false">COUNTA(D31:D39)&amp;" of 9 required questions answered; "&amp;COUNTA(C43:C50)&amp;" of the team's own questions recorded"</f>
        <v>1 of 9 required questions answered; 0 of the team's own questions recorded</v>
      </c>
      <c r="D60" s="16" t="str">
        <f aca="false">IF(COUNTA(D31:D39)=9,"Complete",IF(COUNTA(D31:D39)&gt;=6,"Nearly there","Keep going"))</f>
        <v>Keep going</v>
      </c>
    </row>
    <row r="61" customFormat="false" ht="15" hidden="false" customHeight="true" outlineLevel="0" collapsed="false">
      <c r="A61" s="10" t="s">
        <v>180</v>
      </c>
      <c r="B61" s="10"/>
      <c r="C61" s="10"/>
      <c r="D61" s="10"/>
      <c r="E61" s="10"/>
      <c r="F61" s="10"/>
      <c r="G61" s="10"/>
      <c r="H61" s="10"/>
      <c r="I61" s="10"/>
    </row>
  </sheetData>
  <mergeCells count="38">
    <mergeCell ref="A5:I5"/>
    <mergeCell ref="A6:B6"/>
    <mergeCell ref="C6:I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A29:I29"/>
    <mergeCell ref="A41:I41"/>
    <mergeCell ref="A52:I52"/>
    <mergeCell ref="B53:C53"/>
    <mergeCell ref="E53:I53"/>
    <mergeCell ref="B54:C54"/>
    <mergeCell ref="E54:I54"/>
    <mergeCell ref="B55:C55"/>
    <mergeCell ref="E55:I55"/>
    <mergeCell ref="B56:C56"/>
    <mergeCell ref="E56:I56"/>
    <mergeCell ref="B57:C57"/>
    <mergeCell ref="E57:I57"/>
    <mergeCell ref="B58:C58"/>
    <mergeCell ref="E58:I58"/>
    <mergeCell ref="A60:B60"/>
    <mergeCell ref="A61:I61"/>
  </mergeCells>
  <conditionalFormatting sqref="D60">
    <cfRule type="expression" priority="2" aboveAverage="0" equalAverage="0" bottom="0" percent="0" rank="0" text="" dxfId="0">
      <formula>D60="Complete"</formula>
    </cfRule>
    <cfRule type="expression" priority="3" aboveAverage="0" equalAverage="0" bottom="0" percent="0" rank="0" text="" dxfId="1">
      <formula>D60="Nearly there"</formula>
    </cfRule>
    <cfRule type="expression" priority="4" aboveAverage="0" equalAverage="0" bottom="0" percent="0" rank="0" text="" dxfId="2">
      <formula>D60="Keep going"</formula>
    </cfRule>
  </conditionalFormatting>
  <dataValidations count="9">
    <dataValidation allowBlank="true" errorStyle="stop" operator="between" showDropDown="false" showErrorMessage="false" showInputMessage="false" sqref="E16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7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8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9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20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G31:G39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G43:G50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H31:H39" type="list">
      <formula1>"Stated,Implied,Our interpretation,Not asked yet"</formula1>
      <formula2>0</formula2>
    </dataValidation>
    <dataValidation allowBlank="true" errorStyle="stop" operator="between" showDropDown="false" showErrorMessage="false" showInputMessage="false" sqref="H43:H50" type="list">
      <formula1>"Stated,Implied,Our interpretation,Not asked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7" t="s">
        <v>181</v>
      </c>
    </row>
    <row r="2" customFormat="false" ht="15" hidden="false" customHeight="false" outlineLevel="0" collapsed="false">
      <c r="A2" s="3" t="s">
        <v>182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183</v>
      </c>
    </row>
    <row r="6" customFormat="false" ht="15" hidden="false" customHeight="true" outlineLevel="0" collapsed="false">
      <c r="A6" s="5" t="s">
        <v>184</v>
      </c>
      <c r="B6" s="11" t="s">
        <v>185</v>
      </c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5" t="s">
        <v>186</v>
      </c>
      <c r="B7" s="11" t="s">
        <v>187</v>
      </c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5" t="s">
        <v>188</v>
      </c>
      <c r="B8" s="11" t="s">
        <v>189</v>
      </c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5" t="s">
        <v>190</v>
      </c>
      <c r="B9" s="11" t="s">
        <v>191</v>
      </c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5" t="s">
        <v>192</v>
      </c>
      <c r="B10" s="11" t="s">
        <v>193</v>
      </c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A11" s="5" t="s">
        <v>194</v>
      </c>
      <c r="B11" s="11" t="s">
        <v>195</v>
      </c>
      <c r="C11" s="11"/>
      <c r="D11" s="11"/>
      <c r="E11" s="11"/>
      <c r="F11" s="11"/>
      <c r="G11" s="11"/>
      <c r="H11" s="11"/>
    </row>
    <row r="13" customFormat="false" ht="15" hidden="false" customHeight="false" outlineLevel="0" collapsed="false">
      <c r="A13" s="17" t="s">
        <v>196</v>
      </c>
    </row>
    <row r="14" customFormat="false" ht="30" hidden="false" customHeight="true" outlineLevel="0" collapsed="false">
      <c r="A14" s="12" t="s">
        <v>197</v>
      </c>
      <c r="B14" s="12" t="s">
        <v>198</v>
      </c>
      <c r="C14" s="12" t="s">
        <v>199</v>
      </c>
      <c r="D14" s="12" t="s">
        <v>200</v>
      </c>
      <c r="E14" s="12" t="s">
        <v>201</v>
      </c>
      <c r="F14" s="12" t="s">
        <v>202</v>
      </c>
    </row>
    <row r="15" customFormat="false" ht="15" hidden="false" customHeight="false" outlineLevel="0" collapsed="false">
      <c r="A15" s="11" t="n">
        <v>21</v>
      </c>
      <c r="B15" s="11" t="s">
        <v>203</v>
      </c>
      <c r="C15" s="11" t="n">
        <v>2025</v>
      </c>
      <c r="D15" s="11" t="s">
        <v>204</v>
      </c>
      <c r="E15" s="11" t="s">
        <v>205</v>
      </c>
      <c r="F15" s="11" t="s">
        <v>206</v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1" customFormat="false" ht="15" hidden="false" customHeight="false" outlineLevel="0" collapsed="false">
      <c r="A21" s="17" t="s">
        <v>207</v>
      </c>
    </row>
    <row r="22" customFormat="false" ht="15" hidden="false" customHeight="false" outlineLevel="0" collapsed="false">
      <c r="A22" s="5" t="s">
        <v>208</v>
      </c>
      <c r="B22" s="18" t="n">
        <v>10</v>
      </c>
    </row>
    <row r="23" customFormat="false" ht="15" hidden="false" customHeight="false" outlineLevel="0" collapsed="false">
      <c r="A23" s="5" t="s">
        <v>209</v>
      </c>
      <c r="B23" s="18" t="n">
        <v>21</v>
      </c>
    </row>
    <row r="24" customFormat="false" ht="15" hidden="false" customHeight="false" outlineLevel="0" collapsed="false">
      <c r="A24" s="5" t="s">
        <v>210</v>
      </c>
      <c r="B24" s="19" t="n">
        <v>5</v>
      </c>
    </row>
    <row r="25" customFormat="false" ht="15" hidden="false" customHeight="false" outlineLevel="0" collapsed="false">
      <c r="A25" s="20" t="s">
        <v>211</v>
      </c>
      <c r="B25" s="21" t="n">
        <f aca="false">IFERROR((B23/B22)^(1/B24)-1,"")</f>
        <v>0.159962258654001</v>
      </c>
    </row>
    <row r="27" customFormat="false" ht="30" hidden="false" customHeight="true" outlineLevel="0" collapsed="false">
      <c r="A27" s="12" t="s">
        <v>212</v>
      </c>
      <c r="B27" s="12" t="s">
        <v>211</v>
      </c>
      <c r="C27" s="12" t="s">
        <v>213</v>
      </c>
      <c r="D27" s="12" t="s">
        <v>214</v>
      </c>
    </row>
    <row r="28" customFormat="false" ht="15" hidden="false" customHeight="false" outlineLevel="0" collapsed="false">
      <c r="A28" s="11"/>
      <c r="B28" s="22"/>
      <c r="C28" s="19"/>
      <c r="D28" s="11"/>
    </row>
    <row r="29" customFormat="false" ht="15" hidden="false" customHeight="false" outlineLevel="0" collapsed="false">
      <c r="A29" s="11"/>
      <c r="B29" s="22"/>
      <c r="C29" s="19"/>
      <c r="D29" s="11"/>
    </row>
    <row r="30" customFormat="false" ht="15" hidden="false" customHeight="false" outlineLevel="0" collapsed="false">
      <c r="A30" s="11"/>
      <c r="B30" s="22"/>
      <c r="C30" s="19"/>
      <c r="D30" s="11"/>
    </row>
    <row r="31" customFormat="false" ht="15" hidden="false" customHeight="false" outlineLevel="0" collapsed="false">
      <c r="A31" s="11"/>
      <c r="B31" s="22"/>
      <c r="C31" s="19"/>
      <c r="D31" s="11"/>
    </row>
    <row r="33" customFormat="false" ht="15" hidden="false" customHeight="false" outlineLevel="0" collapsed="false">
      <c r="A33" s="17" t="s">
        <v>215</v>
      </c>
    </row>
    <row r="34" customFormat="false" ht="30" hidden="false" customHeight="true" outlineLevel="0" collapsed="false">
      <c r="A34" s="12" t="s">
        <v>216</v>
      </c>
      <c r="B34" s="12" t="s">
        <v>217</v>
      </c>
      <c r="C34" s="12" t="s">
        <v>218</v>
      </c>
      <c r="D34" s="12" t="s">
        <v>219</v>
      </c>
    </row>
    <row r="35" customFormat="false" ht="15" hidden="false" customHeight="false" outlineLevel="0" collapsed="false">
      <c r="A35" s="11"/>
      <c r="B35" s="11"/>
      <c r="C35" s="11"/>
      <c r="D35" s="11"/>
    </row>
    <row r="36" customFormat="false" ht="15" hidden="false" customHeight="false" outlineLevel="0" collapsed="false">
      <c r="A36" s="11"/>
      <c r="B36" s="11"/>
      <c r="C36" s="11"/>
      <c r="D36" s="11"/>
    </row>
    <row r="37" customFormat="false" ht="15" hidden="false" customHeight="false" outlineLevel="0" collapsed="false">
      <c r="A37" s="11"/>
      <c r="B37" s="11"/>
      <c r="C37" s="11"/>
      <c r="D37" s="11"/>
    </row>
    <row r="38" customFormat="false" ht="15" hidden="false" customHeight="false" outlineLevel="0" collapsed="false">
      <c r="A38" s="11"/>
      <c r="B38" s="11"/>
      <c r="C38" s="11"/>
      <c r="D38" s="11"/>
    </row>
    <row r="39" customFormat="false" ht="15" hidden="false" customHeight="false" outlineLevel="0" collapsed="false">
      <c r="A39" s="11"/>
      <c r="B39" s="11"/>
      <c r="C39" s="11"/>
      <c r="D39" s="11"/>
    </row>
    <row r="41" customFormat="false" ht="15" hidden="false" customHeight="false" outlineLevel="0" collapsed="false">
      <c r="A41" s="17" t="s">
        <v>220</v>
      </c>
    </row>
    <row r="42" customFormat="false" ht="30" hidden="false" customHeight="true" outlineLevel="0" collapsed="false">
      <c r="A42" s="12" t="s">
        <v>221</v>
      </c>
      <c r="B42" s="12" t="s">
        <v>222</v>
      </c>
    </row>
    <row r="43" customFormat="false" ht="15" hidden="false" customHeight="false" outlineLevel="0" collapsed="false">
      <c r="A43" s="11" t="s">
        <v>223</v>
      </c>
      <c r="B43" s="22" t="n">
        <v>0.22</v>
      </c>
      <c r="D43" s="20" t="s">
        <v>224</v>
      </c>
      <c r="E43" s="21" t="n">
        <f aca="false">IF(COUNT(B43:B50)&lt;4,"",LARGE(B43:B50,1)+LARGE(B43:B50,2)+LARGE(B43:B50,3)+LARGE(B43:B50,4))</f>
        <v>0.46</v>
      </c>
    </row>
    <row r="44" customFormat="false" ht="15" hidden="false" customHeight="false" outlineLevel="0" collapsed="false">
      <c r="A44" s="11" t="s">
        <v>225</v>
      </c>
      <c r="B44" s="22" t="n">
        <v>0.12</v>
      </c>
      <c r="D44" s="20" t="s">
        <v>226</v>
      </c>
      <c r="E44" s="23" t="n">
        <f aca="false">IF(COUNT(B43:B50)=0,"",SUMPRODUCT(B43:B50*100,B43:B50*100))</f>
        <v>702</v>
      </c>
    </row>
    <row r="45" customFormat="false" ht="35.05" hidden="false" customHeight="false" outlineLevel="0" collapsed="false">
      <c r="A45" s="11" t="s">
        <v>227</v>
      </c>
      <c r="B45" s="22" t="n">
        <v>0.07</v>
      </c>
      <c r="D45" s="5" t="s">
        <v>228</v>
      </c>
    </row>
    <row r="46" customFormat="false" ht="15" hidden="false" customHeight="false" outlineLevel="0" collapsed="false">
      <c r="A46" s="11" t="s">
        <v>229</v>
      </c>
      <c r="B46" s="22" t="n">
        <v>0.05</v>
      </c>
    </row>
    <row r="47" customFormat="false" ht="15" hidden="false" customHeight="false" outlineLevel="0" collapsed="false">
      <c r="A47" s="11"/>
      <c r="B47" s="22"/>
    </row>
    <row r="48" customFormat="false" ht="15" hidden="false" customHeight="false" outlineLevel="0" collapsed="false">
      <c r="A48" s="11"/>
      <c r="B48" s="22"/>
    </row>
    <row r="49" customFormat="false" ht="15" hidden="false" customHeight="false" outlineLevel="0" collapsed="false">
      <c r="A49" s="11"/>
      <c r="B49" s="22"/>
    </row>
    <row r="50" customFormat="false" ht="15" hidden="false" customHeight="false" outlineLevel="0" collapsed="false">
      <c r="A50" s="11"/>
      <c r="B50" s="22"/>
    </row>
    <row r="52" customFormat="false" ht="15" hidden="false" customHeight="false" outlineLevel="0" collapsed="false">
      <c r="A52" s="17" t="s">
        <v>230</v>
      </c>
    </row>
    <row r="53" customFormat="false" ht="30" hidden="false" customHeight="true" outlineLevel="0" collapsed="false">
      <c r="A53" s="12" t="s">
        <v>199</v>
      </c>
      <c r="B53" s="12" t="s">
        <v>231</v>
      </c>
      <c r="C53" s="12" t="s">
        <v>232</v>
      </c>
    </row>
    <row r="54" customFormat="false" ht="15" hidden="false" customHeight="false" outlineLevel="0" collapsed="false">
      <c r="A54" s="19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9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9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9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9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9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9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9"/>
      <c r="B61" s="11"/>
      <c r="C61" s="11"/>
      <c r="D61" s="11"/>
      <c r="E61" s="11"/>
      <c r="F61" s="11"/>
      <c r="G61" s="11"/>
      <c r="H61" s="11"/>
    </row>
    <row r="63" customFormat="false" ht="15" hidden="false" customHeight="false" outlineLevel="0" collapsed="false">
      <c r="A63" s="17" t="s">
        <v>233</v>
      </c>
    </row>
    <row r="64" customFormat="false" ht="15" hidden="false" customHeight="false" outlineLevel="0" collapsed="false">
      <c r="A64" s="5" t="s">
        <v>234</v>
      </c>
      <c r="B64" s="11" t="s">
        <v>235</v>
      </c>
      <c r="C64" s="5" t="s">
        <v>236</v>
      </c>
      <c r="D64" s="11"/>
      <c r="E64" s="11"/>
      <c r="F64" s="11"/>
      <c r="G64" s="11"/>
      <c r="H64" s="11"/>
    </row>
  </sheetData>
  <mergeCells count="15">
    <mergeCell ref="B6:H6"/>
    <mergeCell ref="B7:H7"/>
    <mergeCell ref="B8:H8"/>
    <mergeCell ref="B9:H9"/>
    <mergeCell ref="B10:H10"/>
    <mergeCell ref="B11:H11"/>
    <mergeCell ref="C54:H54"/>
    <mergeCell ref="C55:H55"/>
    <mergeCell ref="C56:H56"/>
    <mergeCell ref="C57:H57"/>
    <mergeCell ref="C58:H58"/>
    <mergeCell ref="C59:H59"/>
    <mergeCell ref="C60:H60"/>
    <mergeCell ref="C61:H61"/>
    <mergeCell ref="D64:H64"/>
  </mergeCells>
  <dataValidations count="2">
    <dataValidation allowBlank="true" errorStyle="stop" operator="between" showDropDown="false" showErrorMessage="false" showInputMessage="false" sqref="F15:F19" type="list">
      <formula1>"Yes,No"</formula1>
      <formula2>0</formula2>
    </dataValidation>
    <dataValidation allowBlank="true" errorStyle="stop" operator="between" showDropDown="false" showErrorMessage="false" showInputMessage="false" sqref="B64" type="list">
      <formula1>"emerging,growth,shakeout,mature,declining"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11" min="8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7" t="s">
        <v>12</v>
      </c>
    </row>
    <row r="2" customFormat="false" ht="15" hidden="false" customHeight="false" outlineLevel="0" collapsed="false">
      <c r="A2" s="3" t="s">
        <v>237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238</v>
      </c>
    </row>
    <row r="6" customFormat="false" ht="30" hidden="false" customHeight="true" outlineLevel="0" collapsed="false">
      <c r="A6" s="12" t="s">
        <v>221</v>
      </c>
      <c r="B6" s="12" t="s">
        <v>239</v>
      </c>
      <c r="C6" s="12" t="s">
        <v>240</v>
      </c>
      <c r="D6" s="12" t="s">
        <v>241</v>
      </c>
      <c r="E6" s="12" t="s">
        <v>242</v>
      </c>
      <c r="F6" s="12" t="s">
        <v>243</v>
      </c>
      <c r="G6" s="12" t="s">
        <v>244</v>
      </c>
      <c r="H6" s="12" t="s">
        <v>245</v>
      </c>
      <c r="I6" s="12" t="s">
        <v>246</v>
      </c>
      <c r="J6" s="12" t="s">
        <v>247</v>
      </c>
      <c r="K6" s="12" t="s">
        <v>248</v>
      </c>
      <c r="L6" s="12" t="s">
        <v>249</v>
      </c>
    </row>
    <row r="7" customFormat="false" ht="15" hidden="false" customHeight="false" outlineLevel="0" collapsed="false">
      <c r="A7" s="11" t="s">
        <v>250</v>
      </c>
      <c r="B7" s="11" t="s">
        <v>251</v>
      </c>
      <c r="C7" s="11" t="s">
        <v>252</v>
      </c>
      <c r="D7" s="24" t="n">
        <v>120000</v>
      </c>
      <c r="E7" s="22" t="n">
        <v>0.18</v>
      </c>
      <c r="F7" s="22" t="n">
        <v>0.05</v>
      </c>
      <c r="G7" s="22" t="n">
        <v>0.07</v>
      </c>
      <c r="H7" s="11" t="s">
        <v>253</v>
      </c>
      <c r="I7" s="11" t="s">
        <v>254</v>
      </c>
      <c r="J7" s="11" t="s">
        <v>255</v>
      </c>
      <c r="K7" s="11" t="s">
        <v>254</v>
      </c>
      <c r="L7" s="11" t="s">
        <v>256</v>
      </c>
    </row>
    <row r="8" customFormat="false" ht="15" hidden="false" customHeight="false" outlineLevel="0" collapsed="false">
      <c r="A8" s="11" t="s">
        <v>257</v>
      </c>
      <c r="B8" s="11" t="s">
        <v>251</v>
      </c>
      <c r="C8" s="11" t="s">
        <v>252</v>
      </c>
      <c r="D8" s="24" t="n">
        <v>40000</v>
      </c>
      <c r="E8" s="22" t="n">
        <v>0.24</v>
      </c>
      <c r="F8" s="22" t="n">
        <v>0.08</v>
      </c>
      <c r="G8" s="22" t="n">
        <v>0.1</v>
      </c>
      <c r="H8" s="11" t="s">
        <v>254</v>
      </c>
      <c r="I8" s="11" t="s">
        <v>254</v>
      </c>
      <c r="J8" s="11" t="s">
        <v>253</v>
      </c>
      <c r="K8" s="11" t="s">
        <v>255</v>
      </c>
      <c r="L8" s="11" t="s">
        <v>258</v>
      </c>
    </row>
    <row r="9" customFormat="false" ht="15" hidden="false" customHeight="false" outlineLevel="0" collapsed="false">
      <c r="A9" s="11"/>
      <c r="B9" s="11"/>
      <c r="C9" s="11"/>
      <c r="D9" s="24"/>
      <c r="E9" s="22"/>
      <c r="F9" s="22"/>
      <c r="G9" s="22"/>
      <c r="H9" s="11"/>
      <c r="I9" s="11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24"/>
      <c r="E10" s="22"/>
      <c r="F10" s="22"/>
      <c r="G10" s="22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24"/>
      <c r="E11" s="22"/>
      <c r="F11" s="22"/>
      <c r="G11" s="22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24"/>
      <c r="E12" s="22"/>
      <c r="F12" s="22"/>
      <c r="G12" s="22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24"/>
      <c r="E13" s="22"/>
      <c r="F13" s="22"/>
      <c r="G13" s="22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24"/>
      <c r="E14" s="22"/>
      <c r="F14" s="22"/>
      <c r="G14" s="22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24"/>
      <c r="E15" s="22"/>
      <c r="F15" s="22"/>
      <c r="G15" s="22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24"/>
      <c r="E16" s="22"/>
      <c r="F16" s="22"/>
      <c r="G16" s="22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20" t="s">
        <v>259</v>
      </c>
      <c r="D17" s="23" t="n">
        <f aca="false">IF(COUNT(D7:D16)=0,"",MEDIAN(D7:D16))</f>
        <v>80000</v>
      </c>
      <c r="E17" s="21" t="n">
        <f aca="false">IF(COUNT(E7:E16)=0,"",MEDIAN(E7:E16))</f>
        <v>0.21</v>
      </c>
      <c r="F17" s="21" t="n">
        <f aca="false">IF(COUNT(F7:F16)=0,"",MEDIAN(F7:F16))</f>
        <v>0.065</v>
      </c>
      <c r="G17" s="21" t="n">
        <f aca="false">IF(COUNT(G7:G16)=0,"",MEDIAN(G7:G16))</f>
        <v>0.085</v>
      </c>
    </row>
    <row r="20" customFormat="false" ht="30" hidden="false" customHeight="true" outlineLevel="0" collapsed="false">
      <c r="A20" s="12" t="s">
        <v>221</v>
      </c>
      <c r="B20" s="12" t="s">
        <v>260</v>
      </c>
      <c r="C20" s="12" t="s">
        <v>261</v>
      </c>
      <c r="D20" s="12" t="s">
        <v>262</v>
      </c>
    </row>
    <row r="21" customFormat="false" ht="15" hidden="false" customHeight="false" outlineLevel="0" collapsed="false">
      <c r="A21" s="15" t="str">
        <f aca="false">IF(A7="","",A7)</f>
        <v>[Firm A]</v>
      </c>
      <c r="B21" s="25" t="n">
        <f aca="false">IF(OR(F7="",$F$17=""),"",F7-$F$17)</f>
        <v>-0.015</v>
      </c>
      <c r="C21" s="26" t="n">
        <f aca="false">IF(F7="","",RANK(F7,$F$7:$F$16))</f>
        <v>2</v>
      </c>
      <c r="D21" s="26" t="n">
        <f aca="false">IF(A7="","",IF(H7="strong",2,IF(H7="moderate",1,0))+IF(I7="strong",2,IF(I7="moderate",1,0))+IF(J7="strong",2,IF(J7="moderate",1,0))+IF(K7="strong",2,IF(K7="moderate",1,0)))</f>
        <v>4</v>
      </c>
    </row>
    <row r="22" customFormat="false" ht="15" hidden="false" customHeight="false" outlineLevel="0" collapsed="false">
      <c r="A22" s="15" t="str">
        <f aca="false">IF(A8="","",A8)</f>
        <v>[Firm B]</v>
      </c>
      <c r="B22" s="25" t="n">
        <f aca="false">IF(OR(F8="",$F$17=""),"",F8-$F$17)</f>
        <v>0.015</v>
      </c>
      <c r="C22" s="26" t="n">
        <f aca="false">IF(F8="","",RANK(F8,$F$7:$F$16))</f>
        <v>1</v>
      </c>
      <c r="D22" s="26" t="n">
        <f aca="false">IF(A8="","",IF(H8="strong",2,IF(H8="moderate",1,0))+IF(I8="strong",2,IF(I8="moderate",1,0))+IF(J8="strong",2,IF(J8="moderate",1,0))+IF(K8="strong",2,IF(K8="moderate",1,0)))</f>
        <v>4</v>
      </c>
    </row>
    <row r="23" customFormat="false" ht="15" hidden="false" customHeight="false" outlineLevel="0" collapsed="false">
      <c r="A23" s="15" t="str">
        <f aca="false">IF(A9="","",A9)</f>
        <v/>
      </c>
      <c r="B23" s="25" t="str">
        <f aca="false">IF(OR(F9="",$F$17=""),"",F9-$F$17)</f>
        <v/>
      </c>
      <c r="C23" s="26" t="str">
        <f aca="false">IF(F9="","",RANK(F9,$F$7:$F$16))</f>
        <v/>
      </c>
      <c r="D23" s="26" t="str">
        <f aca="false">IF(A9="","",IF(H9="strong",2,IF(H9="moderate",1,0))+IF(I9="strong",2,IF(I9="moderate",1,0))+IF(J9="strong",2,IF(J9="moderate",1,0))+IF(K9="strong",2,IF(K9="moderate",1,0)))</f>
        <v/>
      </c>
    </row>
    <row r="24" customFormat="false" ht="15" hidden="false" customHeight="false" outlineLevel="0" collapsed="false">
      <c r="A24" s="15" t="str">
        <f aca="false">IF(A10="","",A10)</f>
        <v/>
      </c>
      <c r="B24" s="25" t="str">
        <f aca="false">IF(OR(F10="",$F$17=""),"",F10-$F$17)</f>
        <v/>
      </c>
      <c r="C24" s="26" t="str">
        <f aca="false">IF(F10="","",RANK(F10,$F$7:$F$16))</f>
        <v/>
      </c>
      <c r="D24" s="26" t="str">
        <f aca="false">IF(A10="","",IF(H10="strong",2,IF(H10="moderate",1,0))+IF(I10="strong",2,IF(I10="moderate",1,0))+IF(J10="strong",2,IF(J10="moderate",1,0))+IF(K10="strong",2,IF(K10="moderate",1,0)))</f>
        <v/>
      </c>
    </row>
    <row r="25" customFormat="false" ht="15" hidden="false" customHeight="false" outlineLevel="0" collapsed="false">
      <c r="A25" s="15" t="str">
        <f aca="false">IF(A11="","",A11)</f>
        <v/>
      </c>
      <c r="B25" s="25" t="str">
        <f aca="false">IF(OR(F11="",$F$17=""),"",F11-$F$17)</f>
        <v/>
      </c>
      <c r="C25" s="26" t="str">
        <f aca="false">IF(F11="","",RANK(F11,$F$7:$F$16))</f>
        <v/>
      </c>
      <c r="D25" s="26" t="str">
        <f aca="false">IF(A11="","",IF(H11="strong",2,IF(H11="moderate",1,0))+IF(I11="strong",2,IF(I11="moderate",1,0))+IF(J11="strong",2,IF(J11="moderate",1,0))+IF(K11="strong",2,IF(K11="moderate",1,0)))</f>
        <v/>
      </c>
    </row>
    <row r="26" customFormat="false" ht="15" hidden="false" customHeight="false" outlineLevel="0" collapsed="false">
      <c r="A26" s="15" t="str">
        <f aca="false">IF(A12="","",A12)</f>
        <v/>
      </c>
      <c r="B26" s="25" t="str">
        <f aca="false">IF(OR(F12="",$F$17=""),"",F12-$F$17)</f>
        <v/>
      </c>
      <c r="C26" s="26" t="str">
        <f aca="false">IF(F12="","",RANK(F12,$F$7:$F$16))</f>
        <v/>
      </c>
      <c r="D26" s="26" t="str">
        <f aca="false">IF(A12="","",IF(H12="strong",2,IF(H12="moderate",1,0))+IF(I12="strong",2,IF(I12="moderate",1,0))+IF(J12="strong",2,IF(J12="moderate",1,0))+IF(K12="strong",2,IF(K12="moderate",1,0)))</f>
        <v/>
      </c>
    </row>
    <row r="27" customFormat="false" ht="15" hidden="false" customHeight="false" outlineLevel="0" collapsed="false">
      <c r="A27" s="15" t="str">
        <f aca="false">IF(A13="","",A13)</f>
        <v/>
      </c>
      <c r="B27" s="25" t="str">
        <f aca="false">IF(OR(F13="",$F$17=""),"",F13-$F$17)</f>
        <v/>
      </c>
      <c r="C27" s="26" t="str">
        <f aca="false">IF(F13="","",RANK(F13,$F$7:$F$16))</f>
        <v/>
      </c>
      <c r="D27" s="26" t="str">
        <f aca="false">IF(A13="","",IF(H13="strong",2,IF(H13="moderate",1,0))+IF(I13="strong",2,IF(I13="moderate",1,0))+IF(J13="strong",2,IF(J13="moderate",1,0))+IF(K13="strong",2,IF(K13="moderate",1,0)))</f>
        <v/>
      </c>
    </row>
    <row r="28" customFormat="false" ht="15" hidden="false" customHeight="false" outlineLevel="0" collapsed="false">
      <c r="A28" s="15" t="str">
        <f aca="false">IF(A14="","",A14)</f>
        <v/>
      </c>
      <c r="B28" s="25" t="str">
        <f aca="false">IF(OR(F14="",$F$17=""),"",F14-$F$17)</f>
        <v/>
      </c>
      <c r="C28" s="26" t="str">
        <f aca="false">IF(F14="","",RANK(F14,$F$7:$F$16))</f>
        <v/>
      </c>
      <c r="D28" s="26" t="str">
        <f aca="false">IF(A14="","",IF(H14="strong",2,IF(H14="moderate",1,0))+IF(I14="strong",2,IF(I14="moderate",1,0))+IF(J14="strong",2,IF(J14="moderate",1,0))+IF(K14="strong",2,IF(K14="moderate",1,0)))</f>
        <v/>
      </c>
    </row>
    <row r="29" customFormat="false" ht="15" hidden="false" customHeight="false" outlineLevel="0" collapsed="false">
      <c r="A29" s="15" t="str">
        <f aca="false">IF(A15="","",A15)</f>
        <v/>
      </c>
      <c r="B29" s="25" t="str">
        <f aca="false">IF(OR(F15="",$F$17=""),"",F15-$F$17)</f>
        <v/>
      </c>
      <c r="C29" s="26" t="str">
        <f aca="false">IF(F15="","",RANK(F15,$F$7:$F$16))</f>
        <v/>
      </c>
      <c r="D29" s="26" t="str">
        <f aca="false">IF(A15="","",IF(H15="strong",2,IF(H15="moderate",1,0))+IF(I15="strong",2,IF(I15="moderate",1,0))+IF(J15="strong",2,IF(J15="moderate",1,0))+IF(K15="strong",2,IF(K15="moderate",1,0)))</f>
        <v/>
      </c>
    </row>
    <row r="30" customFormat="false" ht="15" hidden="false" customHeight="false" outlineLevel="0" collapsed="false">
      <c r="A30" s="15" t="str">
        <f aca="false">IF(A16="","",A16)</f>
        <v/>
      </c>
      <c r="B30" s="25" t="str">
        <f aca="false">IF(OR(F16="",$F$17=""),"",F16-$F$17)</f>
        <v/>
      </c>
      <c r="C30" s="26" t="str">
        <f aca="false">IF(F16="","",RANK(F16,$F$7:$F$16))</f>
        <v/>
      </c>
      <c r="D30" s="26" t="str">
        <f aca="false">IF(A16="","",IF(H16="strong",2,IF(H16="moderate",1,0))+IF(I16="strong",2,IF(I16="moderate",1,0))+IF(J16="strong",2,IF(J16="moderate",1,0))+IF(K16="strong",2,IF(K16="moderate",1,0)))</f>
        <v/>
      </c>
    </row>
    <row r="32" customFormat="false" ht="15" hidden="false" customHeight="false" outlineLevel="0" collapsed="false">
      <c r="A32" s="17" t="s">
        <v>263</v>
      </c>
    </row>
    <row r="33" customFormat="false" ht="30" hidden="false" customHeight="true" outlineLevel="0" collapsed="false">
      <c r="A33" s="12" t="s">
        <v>221</v>
      </c>
      <c r="B33" s="12" t="s">
        <v>264</v>
      </c>
      <c r="C33" s="12" t="s">
        <v>265</v>
      </c>
      <c r="D33" s="12"/>
      <c r="E33" s="12"/>
      <c r="F33" s="12"/>
      <c r="G33" s="12"/>
      <c r="H33" s="12" t="s">
        <v>266</v>
      </c>
      <c r="I33" s="12"/>
      <c r="J33" s="12"/>
      <c r="K33" s="12"/>
      <c r="L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5" customFormat="false" ht="15" hidden="false" customHeight="false" outlineLevel="0" collapsed="false">
      <c r="A45" s="17" t="s">
        <v>267</v>
      </c>
    </row>
    <row r="46" customFormat="false" ht="30" hidden="false" customHeight="true" outlineLevel="0" collapsed="false">
      <c r="A46" s="12" t="s">
        <v>14</v>
      </c>
      <c r="B46" s="12" t="s">
        <v>264</v>
      </c>
      <c r="C46" s="12" t="s">
        <v>268</v>
      </c>
      <c r="D46" s="12" t="s">
        <v>269</v>
      </c>
      <c r="E46" s="12" t="s">
        <v>270</v>
      </c>
    </row>
    <row r="47" customFormat="false" ht="15" hidden="false" customHeight="false" outlineLevel="0" collapsed="false">
      <c r="A47" s="11"/>
      <c r="B47" s="11"/>
      <c r="C47" s="11"/>
      <c r="D47" s="11"/>
      <c r="E47" s="19"/>
    </row>
    <row r="48" customFormat="false" ht="15" hidden="false" customHeight="false" outlineLevel="0" collapsed="false">
      <c r="A48" s="11"/>
      <c r="B48" s="11"/>
      <c r="C48" s="11"/>
      <c r="D48" s="11"/>
      <c r="E48" s="19"/>
    </row>
    <row r="49" customFormat="false" ht="15" hidden="false" customHeight="false" outlineLevel="0" collapsed="false">
      <c r="A49" s="11"/>
      <c r="B49" s="11"/>
      <c r="C49" s="11"/>
      <c r="D49" s="11"/>
      <c r="E49" s="19"/>
    </row>
    <row r="50" customFormat="false" ht="15" hidden="false" customHeight="false" outlineLevel="0" collapsed="false">
      <c r="A50" s="11"/>
      <c r="B50" s="11"/>
      <c r="C50" s="11"/>
      <c r="D50" s="11"/>
      <c r="E50" s="19"/>
    </row>
    <row r="51" customFormat="false" ht="15" hidden="false" customHeight="false" outlineLevel="0" collapsed="false">
      <c r="A51" s="11"/>
      <c r="B51" s="11"/>
      <c r="C51" s="11"/>
      <c r="D51" s="11"/>
      <c r="E51" s="19"/>
    </row>
    <row r="52" customFormat="false" ht="15" hidden="false" customHeight="false" outlineLevel="0" collapsed="false">
      <c r="A52" s="11"/>
      <c r="B52" s="11"/>
      <c r="C52" s="11"/>
      <c r="D52" s="11"/>
      <c r="E52" s="19"/>
    </row>
    <row r="53" customFormat="false" ht="15" hidden="false" customHeight="false" outlineLevel="0" collapsed="false">
      <c r="A53" s="11"/>
      <c r="B53" s="11"/>
      <c r="C53" s="11"/>
      <c r="D53" s="11"/>
      <c r="E53" s="19"/>
    </row>
    <row r="54" customFormat="false" ht="15" hidden="false" customHeight="false" outlineLevel="0" collapsed="false">
      <c r="A54" s="11"/>
      <c r="B54" s="11"/>
      <c r="C54" s="11"/>
      <c r="D54" s="11"/>
      <c r="E54" s="19"/>
    </row>
  </sheetData>
  <mergeCells count="22">
    <mergeCell ref="C33:G33"/>
    <mergeCell ref="H33:L33"/>
    <mergeCell ref="C34:G34"/>
    <mergeCell ref="H34:L34"/>
    <mergeCell ref="C35:G35"/>
    <mergeCell ref="H35:L35"/>
    <mergeCell ref="C36:G36"/>
    <mergeCell ref="H36:L36"/>
    <mergeCell ref="C37:G37"/>
    <mergeCell ref="H37:L37"/>
    <mergeCell ref="C38:G38"/>
    <mergeCell ref="H38:L38"/>
    <mergeCell ref="C39:G39"/>
    <mergeCell ref="H39:L39"/>
    <mergeCell ref="C40:G40"/>
    <mergeCell ref="H40:L40"/>
    <mergeCell ref="C41:G41"/>
    <mergeCell ref="H41:L41"/>
    <mergeCell ref="C42:G42"/>
    <mergeCell ref="H42:L42"/>
    <mergeCell ref="C43:G43"/>
    <mergeCell ref="H43:L43"/>
  </mergeCells>
  <conditionalFormatting sqref="B21:B30">
    <cfRule type="expression" priority="2" aboveAverage="0" equalAverage="0" bottom="0" percent="0" rank="0" text="" dxfId="0">
      <formula>AND(ISNUMBER(B21),B21&gt;0.01)</formula>
    </cfRule>
    <cfRule type="expression" priority="3" aboveAverage="0" equalAverage="0" bottom="0" percent="0" rank="0" text="" dxfId="1">
      <formula>AND(ISNUMBER(B21),ABS(B21)&lt;=0.01)</formula>
    </cfRule>
    <cfRule type="expression" priority="4" aboveAverage="0" equalAverage="0" bottom="0" percent="0" rank="0" text="" dxfId="2">
      <formula>AND(ISNUMBER(B21),B21&lt;-0.01)</formula>
    </cfRule>
  </conditionalFormatting>
  <dataValidations count="4">
    <dataValidation allowBlank="true" errorStyle="stop" operator="between" showDropDown="false" showErrorMessage="false" showInputMessage="false" sqref="H7:K16" type="list">
      <formula1>"weak,moderate,strong"</formula1>
      <formula2>0</formula2>
    </dataValidation>
    <dataValidation allowBlank="true" errorStyle="stop" operator="between" showDropDown="false" showErrorMessage="false" showInputMessage="false" sqref="B34:B43" type="list">
      <formula1>"hiring,patents,launch,capex,pricing,partnership,exit,other"</formula1>
      <formula2>0</formula2>
    </dataValidation>
    <dataValidation allowBlank="true" errorStyle="stop" operator="between" showDropDown="false" showErrorMessage="false" showInputMessage="false" sqref="A47:A54" type="list">
      <formula1>"P,E,S,T,Env,L"</formula1>
      <formula2>0</formula2>
    </dataValidation>
    <dataValidation allowBlank="true" errorStyle="stop" operator="between" showDropDown="false" showErrorMessage="false" showInputMessage="false" sqref="B47:B54" type="list">
      <formula1>"risk_factor,mdna_trend"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7" t="s">
        <v>271</v>
      </c>
    </row>
    <row r="2" customFormat="false" ht="15" hidden="false" customHeight="false" outlineLevel="0" collapsed="false">
      <c r="A2" s="3" t="s">
        <v>272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274</v>
      </c>
      <c r="C5" s="12" t="s">
        <v>275</v>
      </c>
      <c r="D5" s="12" t="s">
        <v>276</v>
      </c>
      <c r="E5" s="12" t="s">
        <v>277</v>
      </c>
      <c r="F5" s="12" t="s">
        <v>278</v>
      </c>
      <c r="G5" s="12" t="s">
        <v>279</v>
      </c>
      <c r="H5" s="12" t="s">
        <v>269</v>
      </c>
      <c r="I5" s="12" t="s">
        <v>280</v>
      </c>
    </row>
    <row r="6" customFormat="false" ht="15" hidden="false" customHeight="false" outlineLevel="0" collapsed="false">
      <c r="A6" s="11" t="s">
        <v>281</v>
      </c>
      <c r="B6" s="11" t="s">
        <v>282</v>
      </c>
      <c r="C6" s="11" t="s">
        <v>283</v>
      </c>
      <c r="D6" s="11" t="s">
        <v>284</v>
      </c>
      <c r="E6" s="11" t="n">
        <v>4</v>
      </c>
      <c r="F6" s="11" t="n">
        <v>4</v>
      </c>
      <c r="G6" s="26" t="n">
        <f aca="false">IF(AND(ISNUMBER(E6),ISNUMBER(F6)),E6*F6,"")</f>
        <v>16</v>
      </c>
      <c r="H6" s="11" t="s">
        <v>285</v>
      </c>
      <c r="I6" s="11" t="s">
        <v>286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26" t="str">
        <f aca="false">IF(AND(ISNUMBER(E7),ISNUMBER(F7)),E7*F7,"")</f>
        <v/>
      </c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26" t="str">
        <f aca="false">IF(AND(ISNUMBER(E8),ISNUMBER(F8)),E8*F8,"")</f>
        <v/>
      </c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26" t="str">
        <f aca="false">IF(AND(ISNUMBER(E9),ISNUMBER(F9)),E9*F9,"")</f>
        <v/>
      </c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26" t="str">
        <f aca="false">IF(AND(ISNUMBER(E10),ISNUMBER(F10)),E10*F10,"")</f>
        <v/>
      </c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26" t="str">
        <f aca="false">IF(AND(ISNUMBER(E11),ISNUMBER(F11)),E11*F11,"")</f>
        <v/>
      </c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26" t="str">
        <f aca="false">IF(AND(ISNUMBER(E12),ISNUMBER(F12)),E12*F12,"")</f>
        <v/>
      </c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26" t="str">
        <f aca="false">IF(AND(ISNUMBER(E13),ISNUMBER(F13)),E13*F13,"")</f>
        <v/>
      </c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26" t="str">
        <f aca="false">IF(AND(ISNUMBER(E14),ISNUMBER(F14)),E14*F14,"")</f>
        <v/>
      </c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26" t="str">
        <f aca="false">IF(AND(ISNUMBER(E15),ISNUMBER(F15)),E15*F15,"")</f>
        <v/>
      </c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26" t="str">
        <f aca="false">IF(AND(ISNUMBER(E16),ISNUMBER(F16)),E16*F16,"")</f>
        <v/>
      </c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26" t="str">
        <f aca="false">IF(AND(ISNUMBER(E17),ISNUMBER(F17)),E17*F17,"")</f>
        <v/>
      </c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26" t="str">
        <f aca="false">IF(AND(ISNUMBER(E18),ISNUMBER(F18)),E18*F18,"")</f>
        <v/>
      </c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26" t="str">
        <f aca="false">IF(AND(ISNUMBER(E19),ISNUMBER(F19)),E19*F19,"")</f>
        <v/>
      </c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26" t="str">
        <f aca="false">IF(AND(ISNUMBER(E20),ISNUMBER(F20)),E20*F20,"")</f>
        <v/>
      </c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26" t="str">
        <f aca="false">IF(AND(ISNUMBER(E21),ISNUMBER(F21)),E21*F21,"")</f>
        <v/>
      </c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26" t="str">
        <f aca="false">IF(AND(ISNUMBER(E22),ISNUMBER(F22)),E22*F22,"")</f>
        <v/>
      </c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26" t="str">
        <f aca="false">IF(AND(ISNUMBER(E23),ISNUMBER(F23)),E23*F23,"")</f>
        <v/>
      </c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26" t="str">
        <f aca="false">IF(AND(ISNUMBER(E24),ISNUMBER(F24)),E24*F24,"")</f>
        <v/>
      </c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26" t="str">
        <f aca="false">IF(AND(ISNUMBER(E25),ISNUMBER(F25)),E25*F25,"")</f>
        <v/>
      </c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26" t="str">
        <f aca="false">IF(AND(ISNUMBER(E26),ISNUMBER(F26)),E26*F26,"")</f>
        <v/>
      </c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26" t="str">
        <f aca="false">IF(AND(ISNUMBER(E27),ISNUMBER(F27)),E27*F27,"")</f>
        <v/>
      </c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26" t="str">
        <f aca="false">IF(AND(ISNUMBER(E28),ISNUMBER(F28)),E28*F28,"")</f>
        <v/>
      </c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26" t="str">
        <f aca="false">IF(AND(ISNUMBER(E29),ISNUMBER(F29)),E29*F29,"")</f>
        <v/>
      </c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26" t="str">
        <f aca="false">IF(AND(ISNUMBER(E30),ISNUMBER(F30)),E30*F30,"")</f>
        <v/>
      </c>
      <c r="H30" s="11"/>
      <c r="I30" s="11"/>
    </row>
    <row r="32" customFormat="false" ht="15" hidden="false" customHeight="false" outlineLevel="0" collapsed="false">
      <c r="B32" s="20" t="s">
        <v>287</v>
      </c>
      <c r="C32" s="26" t="n">
        <f aca="false">COUNTA(C6:C30)</f>
        <v>1</v>
      </c>
    </row>
    <row r="33" customFormat="false" ht="23.85" hidden="false" customHeight="false" outlineLevel="0" collapsed="false">
      <c r="B33" s="20" t="s">
        <v>288</v>
      </c>
      <c r="C33" s="26" t="n">
        <f aca="false">COUNTIF(G6:G30,"&gt;=16")</f>
        <v>1</v>
      </c>
    </row>
    <row r="34" customFormat="false" ht="23.85" hidden="false" customHeight="false" outlineLevel="0" collapsed="false">
      <c r="B34" s="20" t="s">
        <v>289</v>
      </c>
      <c r="C34" s="26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OS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7" t="s">
        <v>290</v>
      </c>
    </row>
    <row r="2" customFormat="false" ht="15" hidden="false" customHeight="false" outlineLevel="0" collapsed="false">
      <c r="A2" s="3" t="s">
        <v>291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292</v>
      </c>
      <c r="B5" s="12" t="s">
        <v>293</v>
      </c>
      <c r="C5" s="12" t="s">
        <v>294</v>
      </c>
      <c r="D5" s="12" t="s">
        <v>295</v>
      </c>
    </row>
    <row r="6" customFormat="false" ht="15" hidden="false" customHeight="false" outlineLevel="0" collapsed="false">
      <c r="A6" s="5" t="s">
        <v>296</v>
      </c>
      <c r="B6" s="5" t="s">
        <v>297</v>
      </c>
      <c r="C6" s="11"/>
      <c r="D6" s="11"/>
    </row>
    <row r="7" customFormat="false" ht="15" hidden="false" customHeight="false" outlineLevel="0" collapsed="false">
      <c r="A7" s="5" t="s">
        <v>296</v>
      </c>
      <c r="B7" s="5" t="s">
        <v>298</v>
      </c>
      <c r="C7" s="11"/>
      <c r="D7" s="11"/>
    </row>
    <row r="8" customFormat="false" ht="15" hidden="false" customHeight="false" outlineLevel="0" collapsed="false">
      <c r="A8" s="5" t="s">
        <v>296</v>
      </c>
      <c r="B8" s="5" t="s">
        <v>299</v>
      </c>
      <c r="C8" s="11"/>
      <c r="D8" s="11"/>
    </row>
    <row r="9" customFormat="false" ht="15" hidden="false" customHeight="false" outlineLevel="0" collapsed="false">
      <c r="A9" s="5" t="s">
        <v>296</v>
      </c>
      <c r="B9" s="5" t="s">
        <v>300</v>
      </c>
      <c r="C9" s="11"/>
      <c r="D9" s="11"/>
    </row>
    <row r="10" customFormat="false" ht="15" hidden="false" customHeight="false" outlineLevel="0" collapsed="false">
      <c r="A10" s="5" t="s">
        <v>301</v>
      </c>
      <c r="B10" s="5" t="s">
        <v>302</v>
      </c>
      <c r="C10" s="11" t="n">
        <v>4</v>
      </c>
      <c r="D10" s="11" t="s">
        <v>303</v>
      </c>
    </row>
    <row r="11" customFormat="false" ht="15" hidden="false" customHeight="false" outlineLevel="0" collapsed="false">
      <c r="A11" s="5" t="s">
        <v>301</v>
      </c>
      <c r="B11" s="5" t="s">
        <v>304</v>
      </c>
      <c r="C11" s="11"/>
      <c r="D11" s="11"/>
    </row>
    <row r="12" customFormat="false" ht="15" hidden="false" customHeight="false" outlineLevel="0" collapsed="false">
      <c r="A12" s="5" t="s">
        <v>301</v>
      </c>
      <c r="B12" s="5" t="s">
        <v>305</v>
      </c>
      <c r="C12" s="11"/>
      <c r="D12" s="11"/>
    </row>
    <row r="13" customFormat="false" ht="15" hidden="false" customHeight="false" outlineLevel="0" collapsed="false">
      <c r="A13" s="5" t="s">
        <v>301</v>
      </c>
      <c r="B13" s="5" t="s">
        <v>306</v>
      </c>
      <c r="C13" s="11"/>
      <c r="D13" s="11"/>
    </row>
    <row r="14" customFormat="false" ht="15" hidden="false" customHeight="false" outlineLevel="0" collapsed="false">
      <c r="A14" s="5" t="s">
        <v>307</v>
      </c>
      <c r="B14" s="5" t="s">
        <v>308</v>
      </c>
      <c r="C14" s="11"/>
      <c r="D14" s="11"/>
    </row>
    <row r="15" customFormat="false" ht="15" hidden="false" customHeight="false" outlineLevel="0" collapsed="false">
      <c r="A15" s="5" t="s">
        <v>307</v>
      </c>
      <c r="B15" s="5" t="s">
        <v>309</v>
      </c>
      <c r="C15" s="11"/>
      <c r="D15" s="11"/>
    </row>
    <row r="16" customFormat="false" ht="15" hidden="false" customHeight="false" outlineLevel="0" collapsed="false">
      <c r="A16" s="5" t="s">
        <v>307</v>
      </c>
      <c r="B16" s="5" t="s">
        <v>304</v>
      </c>
      <c r="C16" s="11"/>
      <c r="D16" s="11"/>
    </row>
    <row r="17" customFormat="false" ht="15" hidden="false" customHeight="false" outlineLevel="0" collapsed="false">
      <c r="A17" s="5" t="s">
        <v>307</v>
      </c>
      <c r="B17" s="5" t="s">
        <v>310</v>
      </c>
      <c r="C17" s="11"/>
      <c r="D17" s="11"/>
    </row>
    <row r="18" customFormat="false" ht="15" hidden="false" customHeight="false" outlineLevel="0" collapsed="false">
      <c r="A18" s="5" t="s">
        <v>311</v>
      </c>
      <c r="B18" s="5" t="s">
        <v>312</v>
      </c>
      <c r="C18" s="11"/>
      <c r="D18" s="11"/>
    </row>
    <row r="19" customFormat="false" ht="15" hidden="false" customHeight="false" outlineLevel="0" collapsed="false">
      <c r="A19" s="5" t="s">
        <v>311</v>
      </c>
      <c r="B19" s="5" t="s">
        <v>313</v>
      </c>
      <c r="C19" s="11"/>
      <c r="D19" s="11"/>
    </row>
    <row r="20" customFormat="false" ht="15" hidden="false" customHeight="false" outlineLevel="0" collapsed="false">
      <c r="A20" s="5" t="s">
        <v>311</v>
      </c>
      <c r="B20" s="5" t="s">
        <v>314</v>
      </c>
      <c r="C20" s="11"/>
      <c r="D20" s="11"/>
    </row>
    <row r="21" customFormat="false" ht="15" hidden="false" customHeight="false" outlineLevel="0" collapsed="false">
      <c r="A21" s="5" t="s">
        <v>311</v>
      </c>
      <c r="B21" s="5" t="s">
        <v>315</v>
      </c>
      <c r="C21" s="11"/>
      <c r="D21" s="11"/>
    </row>
    <row r="22" customFormat="false" ht="15" hidden="false" customHeight="false" outlineLevel="0" collapsed="false">
      <c r="A22" s="5" t="s">
        <v>316</v>
      </c>
      <c r="B22" s="5" t="s">
        <v>317</v>
      </c>
      <c r="C22" s="11"/>
      <c r="D22" s="11"/>
    </row>
    <row r="23" customFormat="false" ht="15" hidden="false" customHeight="false" outlineLevel="0" collapsed="false">
      <c r="A23" s="5" t="s">
        <v>316</v>
      </c>
      <c r="B23" s="5" t="s">
        <v>304</v>
      </c>
      <c r="C23" s="11"/>
      <c r="D23" s="11"/>
    </row>
    <row r="24" customFormat="false" ht="15" hidden="false" customHeight="false" outlineLevel="0" collapsed="false">
      <c r="A24" s="5" t="s">
        <v>316</v>
      </c>
      <c r="B24" s="5" t="s">
        <v>318</v>
      </c>
      <c r="C24" s="11"/>
      <c r="D24" s="11"/>
    </row>
    <row r="25" customFormat="false" ht="15" hidden="false" customHeight="false" outlineLevel="0" collapsed="false">
      <c r="A25" s="5" t="s">
        <v>316</v>
      </c>
      <c r="B25" s="5" t="s">
        <v>319</v>
      </c>
      <c r="C25" s="11"/>
      <c r="D25" s="11"/>
    </row>
    <row r="27" customFormat="false" ht="35.05" hidden="false" customHeight="false" outlineLevel="0" collapsed="false">
      <c r="A27" s="12" t="s">
        <v>292</v>
      </c>
      <c r="B27" s="12" t="s">
        <v>320</v>
      </c>
      <c r="C27" s="12" t="s">
        <v>321</v>
      </c>
      <c r="D27" s="12" t="s">
        <v>322</v>
      </c>
      <c r="E27" s="12" t="s">
        <v>323</v>
      </c>
      <c r="F27" s="12" t="s">
        <v>324</v>
      </c>
    </row>
    <row r="28" customFormat="false" ht="15" hidden="false" customHeight="false" outlineLevel="0" collapsed="false">
      <c r="A28" s="20" t="s">
        <v>296</v>
      </c>
      <c r="B28" s="27" t="str">
        <f aca="false">IFERROR(AVERAGEIF($A$6:$A$25,A28,$C$6:$C$25),"")</f>
        <v/>
      </c>
      <c r="C28" s="28"/>
      <c r="D28" s="27" t="str">
        <f aca="false">IF(ISNUMBER(C28),C28,B28)</f>
        <v/>
      </c>
      <c r="E28" s="15" t="str">
        <f aca="false">IF(D28="","",IF(D28&gt;=4,"Strong",IF(D28&gt;=2.5,"Moderate","Weak")))</f>
        <v/>
      </c>
      <c r="F28" s="28"/>
    </row>
    <row r="29" customFormat="false" ht="15" hidden="false" customHeight="false" outlineLevel="0" collapsed="false">
      <c r="A29" s="20" t="s">
        <v>301</v>
      </c>
      <c r="B29" s="27" t="n">
        <f aca="false">IFERROR(AVERAGEIF($A$6:$A$25,A29,$C$6:$C$25),"")</f>
        <v>4</v>
      </c>
      <c r="C29" s="28"/>
      <c r="D29" s="27" t="n">
        <f aca="false">IF(ISNUMBER(C29),C29,B29)</f>
        <v>4</v>
      </c>
      <c r="E29" s="15" t="str">
        <f aca="false">IF(D29="","",IF(D29&gt;=4,"Strong",IF(D29&gt;=2.5,"Moderate","Weak")))</f>
        <v>Strong</v>
      </c>
      <c r="F29" s="28"/>
    </row>
    <row r="30" customFormat="false" ht="15" hidden="false" customHeight="false" outlineLevel="0" collapsed="false">
      <c r="A30" s="20" t="s">
        <v>307</v>
      </c>
      <c r="B30" s="27" t="str">
        <f aca="false">IFERROR(AVERAGEIF($A$6:$A$25,A30,$C$6:$C$25),"")</f>
        <v/>
      </c>
      <c r="C30" s="28"/>
      <c r="D30" s="27" t="str">
        <f aca="false">IF(ISNUMBER(C30),C30,B30)</f>
        <v/>
      </c>
      <c r="E30" s="15" t="str">
        <f aca="false">IF(D30="","",IF(D30&gt;=4,"Strong",IF(D30&gt;=2.5,"Moderate","Weak")))</f>
        <v/>
      </c>
      <c r="F30" s="28"/>
    </row>
    <row r="31" customFormat="false" ht="15" hidden="false" customHeight="false" outlineLevel="0" collapsed="false">
      <c r="A31" s="20" t="s">
        <v>311</v>
      </c>
      <c r="B31" s="27" t="str">
        <f aca="false">IFERROR(AVERAGEIF($A$6:$A$25,A31,$C$6:$C$25),"")</f>
        <v/>
      </c>
      <c r="C31" s="28"/>
      <c r="D31" s="27" t="str">
        <f aca="false">IF(ISNUMBER(C31),C31,B31)</f>
        <v/>
      </c>
      <c r="E31" s="15" t="str">
        <f aca="false">IF(D31="","",IF(D31&gt;=4,"Strong",IF(D31&gt;=2.5,"Moderate","Weak")))</f>
        <v/>
      </c>
      <c r="F31" s="28"/>
    </row>
    <row r="32" customFormat="false" ht="15" hidden="false" customHeight="false" outlineLevel="0" collapsed="false">
      <c r="A32" s="20" t="s">
        <v>316</v>
      </c>
      <c r="B32" s="27" t="str">
        <f aca="false">IFERROR(AVERAGEIF($A$6:$A$25,A32,$C$6:$C$25),"")</f>
        <v/>
      </c>
      <c r="C32" s="28"/>
      <c r="D32" s="27" t="str">
        <f aca="false">IF(ISNUMBER(C32),C32,B32)</f>
        <v/>
      </c>
      <c r="E32" s="15" t="str">
        <f aca="false">IF(D32="","",IF(D32&gt;=4,"Strong",IF(D32&gt;=2.5,"Moderate","Weak")))</f>
        <v/>
      </c>
      <c r="F32" s="28"/>
    </row>
    <row r="34" customFormat="false" ht="15" hidden="false" customHeight="false" outlineLevel="0" collapsed="false">
      <c r="A34" s="20" t="s">
        <v>325</v>
      </c>
      <c r="B34" s="29" t="n">
        <f aca="false">IFERROR(6-AVERAGE(D28:D32),"")</f>
        <v>2</v>
      </c>
    </row>
    <row r="35" customFormat="false" ht="15" hidden="false" customHeight="false" outlineLevel="0" collapsed="false">
      <c r="A35" s="20" t="s">
        <v>326</v>
      </c>
      <c r="B35" s="27" t="str">
        <f aca="false">IF(COUNT(F28:F32)=5,6-AVERAGE(F28:F32),"")</f>
        <v/>
      </c>
    </row>
    <row r="37" customFormat="false" ht="15" hidden="false" customHeight="false" outlineLevel="0" collapsed="false">
      <c r="A37" s="3" t="s">
        <v>327</v>
      </c>
    </row>
    <row r="38" customFormat="false" ht="15" hidden="false" customHeight="false" outlineLevel="0" collapsed="false">
      <c r="A38" s="3" t="s">
        <v>328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10" min="7" style="0" width="10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7" t="s">
        <v>329</v>
      </c>
    </row>
    <row r="2" customFormat="false" ht="15" hidden="false" customHeight="false" outlineLevel="0" collapsed="false">
      <c r="A2" s="3" t="s">
        <v>330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331</v>
      </c>
      <c r="C5" s="12" t="s">
        <v>332</v>
      </c>
      <c r="D5" s="12" t="s">
        <v>333</v>
      </c>
      <c r="E5" s="12" t="s">
        <v>269</v>
      </c>
      <c r="F5" s="12" t="s">
        <v>334</v>
      </c>
      <c r="G5" s="12" t="s">
        <v>335</v>
      </c>
      <c r="H5" s="12" t="s">
        <v>336</v>
      </c>
      <c r="I5" s="12" t="s">
        <v>337</v>
      </c>
      <c r="J5" s="12" t="s">
        <v>338</v>
      </c>
      <c r="K5" s="12" t="s">
        <v>339</v>
      </c>
      <c r="L5" s="12" t="s">
        <v>340</v>
      </c>
    </row>
    <row r="6" customFormat="false" ht="30" hidden="false" customHeight="true" outlineLevel="0" collapsed="false">
      <c r="A6" s="11" t="s">
        <v>93</v>
      </c>
      <c r="B6" s="11" t="s">
        <v>341</v>
      </c>
      <c r="C6" s="11" t="s">
        <v>281</v>
      </c>
      <c r="D6" s="11" t="s">
        <v>342</v>
      </c>
      <c r="E6" s="11" t="s">
        <v>285</v>
      </c>
      <c r="F6" s="11" t="s">
        <v>343</v>
      </c>
      <c r="G6" s="11" t="s">
        <v>206</v>
      </c>
      <c r="H6" s="11" t="s">
        <v>206</v>
      </c>
      <c r="I6" s="11" t="s">
        <v>206</v>
      </c>
      <c r="J6" s="11" t="s">
        <v>206</v>
      </c>
      <c r="K6" s="16" t="str">
        <f aca="false">IF(B6="","",IF(COUNTIF(G6:J6,"Yes")=4,"Driver","Demoted"))</f>
        <v>Driver</v>
      </c>
      <c r="L6" s="11" t="s">
        <v>344</v>
      </c>
    </row>
    <row r="7" customFormat="false" ht="30" hidden="false" customHeight="true" outlineLevel="0" collapsed="false">
      <c r="A7" s="11" t="s">
        <v>96</v>
      </c>
      <c r="B7" s="11" t="s">
        <v>345</v>
      </c>
      <c r="C7" s="11" t="s">
        <v>346</v>
      </c>
      <c r="D7" s="11" t="s">
        <v>347</v>
      </c>
      <c r="E7" s="11" t="s">
        <v>348</v>
      </c>
      <c r="F7" s="11" t="s">
        <v>349</v>
      </c>
      <c r="G7" s="11" t="s">
        <v>350</v>
      </c>
      <c r="H7" s="11" t="s">
        <v>206</v>
      </c>
      <c r="I7" s="11" t="s">
        <v>206</v>
      </c>
      <c r="J7" s="11" t="s">
        <v>350</v>
      </c>
      <c r="K7" s="16" t="str">
        <f aca="false">IF(B7="","",IF(COUNTIF(G7:J7,"Yes")=4,"Driver","Demoted"))</f>
        <v>Demoted</v>
      </c>
      <c r="L7" s="11" t="s">
        <v>351</v>
      </c>
    </row>
    <row r="8" customFormat="false" ht="30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6" t="str">
        <f aca="false">IF(B8="","",IF(COUNTIF(G8:J8,"Yes")=4,"Driver","Demoted"))</f>
        <v/>
      </c>
      <c r="L8" s="11"/>
    </row>
    <row r="9" customFormat="false" ht="30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6" t="str">
        <f aca="false">IF(B9="","",IF(COUNTIF(G9:J9,"Yes")=4,"Driver","Demoted"))</f>
        <v/>
      </c>
      <c r="L9" s="11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6" t="str">
        <f aca="false">IF(B10="","",IF(COUNTIF(G10:J10,"Yes")=4,"Driver","Demoted"))</f>
        <v/>
      </c>
      <c r="L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6" t="str">
        <f aca="false">IF(B11="","",IF(COUNTIF(G11:J11,"Yes")=4,"Driver","Demoted"))</f>
        <v/>
      </c>
      <c r="L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6" t="str">
        <f aca="false">IF(B12="","",IF(COUNTIF(G12:J12,"Yes")=4,"Driver","Demoted"))</f>
        <v/>
      </c>
      <c r="L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6" t="str">
        <f aca="false">IF(B13="","",IF(COUNTIF(G13:J13,"Yes")=4,"Driver","Demoted"))</f>
        <v/>
      </c>
      <c r="L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6" t="str">
        <f aca="false">IF(B14="","",IF(COUNTIF(G14:J14,"Yes")=4,"Driver","Demoted"))</f>
        <v/>
      </c>
      <c r="L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6" t="str">
        <f aca="false">IF(B15="","",IF(COUNTIF(G15:J15,"Yes")=4,"Driver","Demoted"))</f>
        <v/>
      </c>
      <c r="L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6" t="str">
        <f aca="false">IF(B16="","",IF(COUNTIF(G16:J16,"Yes")=4,"Driver","Demoted"))</f>
        <v/>
      </c>
      <c r="L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6" t="str">
        <f aca="false">IF(B17="","",IF(COUNTIF(G17:J17,"Yes")=4,"Driver","Demoted"))</f>
        <v/>
      </c>
      <c r="L17" s="11"/>
    </row>
    <row r="19" customFormat="false" ht="23.85" hidden="false" customHeight="false" outlineLevel="0" collapsed="false">
      <c r="A19" s="20" t="s">
        <v>352</v>
      </c>
      <c r="C19" s="16" t="str">
        <f aca="false">COUNTIF(K6:K17,"Driver")&amp;" of "&amp;COUNTA(B6:B17)&amp;" candidates"</f>
        <v>1 of 2 candidates</v>
      </c>
      <c r="D19" s="15" t="str">
        <f aca="false">IF(COUNTA(B6:B17)=0,"",IF(AND(COUNTIF(K6:K17,"Driver")&gt;=3,COUNTIF(K6:K17,"Driver")&lt;=5),"OK: 3-5 drivers","Aim for 3-5 drivers"))</f>
        <v>Aim for 3-5 drivers</v>
      </c>
    </row>
  </sheetData>
  <conditionalFormatting sqref="K6:K17">
    <cfRule type="expression" priority="2" aboveAverage="0" equalAverage="0" bottom="0" percent="0" rank="0" text="" dxfId="0">
      <formula>K6="Driver"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K6="Demoted"</formula>
    </cfRule>
  </conditionalFormatting>
  <dataValidations count="2">
    <dataValidation allowBlank="true" errorStyle="stop" operator="between" showDropDown="false" showErrorMessage="false" showInputMessage="false" sqref="G6:J17" type="list">
      <formula1>"Yes,No"</formula1>
      <formula2>0</formula2>
    </dataValidation>
    <dataValidation allowBlank="true" errorStyle="stop" operator="between" showDropDown="false" showErrorMessage="false" showInputMessage="false" sqref="L6:L17" type="list">
      <formula1>"expanding,compressing,redistributing"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7" t="s">
        <v>353</v>
      </c>
    </row>
    <row r="2" customFormat="false" ht="15" hidden="false" customHeight="false" outlineLevel="0" collapsed="false">
      <c r="A2" s="3" t="s">
        <v>354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355</v>
      </c>
      <c r="C5" s="12" t="s">
        <v>356</v>
      </c>
      <c r="D5" s="12" t="s">
        <v>357</v>
      </c>
      <c r="E5" s="30" t="s">
        <v>358</v>
      </c>
      <c r="F5" s="30" t="s">
        <v>359</v>
      </c>
      <c r="G5" s="30" t="s">
        <v>360</v>
      </c>
      <c r="H5" s="30" t="s">
        <v>361</v>
      </c>
      <c r="I5" s="30" t="s">
        <v>362</v>
      </c>
      <c r="J5" s="30" t="s">
        <v>363</v>
      </c>
    </row>
    <row r="6" customFormat="false" ht="15" hidden="false" customHeight="false" outlineLevel="0" collapsed="false">
      <c r="A6" s="11" t="s">
        <v>174</v>
      </c>
      <c r="B6" s="11" t="s">
        <v>364</v>
      </c>
      <c r="C6" s="31" t="n">
        <v>0.25</v>
      </c>
      <c r="D6" s="11" t="s">
        <v>365</v>
      </c>
      <c r="E6" s="11" t="n">
        <v>5</v>
      </c>
      <c r="F6" s="11" t="n">
        <v>2</v>
      </c>
      <c r="G6" s="11" t="n">
        <v>3</v>
      </c>
      <c r="H6" s="11"/>
      <c r="I6" s="11"/>
      <c r="J6" s="11"/>
    </row>
    <row r="7" customFormat="false" ht="15" hidden="false" customHeight="false" outlineLevel="0" collapsed="false">
      <c r="A7" s="11"/>
      <c r="B7" s="11"/>
      <c r="C7" s="3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3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3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3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3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3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3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3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31"/>
      <c r="D15" s="11"/>
      <c r="E15" s="11"/>
      <c r="F15" s="11"/>
      <c r="G15" s="11"/>
      <c r="H15" s="11"/>
      <c r="I15" s="11"/>
      <c r="J15" s="11"/>
    </row>
    <row r="16" customFormat="false" ht="23.85" hidden="false" customHeight="false" outlineLevel="0" collapsed="false">
      <c r="B16" s="20" t="s">
        <v>366</v>
      </c>
      <c r="C16" s="32" t="n">
        <f aca="false">SUM(C6:C15)</f>
        <v>0.25</v>
      </c>
      <c r="D16" s="15" t="str">
        <f aca="false">IF(ABS(C16-1)&lt;0.001,"OK","Weights must sum to 100%")</f>
        <v>Weights must sum to 100%</v>
      </c>
    </row>
    <row r="17" customFormat="false" ht="15" hidden="false" customHeight="false" outlineLevel="0" collapsed="false">
      <c r="B17" s="20" t="s">
        <v>367</v>
      </c>
      <c r="E17" s="33" t="n">
        <f aca="false">IF(COUNT(E6:E15)=0,"",SUMPRODUCT($C$6:$C$15,E6:E15))</f>
        <v>1.25</v>
      </c>
      <c r="F17" s="33" t="n">
        <f aca="false">IF(COUNT(F6:F15)=0,"",SUMPRODUCT($C$6:$C$15,F6:F15))</f>
        <v>0.5</v>
      </c>
      <c r="G17" s="33" t="n">
        <f aca="false">IF(COUNT(G6:G15)=0,"",SUMPRODUCT($C$6:$C$15,G6:G15))</f>
        <v>0.75</v>
      </c>
      <c r="H17" s="33" t="str">
        <f aca="false">IF(COUNT(H6:H15)=0,"",SUMPRODUCT($C$6:$C$15,H6:H15))</f>
        <v/>
      </c>
      <c r="I17" s="33" t="str">
        <f aca="false">IF(COUNT(I6:I15)=0,"",SUMPRODUCT($C$6:$C$15,I6:I15))</f>
        <v/>
      </c>
      <c r="J17" s="33" t="str">
        <f aca="false">IF(COUNT(J6:J15)=0,"",SUMPRODUCT($C$6:$C$15,J6:J15))</f>
        <v/>
      </c>
    </row>
    <row r="18" customFormat="false" ht="15" hidden="false" customHeight="false" outlineLevel="0" collapsed="false">
      <c r="B18" s="20" t="s">
        <v>368</v>
      </c>
      <c r="E18" s="26" t="n">
        <f aca="false">IF(E17="","",RANK(E17,$E$17:$J$17))</f>
        <v>1</v>
      </c>
      <c r="F18" s="26" t="n">
        <f aca="false">IF(F17="","",RANK(F17,$E$17:$J$17))</f>
        <v>3</v>
      </c>
      <c r="G18" s="26" t="n">
        <f aca="false">IF(G17="","",RANK(G17,$E$17:$J$17))</f>
        <v>2</v>
      </c>
      <c r="H18" s="26" t="str">
        <f aca="false">IF(H17="","",RANK(H17,$E$17:$J$17))</f>
        <v/>
      </c>
      <c r="I18" s="26" t="str">
        <f aca="false">IF(I17="","",RANK(I17,$E$17:$J$17))</f>
        <v/>
      </c>
      <c r="J18" s="26" t="str">
        <f aca="false">IF(J17="","",RANK(J17,$E$17:$J$17))</f>
        <v/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9" min="6" style="0" width="2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7" t="s">
        <v>22</v>
      </c>
    </row>
    <row r="2" customFormat="false" ht="15" hidden="false" customHeight="false" outlineLevel="0" collapsed="false">
      <c r="A2" s="3" t="s">
        <v>369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20" t="s">
        <v>370</v>
      </c>
      <c r="B5" s="11" t="s">
        <v>371</v>
      </c>
      <c r="C5" s="11"/>
      <c r="D5" s="11"/>
      <c r="E5" s="11"/>
    </row>
    <row r="6" customFormat="false" ht="15" hidden="false" customHeight="true" outlineLevel="0" collapsed="false">
      <c r="A6" s="20" t="s">
        <v>372</v>
      </c>
      <c r="B6" s="11" t="s">
        <v>373</v>
      </c>
      <c r="C6" s="11"/>
      <c r="D6" s="11"/>
      <c r="E6" s="11"/>
    </row>
    <row r="8" customFormat="false" ht="30" hidden="false" customHeight="true" outlineLevel="0" collapsed="false">
      <c r="A8" s="12" t="s">
        <v>221</v>
      </c>
      <c r="B8" s="12" t="s">
        <v>374</v>
      </c>
      <c r="C8" s="12" t="s">
        <v>375</v>
      </c>
      <c r="D8" s="12" t="s">
        <v>376</v>
      </c>
    </row>
    <row r="9" customFormat="false" ht="15" hidden="false" customHeight="false" outlineLevel="0" collapsed="false">
      <c r="A9" s="11" t="s">
        <v>250</v>
      </c>
      <c r="B9" s="28" t="n">
        <v>3</v>
      </c>
      <c r="C9" s="28" t="n">
        <v>4</v>
      </c>
      <c r="D9" s="28" t="n">
        <v>5</v>
      </c>
    </row>
    <row r="10" customFormat="false" ht="15" hidden="false" customHeight="false" outlineLevel="0" collapsed="false">
      <c r="A10" s="11" t="s">
        <v>257</v>
      </c>
      <c r="B10" s="28" t="n">
        <v>8</v>
      </c>
      <c r="C10" s="28" t="n">
        <v>6</v>
      </c>
      <c r="D10" s="28" t="n">
        <v>2</v>
      </c>
    </row>
    <row r="11" customFormat="false" ht="15" hidden="false" customHeight="false" outlineLevel="0" collapsed="false">
      <c r="A11" s="11" t="s">
        <v>377</v>
      </c>
      <c r="B11" s="28" t="n">
        <v>5</v>
      </c>
      <c r="C11" s="28" t="n">
        <v>3</v>
      </c>
      <c r="D11" s="28" t="n">
        <v>3</v>
      </c>
    </row>
    <row r="12" customFormat="false" ht="15" hidden="false" customHeight="false" outlineLevel="0" collapsed="false">
      <c r="A12" s="11"/>
      <c r="B12" s="28"/>
      <c r="C12" s="28"/>
      <c r="D12" s="28"/>
    </row>
    <row r="13" customFormat="false" ht="15" hidden="false" customHeight="false" outlineLevel="0" collapsed="false">
      <c r="A13" s="11"/>
      <c r="B13" s="28"/>
      <c r="C13" s="28"/>
      <c r="D13" s="28"/>
    </row>
    <row r="14" customFormat="false" ht="15" hidden="false" customHeight="false" outlineLevel="0" collapsed="false">
      <c r="A14" s="11"/>
      <c r="B14" s="28"/>
      <c r="C14" s="28"/>
      <c r="D14" s="28"/>
    </row>
    <row r="15" customFormat="false" ht="15" hidden="false" customHeight="false" outlineLevel="0" collapsed="false">
      <c r="A15" s="11"/>
      <c r="B15" s="28"/>
      <c r="C15" s="28"/>
      <c r="D15" s="28"/>
    </row>
    <row r="16" customFormat="false" ht="15" hidden="false" customHeight="false" outlineLevel="0" collapsed="false">
      <c r="A16" s="11"/>
      <c r="B16" s="28"/>
      <c r="C16" s="28"/>
      <c r="D16" s="28"/>
    </row>
    <row r="17" customFormat="false" ht="15" hidden="false" customHeight="false" outlineLevel="0" collapsed="false">
      <c r="A17" s="11"/>
      <c r="B17" s="28"/>
      <c r="C17" s="28"/>
      <c r="D17" s="28"/>
    </row>
    <row r="18" customFormat="false" ht="15" hidden="false" customHeight="false" outlineLevel="0" collapsed="false">
      <c r="A18" s="11"/>
      <c r="B18" s="28"/>
      <c r="C18" s="28"/>
      <c r="D18" s="28"/>
    </row>
    <row r="30" customFormat="false" ht="15" hidden="false" customHeight="false" outlineLevel="0" collapsed="false">
      <c r="A30" s="17" t="s">
        <v>378</v>
      </c>
    </row>
    <row r="31" customFormat="false" ht="30" hidden="false" customHeight="true" outlineLevel="0" collapsed="false">
      <c r="A31" s="12" t="s">
        <v>368</v>
      </c>
      <c r="B31" s="12" t="s">
        <v>379</v>
      </c>
      <c r="C31" s="12" t="s">
        <v>380</v>
      </c>
      <c r="D31" s="12" t="s">
        <v>381</v>
      </c>
      <c r="E31" s="12" t="s">
        <v>382</v>
      </c>
      <c r="F31" s="12" t="s">
        <v>383</v>
      </c>
      <c r="G31" s="12" t="s">
        <v>384</v>
      </c>
      <c r="H31" s="12" t="s">
        <v>385</v>
      </c>
      <c r="I31" s="12" t="s">
        <v>386</v>
      </c>
      <c r="J31" s="12" t="s">
        <v>387</v>
      </c>
    </row>
    <row r="32" customFormat="false" ht="36" hidden="false" customHeight="true" outlineLevel="0" collapsed="false">
      <c r="A32" s="19" t="n">
        <v>1</v>
      </c>
      <c r="B32" s="28" t="n">
        <v>8.5</v>
      </c>
      <c r="C32" s="28" t="n">
        <v>2</v>
      </c>
      <c r="D32" s="11" t="s">
        <v>388</v>
      </c>
      <c r="E32" s="11" t="s">
        <v>389</v>
      </c>
      <c r="F32" s="11" t="s">
        <v>390</v>
      </c>
      <c r="G32" s="11" t="s">
        <v>390</v>
      </c>
      <c r="H32" s="11" t="s">
        <v>390</v>
      </c>
      <c r="I32" s="11" t="s">
        <v>390</v>
      </c>
      <c r="J32" s="11" t="s">
        <v>391</v>
      </c>
    </row>
    <row r="33" customFormat="false" ht="36" hidden="false" customHeight="true" outlineLevel="0" collapsed="false">
      <c r="A33" s="19"/>
      <c r="B33" s="28"/>
      <c r="C33" s="28"/>
      <c r="D33" s="11"/>
      <c r="E33" s="11"/>
      <c r="F33" s="11"/>
      <c r="G33" s="11"/>
      <c r="H33" s="11"/>
      <c r="I33" s="11"/>
      <c r="J33" s="11"/>
    </row>
    <row r="34" customFormat="false" ht="36" hidden="false" customHeight="true" outlineLevel="0" collapsed="false">
      <c r="A34" s="19"/>
      <c r="B34" s="28"/>
      <c r="C34" s="28"/>
      <c r="D34" s="11"/>
      <c r="E34" s="11"/>
      <c r="F34" s="11"/>
      <c r="G34" s="11"/>
      <c r="H34" s="11"/>
      <c r="I34" s="11"/>
      <c r="J34" s="11"/>
    </row>
    <row r="35" customFormat="false" ht="36" hidden="false" customHeight="true" outlineLevel="0" collapsed="false">
      <c r="A35" s="19"/>
      <c r="B35" s="28"/>
      <c r="C35" s="28"/>
      <c r="D35" s="11"/>
      <c r="E35" s="11"/>
      <c r="F35" s="11"/>
      <c r="G35" s="11"/>
      <c r="H35" s="11"/>
      <c r="I35" s="11"/>
      <c r="J35" s="11"/>
    </row>
    <row r="36" customFormat="false" ht="36" hidden="false" customHeight="true" outlineLevel="0" collapsed="false">
      <c r="A36" s="19"/>
      <c r="B36" s="28"/>
      <c r="C36" s="28"/>
      <c r="D36" s="11"/>
      <c r="E36" s="11"/>
      <c r="F36" s="11"/>
      <c r="G36" s="11"/>
      <c r="H36" s="11"/>
      <c r="I36" s="11"/>
      <c r="J36" s="11"/>
    </row>
  </sheetData>
  <mergeCells count="2">
    <mergeCell ref="B5:E5"/>
    <mergeCell ref="B6:E6"/>
  </mergeCells>
  <conditionalFormatting sqref="J32:J36">
    <cfRule type="expression" priority="2" aboveAverage="0" equalAverage="0" bottom="0" percent="0" rank="0" text="" dxfId="0">
      <formula>J32="supported"</formula>
    </cfRule>
    <cfRule type="expression" priority="3" aboveAverage="0" equalAverage="0" bottom="0" percent="0" rank="0" text="" dxfId="1">
      <formula>J32="UNVALIDATED"</formula>
    </cfRule>
    <cfRule type="expression" priority="4" aboveAverage="0" equalAverage="0" bottom="0" percent="0" rank="0" text="" dxfId="2">
      <formula>J32="gap"</formula>
    </cfRule>
  </conditionalFormatting>
  <dataValidations count="2">
    <dataValidation allowBlank="true" errorStyle="stop" operator="between" showDropDown="false" showErrorMessage="false" showInputMessage="false" sqref="J32:J36" type="list">
      <formula1>"UNVALIDATED,supported,gap"</formula1>
      <formula2>0</formula2>
    </dataValidation>
    <dataValidation allowBlank="true" errorStyle="stop" operator="between" showDropDown="false" showErrorMessage="false" showInputMessage="false" sqref="D32:D36" type="list">
      <formula1>"unpriced,evidence of demand,tested"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7" t="s">
        <v>25</v>
      </c>
    </row>
    <row r="2" customFormat="false" ht="15" hidden="false" customHeight="false" outlineLevel="0" collapsed="false">
      <c r="A2" s="3" t="s">
        <v>392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393</v>
      </c>
      <c r="C5" s="12" t="s">
        <v>394</v>
      </c>
      <c r="D5" s="12" t="s">
        <v>234</v>
      </c>
      <c r="E5" s="12" t="s">
        <v>395</v>
      </c>
      <c r="F5" s="12" t="s">
        <v>396</v>
      </c>
      <c r="G5" s="12" t="s">
        <v>397</v>
      </c>
      <c r="H5" s="12" t="s">
        <v>398</v>
      </c>
      <c r="I5" s="12" t="s">
        <v>399</v>
      </c>
      <c r="J5" s="12" t="s">
        <v>400</v>
      </c>
    </row>
    <row r="6" customFormat="false" ht="15" hidden="false" customHeight="false" outlineLevel="0" collapsed="false">
      <c r="A6" s="11" t="s">
        <v>401</v>
      </c>
      <c r="B6" s="11" t="s">
        <v>402</v>
      </c>
      <c r="C6" s="11" t="s">
        <v>153</v>
      </c>
      <c r="D6" s="11" t="s">
        <v>403</v>
      </c>
      <c r="E6" s="11" t="s">
        <v>404</v>
      </c>
      <c r="F6" s="31" t="n">
        <v>0.35</v>
      </c>
      <c r="G6" s="31" t="n">
        <v>0.25</v>
      </c>
      <c r="H6" s="34" t="n">
        <f aca="false">IF(OR(F6="",G6=""),"",G6-F6)</f>
        <v>-0.1</v>
      </c>
      <c r="I6" s="15" t="str">
        <f aca="false">IF(B6="","",IF(H6="","No figures",IF(H6&gt;0.05,"Differentiating engine",IF(H6&lt;-0.05,"Value trap","In balance"))))</f>
        <v>Value trap</v>
      </c>
      <c r="J6" s="11"/>
    </row>
    <row r="7" customFormat="false" ht="15" hidden="false" customHeight="false" outlineLevel="0" collapsed="false">
      <c r="A7" s="11" t="s">
        <v>405</v>
      </c>
      <c r="B7" s="11" t="s">
        <v>406</v>
      </c>
      <c r="C7" s="11" t="s">
        <v>407</v>
      </c>
      <c r="D7" s="11" t="s">
        <v>408</v>
      </c>
      <c r="E7" s="11" t="s">
        <v>404</v>
      </c>
      <c r="F7" s="31" t="n">
        <v>0.08</v>
      </c>
      <c r="G7" s="31" t="n">
        <v>0.2</v>
      </c>
      <c r="H7" s="34" t="n">
        <f aca="false">IF(OR(F7="",G7=""),"",G7-F7)</f>
        <v>0.12</v>
      </c>
      <c r="I7" s="15" t="str">
        <f aca="false">IF(B7="","",IF(H7="","No figures",IF(H7&gt;0.05,"Differentiating engine",IF(H7&lt;-0.05,"Value trap","In balance"))))</f>
        <v>Differentiating engine</v>
      </c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31"/>
      <c r="G8" s="31"/>
      <c r="H8" s="34" t="str">
        <f aca="false">IF(OR(F8="",G8=""),"",G8-F8)</f>
        <v/>
      </c>
      <c r="I8" s="15" t="str">
        <f aca="false">IF(B8="","",IF(H8="","No figures",IF(H8&gt;0.05,"Differentiating engine",IF(H8&lt;-0.05,"Value trap","In balance"))))</f>
        <v/>
      </c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31"/>
      <c r="G9" s="31"/>
      <c r="H9" s="34" t="str">
        <f aca="false">IF(OR(F9="",G9=""),"",G9-F9)</f>
        <v/>
      </c>
      <c r="I9" s="15" t="str">
        <f aca="false">IF(B9="","",IF(H9="","No figures",IF(H9&gt;0.05,"Differentiating engine",IF(H9&lt;-0.05,"Value trap","In balance"))))</f>
        <v/>
      </c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31"/>
      <c r="G10" s="31"/>
      <c r="H10" s="34" t="str">
        <f aca="false">IF(OR(F10="",G10=""),"",G10-F10)</f>
        <v/>
      </c>
      <c r="I10" s="15" t="str">
        <f aca="false">IF(B10="","",IF(H10="","No figures",IF(H10&gt;0.05,"Differentiating engine",IF(H10&lt;-0.05,"Value trap","In balance"))))</f>
        <v/>
      </c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31"/>
      <c r="G11" s="31"/>
      <c r="H11" s="34" t="str">
        <f aca="false">IF(OR(F11="",G11=""),"",G11-F11)</f>
        <v/>
      </c>
      <c r="I11" s="15" t="str">
        <f aca="false">IF(B11="","",IF(H11="","No figures",IF(H11&gt;0.05,"Differentiating engine",IF(H11&lt;-0.05,"Value trap","In balance"))))</f>
        <v/>
      </c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31"/>
      <c r="G12" s="31"/>
      <c r="H12" s="34" t="str">
        <f aca="false">IF(OR(F12="",G12=""),"",G12-F12)</f>
        <v/>
      </c>
      <c r="I12" s="15" t="str">
        <f aca="false">IF(B12="","",IF(H12="","No figures",IF(H12&gt;0.05,"Differentiating engine",IF(H12&lt;-0.05,"Value trap","In balance"))))</f>
        <v/>
      </c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31"/>
      <c r="G13" s="31"/>
      <c r="H13" s="34" t="str">
        <f aca="false">IF(OR(F13="",G13=""),"",G13-F13)</f>
        <v/>
      </c>
      <c r="I13" s="15" t="str">
        <f aca="false">IF(B13="","",IF(H13="","No figures",IF(H13&gt;0.05,"Differentiating engine",IF(H13&lt;-0.05,"Value trap","In balance"))))</f>
        <v/>
      </c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31"/>
      <c r="G14" s="31"/>
      <c r="H14" s="34" t="str">
        <f aca="false">IF(OR(F14="",G14=""),"",G14-F14)</f>
        <v/>
      </c>
      <c r="I14" s="15" t="str">
        <f aca="false">IF(B14="","",IF(H14="","No figures",IF(H14&gt;0.05,"Differentiating engine",IF(H14&lt;-0.05,"Value trap","In balance"))))</f>
        <v/>
      </c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31"/>
      <c r="G15" s="31"/>
      <c r="H15" s="34" t="str">
        <f aca="false">IF(OR(F15="",G15=""),"",G15-F15)</f>
        <v/>
      </c>
      <c r="I15" s="15" t="str">
        <f aca="false">IF(B15="","",IF(H15="","No figures",IF(H15&gt;0.05,"Differentiating engine",IF(H15&lt;-0.05,"Value trap","In balance"))))</f>
        <v/>
      </c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31"/>
      <c r="G16" s="31"/>
      <c r="H16" s="34" t="str">
        <f aca="false">IF(OR(F16="",G16=""),"",G16-F16)</f>
        <v/>
      </c>
      <c r="I16" s="15" t="str">
        <f aca="false">IF(B16="","",IF(H16="","No figures",IF(H16&gt;0.05,"Differentiating engine",IF(H16&lt;-0.05,"Value trap","In balance"))))</f>
        <v/>
      </c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31"/>
      <c r="G17" s="31"/>
      <c r="H17" s="34" t="str">
        <f aca="false">IF(OR(F17="",G17=""),"",G17-F17)</f>
        <v/>
      </c>
      <c r="I17" s="15" t="str">
        <f aca="false">IF(B17="","",IF(H17="","No figures",IF(H17&gt;0.05,"Differentiating engine",IF(H17&lt;-0.05,"Value trap","In balance"))))</f>
        <v/>
      </c>
      <c r="J17" s="11"/>
    </row>
    <row r="18" customFormat="false" ht="46.25" hidden="false" customHeight="false" outlineLevel="0" collapsed="false">
      <c r="A18" s="20" t="s">
        <v>409</v>
      </c>
      <c r="F18" s="32" t="n">
        <f aca="false">SUM(F6:F17)</f>
        <v>0.43</v>
      </c>
      <c r="G18" s="32" t="n">
        <f aca="false">SUM(G6:G17)</f>
        <v>0.45</v>
      </c>
      <c r="H18" s="15" t="str">
        <f aca="false">IF(AND(ABS(F18-1)&lt;0.02,ABS(G18-1)&lt;0.02),"Both sum to 100%","Cost and value shares should each sum to 100%")</f>
        <v>Cost and value shares should each sum to 100%</v>
      </c>
    </row>
  </sheetData>
  <conditionalFormatting sqref="I6:I17">
    <cfRule type="expression" priority="2" aboveAverage="0" equalAverage="0" bottom="0" percent="0" rank="0" text="" dxfId="0">
      <formula>I6="Differentiating engine"</formula>
    </cfRule>
    <cfRule type="expression" priority="3" aboveAverage="0" equalAverage="0" bottom="0" percent="0" rank="0" text="" dxfId="1">
      <formula>I6="In balance"</formula>
    </cfRule>
    <cfRule type="expression" priority="4" aboveAverage="0" equalAverage="0" bottom="0" percent="0" rank="0" text="" dxfId="2">
      <formula>I6="Value trap"</formula>
    </cfRule>
  </conditionalFormatting>
  <dataValidations count="3">
    <dataValidation allowBlank="true" errorStyle="stop" operator="between" showDropDown="false" showErrorMessage="false" showInputMessage="false" sqref="C6:C17" type="list">
      <formula1>"Inbound logistics,Operations,Outbound logistics,Marketing and sales,Service,Procurement,Technology,HR,Firm infrastructure"</formula1>
      <formula2>0</formula2>
    </dataValidation>
    <dataValidation allowBlank="true" errorStyle="stop" operator="between" showDropDown="false" showErrorMessage="false" showInputMessage="false" sqref="D6:D17" type="list">
      <formula1>"commodity,product,custom,genesis"</formula1>
      <formula2>0</formula2>
    </dataValidation>
    <dataValidation allowBlank="true" errorStyle="stop" operator="between" showDropDown="false" showErrorMessage="false" showInputMessage="false" sqref="E6:E17" type="list">
      <formula1>"in-house,outsourced,mixed"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true" outlineLevel="0" max="9" min="8" style="0" width="13"/>
  </cols>
  <sheetData>
    <row r="1" customFormat="false" ht="19.7" hidden="false" customHeight="false" outlineLevel="0" collapsed="false">
      <c r="A1" s="7" t="s">
        <v>410</v>
      </c>
    </row>
    <row r="2" customFormat="false" ht="15" hidden="false" customHeight="false" outlineLevel="0" collapsed="false">
      <c r="A2" s="3" t="s">
        <v>411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412</v>
      </c>
      <c r="D5" s="20" t="s">
        <v>413</v>
      </c>
    </row>
    <row r="6" customFormat="false" ht="15" hidden="false" customHeight="false" outlineLevel="0" collapsed="false">
      <c r="A6" s="5" t="s">
        <v>198</v>
      </c>
      <c r="B6" s="11" t="s">
        <v>414</v>
      </c>
      <c r="D6" s="20" t="s">
        <v>415</v>
      </c>
      <c r="E6" s="35" t="n">
        <f aca="false">IF(OR(B7="",B8=""),"",B7-B8)</f>
        <v>12000</v>
      </c>
      <c r="H6" s="36" t="n">
        <v>0</v>
      </c>
      <c r="I6" s="37" t="n">
        <f aca="false">IFERROR(IF($E$12-H6&lt;=0,0,$E$11*MIN(1,$E$12-H6)/(1+B14)^H6),0)</f>
        <v>2700</v>
      </c>
    </row>
    <row r="7" customFormat="false" ht="15" hidden="false" customHeight="false" outlineLevel="0" collapsed="false">
      <c r="A7" s="5" t="s">
        <v>416</v>
      </c>
      <c r="B7" s="38" t="n">
        <v>32000</v>
      </c>
      <c r="D7" s="5" t="s">
        <v>417</v>
      </c>
      <c r="E7" s="39" t="n">
        <f aca="false">IFERROR(E6/B7,"")</f>
        <v>0.375</v>
      </c>
      <c r="H7" s="36" t="n">
        <v>1</v>
      </c>
      <c r="I7" s="37" t="n">
        <f aca="false">IFERROR(IF($E$12-H7&lt;=0,0,$E$11*MIN(1,$E$12-H7)/(1+B14)^H7),0)</f>
        <v>2454.54545454545</v>
      </c>
    </row>
    <row r="8" customFormat="false" ht="15" hidden="false" customHeight="false" outlineLevel="0" collapsed="false">
      <c r="A8" s="5" t="s">
        <v>418</v>
      </c>
      <c r="B8" s="38" t="n">
        <v>20000</v>
      </c>
      <c r="D8" s="20" t="s">
        <v>419</v>
      </c>
      <c r="E8" s="23" t="n">
        <f aca="false">IFERROR(IF(E6&gt;0,B9/E6,"never"),"")</f>
        <v>15000</v>
      </c>
      <c r="H8" s="36" t="n">
        <v>2</v>
      </c>
      <c r="I8" s="37" t="n">
        <f aca="false">IFERROR(IF($E$12-H8&lt;=0,0,$E$11*MIN(1,$E$12-H8)/(1+B14)^H8),0)</f>
        <v>1115.70247933884</v>
      </c>
    </row>
    <row r="9" customFormat="false" ht="15" hidden="false" customHeight="false" outlineLevel="0" collapsed="false">
      <c r="A9" s="5" t="s">
        <v>420</v>
      </c>
      <c r="B9" s="38" t="n">
        <v>180000000</v>
      </c>
      <c r="D9" s="5" t="s">
        <v>421</v>
      </c>
      <c r="E9" s="39" t="n">
        <f aca="false">IFERROR((B10-E8)/B10,"")</f>
        <v>0.537037037037037</v>
      </c>
      <c r="H9" s="36" t="n">
        <v>3</v>
      </c>
      <c r="I9" s="37" t="n">
        <f aca="false">IFERROR(IF($E$12-H9&lt;=0,0,$E$11*MIN(1,$E$12-H9)/(1+B14)^H9),0)</f>
        <v>0</v>
      </c>
    </row>
    <row r="10" customFormat="false" ht="15" hidden="false" customHeight="false" outlineLevel="0" collapsed="false">
      <c r="A10" s="5" t="s">
        <v>422</v>
      </c>
      <c r="B10" s="24" t="n">
        <v>32400</v>
      </c>
      <c r="D10" s="5" t="s">
        <v>423</v>
      </c>
      <c r="E10" s="35" t="n">
        <f aca="false">IFERROR(E6*B10-B9,"")</f>
        <v>208800000</v>
      </c>
      <c r="H10" s="36" t="n">
        <v>4</v>
      </c>
      <c r="I10" s="37" t="n">
        <f aca="false">IFERROR(IF($E$12-H10&lt;=0,0,$E$11*MIN(1,$E$12-H10)/(1+B14)^H10),0)</f>
        <v>0</v>
      </c>
    </row>
    <row r="11" customFormat="false" ht="15" hidden="false" customHeight="false" outlineLevel="0" collapsed="false">
      <c r="A11" s="5" t="s">
        <v>424</v>
      </c>
      <c r="B11" s="38" t="n">
        <v>1500</v>
      </c>
      <c r="D11" s="5" t="s">
        <v>425</v>
      </c>
      <c r="E11" s="35" t="n">
        <f aca="false">IFERROR(E6*B12+N(B15),"")</f>
        <v>2700</v>
      </c>
      <c r="H11" s="36" t="n">
        <v>5</v>
      </c>
      <c r="I11" s="37" t="n">
        <f aca="false">IFERROR(IF($E$12-H11&lt;=0,0,$E$11*MIN(1,$E$12-H11)/(1+B14)^H11),0)</f>
        <v>0</v>
      </c>
    </row>
    <row r="12" customFormat="false" ht="15" hidden="false" customHeight="false" outlineLevel="0" collapsed="false">
      <c r="A12" s="5" t="s">
        <v>426</v>
      </c>
      <c r="B12" s="40" t="n">
        <v>0.2</v>
      </c>
      <c r="D12" s="5" t="s">
        <v>427</v>
      </c>
      <c r="E12" s="27" t="n">
        <f aca="false">IFERROR(IF(B13&gt;=1,10,MIN(10,1/(1-B13))),"")</f>
        <v>2.5</v>
      </c>
      <c r="H12" s="36" t="n">
        <v>6</v>
      </c>
      <c r="I12" s="37" t="n">
        <f aca="false">IFERROR(IF($E$12-H12&lt;=0,0,$E$11*MIN(1,$E$12-H12)/(1+B14)^H12),0)</f>
        <v>0</v>
      </c>
    </row>
    <row r="13" customFormat="false" ht="15" hidden="false" customHeight="false" outlineLevel="0" collapsed="false">
      <c r="A13" s="5" t="s">
        <v>428</v>
      </c>
      <c r="B13" s="31" t="n">
        <v>0.6</v>
      </c>
      <c r="D13" s="5" t="s">
        <v>429</v>
      </c>
      <c r="E13" s="35" t="n">
        <f aca="false">IF(E11="","",SUM(I6:I15))</f>
        <v>6270.2479338843</v>
      </c>
      <c r="H13" s="36" t="n">
        <v>7</v>
      </c>
      <c r="I13" s="37" t="n">
        <f aca="false">IFERROR(IF($E$12-H13&lt;=0,0,$E$11*MIN(1,$E$12-H13)/(1+B14)^H13),0)</f>
        <v>0</v>
      </c>
    </row>
    <row r="14" customFormat="false" ht="15" hidden="false" customHeight="false" outlineLevel="0" collapsed="false">
      <c r="A14" s="5" t="s">
        <v>430</v>
      </c>
      <c r="B14" s="22" t="n">
        <v>0.1</v>
      </c>
      <c r="D14" s="20" t="s">
        <v>431</v>
      </c>
      <c r="E14" s="29" t="n">
        <f aca="false">IFERROR(E13/B11,"")</f>
        <v>4.1801652892562</v>
      </c>
      <c r="H14" s="36" t="n">
        <v>8</v>
      </c>
      <c r="I14" s="37" t="n">
        <f aca="false">IFERROR(IF($E$12-H14&lt;=0,0,$E$11*MIN(1,$E$12-H14)/(1+B14)^H14),0)</f>
        <v>0</v>
      </c>
    </row>
    <row r="15" customFormat="false" ht="15" hidden="false" customHeight="false" outlineLevel="0" collapsed="false">
      <c r="A15" s="5" t="s">
        <v>432</v>
      </c>
      <c r="B15" s="38" t="n">
        <v>300</v>
      </c>
      <c r="D15" s="5" t="s">
        <v>433</v>
      </c>
      <c r="E15" s="27" t="n">
        <f aca="false">IFERROR(B11/(E11/12),"")</f>
        <v>6.66666666666667</v>
      </c>
      <c r="H15" s="36" t="n">
        <v>9</v>
      </c>
      <c r="I15" s="37" t="n">
        <f aca="false">IFERROR(IF($E$12-H15&lt;=0,0,$E$11*MIN(1,$E$12-H15)/(1+B14)^H15),0)</f>
        <v>0</v>
      </c>
    </row>
    <row r="18" customFormat="false" ht="23.85" hidden="false" customHeight="false" outlineLevel="0" collapsed="false">
      <c r="A18" s="20" t="s">
        <v>434</v>
      </c>
    </row>
    <row r="19" customFormat="false" ht="30" hidden="false" customHeight="true" outlineLevel="0" collapsed="false">
      <c r="A19" s="12" t="s">
        <v>435</v>
      </c>
      <c r="B19" s="12" t="s">
        <v>436</v>
      </c>
      <c r="C19" s="12" t="s">
        <v>437</v>
      </c>
      <c r="D19" s="12" t="s">
        <v>438</v>
      </c>
    </row>
    <row r="20" customFormat="false" ht="15" hidden="false" customHeight="false" outlineLevel="0" collapsed="false">
      <c r="A20" s="5" t="s">
        <v>439</v>
      </c>
      <c r="B20" s="41" t="n">
        <f aca="false">IFERROR(((B7*(1+-0.1))-B8)*B10-B9,"")</f>
        <v>105120000</v>
      </c>
      <c r="C20" s="41" t="n">
        <f aca="false">IFERROR(((B7*(1+0))-B8)*B10-B9,"")</f>
        <v>208800000</v>
      </c>
      <c r="D20" s="41" t="n">
        <f aca="false">IFERROR(((B7*(1+0.1))-B8)*B10-B9,"")</f>
        <v>312480000</v>
      </c>
    </row>
    <row r="21" customFormat="false" ht="15" hidden="false" customHeight="false" outlineLevel="0" collapsed="false">
      <c r="A21" s="5" t="s">
        <v>440</v>
      </c>
      <c r="B21" s="41" t="n">
        <f aca="false">IFERROR((B7-B8*(1+-0.1))*B10-B9,"")</f>
        <v>273600000</v>
      </c>
      <c r="C21" s="41" t="n">
        <f aca="false">IFERROR((B7-B8*(1+0))*B10-B9,"")</f>
        <v>208800000</v>
      </c>
      <c r="D21" s="41" t="n">
        <f aca="false">IFERROR((B7-B8*(1+0.1))*B10-B9,"")</f>
        <v>144000000</v>
      </c>
    </row>
    <row r="22" customFormat="false" ht="15" hidden="false" customHeight="false" outlineLevel="0" collapsed="false">
      <c r="A22" s="5" t="s">
        <v>441</v>
      </c>
      <c r="B22" s="41" t="n">
        <f aca="false">IFERROR((B7-B8)*B10*(1+-0.1)-B9,"")</f>
        <v>169920000</v>
      </c>
      <c r="C22" s="41" t="n">
        <f aca="false">IFERROR((B7-B8)*B10*(1+0)-B9,"")</f>
        <v>208800000</v>
      </c>
      <c r="D22" s="41" t="n">
        <f aca="false">IFERROR((B7-B8)*B10*(1+0.1)-B9,"")</f>
        <v>247680000</v>
      </c>
    </row>
    <row r="23" customFormat="false" ht="15" hidden="false" customHeight="false" outlineLevel="0" collapsed="false">
      <c r="A23" s="5" t="s">
        <v>442</v>
      </c>
      <c r="B23" s="41" t="n">
        <f aca="false">IFERROR((B7-B8)*B10-B9*(1+-0.1),"")</f>
        <v>226800000</v>
      </c>
      <c r="C23" s="41" t="n">
        <f aca="false">IFERROR((B7-B8)*B10-B9*(1+0),"")</f>
        <v>208800000</v>
      </c>
      <c r="D23" s="41" t="n">
        <f aca="false">IFERROR((B7-B8)*B10-B9*(1+0.1),"")</f>
        <v>190800000</v>
      </c>
    </row>
  </sheetData>
  <conditionalFormatting sqref="E14">
    <cfRule type="expression" priority="2" aboveAverage="0" equalAverage="0" bottom="0" percent="0" rank="0" text="" dxfId="0">
      <formula>AND(ISNUMBER(E14),E14&gt;=3)</formula>
    </cfRule>
    <cfRule type="expression" priority="3" aboveAverage="0" equalAverage="0" bottom="0" percent="0" rank="0" text="" dxfId="1">
      <formula>AND(ISNUMBER(E14),E14&gt;=1)</formula>
    </cfRule>
    <cfRule type="expression" priority="4" aboveAverage="0" equalAverage="0" bottom="0" percent="0" rank="0" text="" dxfId="2">
      <formula>AND(ISNUMBER(E14),E14&lt;1)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7" t="s">
        <v>443</v>
      </c>
    </row>
    <row r="2" customFormat="false" ht="15" hidden="false" customHeight="false" outlineLevel="0" collapsed="false">
      <c r="A2" s="3" t="s">
        <v>444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445</v>
      </c>
    </row>
    <row r="6" customFormat="false" ht="30" hidden="false" customHeight="true" outlineLevel="0" collapsed="false">
      <c r="A6" s="12" t="s">
        <v>273</v>
      </c>
      <c r="B6" s="12" t="s">
        <v>446</v>
      </c>
      <c r="C6" s="12" t="s">
        <v>447</v>
      </c>
      <c r="D6" s="12" t="s">
        <v>448</v>
      </c>
    </row>
    <row r="7" customFormat="false" ht="15" hidden="false" customHeight="false" outlineLevel="0" collapsed="false">
      <c r="A7" s="11" t="s">
        <v>449</v>
      </c>
      <c r="B7" s="11" t="s">
        <v>450</v>
      </c>
      <c r="C7" s="11" t="s">
        <v>451</v>
      </c>
      <c r="D7" s="11" t="s">
        <v>452</v>
      </c>
    </row>
    <row r="8" customFormat="false" ht="15" hidden="false" customHeight="false" outlineLevel="0" collapsed="false">
      <c r="A8" s="11" t="s">
        <v>453</v>
      </c>
      <c r="B8" s="11" t="s">
        <v>454</v>
      </c>
      <c r="C8" s="11" t="s">
        <v>455</v>
      </c>
      <c r="D8" s="11" t="s">
        <v>456</v>
      </c>
    </row>
    <row r="9" customFormat="false" ht="15" hidden="false" customHeight="false" outlineLevel="0" collapsed="false">
      <c r="A9" s="11"/>
      <c r="B9" s="11"/>
      <c r="C9" s="11"/>
      <c r="D9" s="11"/>
    </row>
    <row r="10" customFormat="false" ht="15" hidden="false" customHeight="false" outlineLevel="0" collapsed="false">
      <c r="A10" s="11"/>
      <c r="B10" s="11"/>
      <c r="C10" s="11"/>
      <c r="D10" s="11"/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1"/>
      <c r="B14" s="11"/>
      <c r="C14" s="11"/>
      <c r="D14" s="11"/>
    </row>
    <row r="16" customFormat="false" ht="15" hidden="false" customHeight="false" outlineLevel="0" collapsed="false">
      <c r="A16" s="17" t="s">
        <v>457</v>
      </c>
    </row>
    <row r="17" customFormat="false" ht="30" hidden="false" customHeight="true" outlineLevel="0" collapsed="false">
      <c r="A17" s="12" t="s">
        <v>273</v>
      </c>
      <c r="B17" s="12" t="s">
        <v>458</v>
      </c>
      <c r="C17" s="12" t="s">
        <v>459</v>
      </c>
      <c r="D17" s="12" t="s">
        <v>460</v>
      </c>
      <c r="E17" s="12" t="s">
        <v>461</v>
      </c>
      <c r="F17" s="12" t="s">
        <v>462</v>
      </c>
    </row>
    <row r="18" customFormat="false" ht="15" hidden="false" customHeight="false" outlineLevel="0" collapsed="false">
      <c r="A18" s="11" t="s">
        <v>463</v>
      </c>
      <c r="B18" s="11" t="s">
        <v>464</v>
      </c>
      <c r="C18" s="11" t="s">
        <v>449</v>
      </c>
      <c r="D18" s="11" t="s">
        <v>465</v>
      </c>
      <c r="E18" s="11" t="s">
        <v>401</v>
      </c>
      <c r="F18" s="11" t="s">
        <v>466</v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7" customFormat="false" ht="15" hidden="false" customHeight="false" outlineLevel="0" collapsed="false">
      <c r="A27" s="17" t="s">
        <v>467</v>
      </c>
    </row>
    <row r="28" customFormat="false" ht="30" hidden="false" customHeight="true" outlineLevel="0" collapsed="false">
      <c r="A28" s="12" t="s">
        <v>458</v>
      </c>
      <c r="B28" s="12" t="s">
        <v>468</v>
      </c>
      <c r="C28" s="12" t="s">
        <v>469</v>
      </c>
      <c r="D28" s="12" t="s">
        <v>470</v>
      </c>
      <c r="E28" s="12" t="s">
        <v>471</v>
      </c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5" customFormat="false" ht="15" hidden="false" customHeight="false" outlineLevel="0" collapsed="false">
      <c r="A35" s="20" t="s">
        <v>472</v>
      </c>
      <c r="B35" s="15" t="str">
        <f aca="false">COUNTA(B7:B14)&amp;" resources · "&amp;COUNTA(B18:B25)&amp;" capabilities ("&amp;COUNTIF(F18:F25,"distinctive")&amp;" distinctive) · "&amp;COUNTIF(E29:E33,"confirmed")&amp;" confirmed core competencies"</f>
        <v>2 resources · 1 capabilities (1 distinctive) · 0 confirmed core competencies</v>
      </c>
      <c r="C35" s="15"/>
      <c r="D35" s="15"/>
      <c r="E35" s="15"/>
      <c r="F35" s="15"/>
      <c r="G35" s="15"/>
    </row>
  </sheetData>
  <mergeCells count="1">
    <mergeCell ref="B35:G35"/>
  </mergeCells>
  <dataValidations count="3">
    <dataValidation allowBlank="true" errorStyle="stop" operator="between" showDropDown="false" showErrorMessage="false" showInputMessage="false" sqref="C7:C14" type="list">
      <formula1>"tangible,intangible,human,organisational"</formula1>
      <formula2>0</formula2>
    </dataValidation>
    <dataValidation allowBlank="true" errorStyle="stop" operator="between" showDropDown="false" showErrorMessage="false" showInputMessage="false" sqref="F18:F25" type="list">
      <formula1>"threshold,distinctive"</formula1>
      <formula2>0</formula2>
    </dataValidation>
    <dataValidation allowBlank="true" errorStyle="stop" operator="between" showDropDown="false" showErrorMessage="false" showInputMessage="false" sqref="E29:E33" type="list">
      <formula1>"candidate,confirmed,removed"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7" t="s">
        <v>473</v>
      </c>
    </row>
    <row r="2" customFormat="false" ht="15" hidden="false" customHeight="false" outlineLevel="0" collapsed="false">
      <c r="A2" s="3" t="s">
        <v>474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475</v>
      </c>
      <c r="B5" s="12" t="s">
        <v>447</v>
      </c>
      <c r="C5" s="12" t="s">
        <v>476</v>
      </c>
      <c r="D5" s="12" t="s">
        <v>477</v>
      </c>
      <c r="E5" s="12" t="s">
        <v>478</v>
      </c>
      <c r="F5" s="12" t="s">
        <v>479</v>
      </c>
      <c r="G5" s="12" t="s">
        <v>339</v>
      </c>
      <c r="H5" s="12" t="s">
        <v>480</v>
      </c>
      <c r="I5" s="12" t="s">
        <v>481</v>
      </c>
      <c r="J5" s="12" t="s">
        <v>482</v>
      </c>
      <c r="K5" s="12" t="s">
        <v>483</v>
      </c>
    </row>
    <row r="6" customFormat="false" ht="15" hidden="false" customHeight="false" outlineLevel="0" collapsed="false">
      <c r="A6" s="11" t="s">
        <v>484</v>
      </c>
      <c r="B6" s="11" t="s">
        <v>485</v>
      </c>
      <c r="C6" s="11" t="s">
        <v>206</v>
      </c>
      <c r="D6" s="11" t="s">
        <v>206</v>
      </c>
      <c r="E6" s="11" t="s">
        <v>206</v>
      </c>
      <c r="F6" s="11" t="s">
        <v>206</v>
      </c>
      <c r="G6" s="15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>Sustained advantage</v>
      </c>
      <c r="H6" s="11" t="s">
        <v>174</v>
      </c>
      <c r="I6" s="31" t="n">
        <v>0.25</v>
      </c>
      <c r="J6" s="15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>Supported</v>
      </c>
      <c r="K6" s="11" t="s">
        <v>486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5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/>
      </c>
      <c r="H7" s="11"/>
      <c r="I7" s="31"/>
      <c r="J7" s="15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/>
      </c>
      <c r="K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5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/>
      </c>
      <c r="H8" s="11"/>
      <c r="I8" s="31"/>
      <c r="J8" s="15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/>
      </c>
      <c r="K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5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/>
      </c>
      <c r="H9" s="11"/>
      <c r="I9" s="31"/>
      <c r="J9" s="15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5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11"/>
      <c r="I10" s="31"/>
      <c r="J10" s="15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5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11"/>
      <c r="I11" s="31"/>
      <c r="J11" s="15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5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11"/>
      <c r="I12" s="31"/>
      <c r="J12" s="15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5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11"/>
      <c r="I13" s="31"/>
      <c r="J13" s="15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5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11"/>
      <c r="I14" s="31"/>
      <c r="J14" s="15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5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11"/>
      <c r="I15" s="31"/>
      <c r="J15" s="15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5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11"/>
      <c r="I16" s="31"/>
      <c r="J16" s="15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5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11"/>
      <c r="I17" s="31"/>
      <c r="J17" s="15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5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11"/>
      <c r="I18" s="31"/>
      <c r="J18" s="15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5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11"/>
      <c r="I19" s="31"/>
      <c r="J19" s="15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5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11"/>
      <c r="I20" s="31"/>
      <c r="J20" s="15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11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7" t="s">
        <v>487</v>
      </c>
    </row>
    <row r="2" customFormat="false" ht="15" hidden="false" customHeight="false" outlineLevel="0" collapsed="false">
      <c r="A2" s="3" t="s">
        <v>488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489</v>
      </c>
      <c r="B5" s="12" t="s">
        <v>490</v>
      </c>
      <c r="C5" s="12" t="s">
        <v>491</v>
      </c>
      <c r="D5" s="12" t="s">
        <v>492</v>
      </c>
      <c r="E5" s="12" t="s">
        <v>493</v>
      </c>
      <c r="F5" s="12" t="s">
        <v>494</v>
      </c>
      <c r="G5" s="12" t="s">
        <v>495</v>
      </c>
    </row>
    <row r="6" customFormat="false" ht="15" hidden="false" customHeight="false" outlineLevel="0" collapsed="false">
      <c r="A6" s="5" t="s">
        <v>416</v>
      </c>
      <c r="B6" s="24" t="n">
        <v>30000</v>
      </c>
      <c r="C6" s="24" t="n">
        <v>32000</v>
      </c>
      <c r="D6" s="11" t="s">
        <v>496</v>
      </c>
      <c r="E6" s="11" t="s">
        <v>497</v>
      </c>
      <c r="F6" s="42" t="n">
        <f aca="false">IF(B6="","",IF(C6="",B6,MAX(B6,C6)))</f>
        <v>32000</v>
      </c>
      <c r="G6" s="43" t="n">
        <f aca="false">IFERROR(((F6+N(B7)-B9)*B8-B10)-((B6+N(B7)-B9)*B8-B10),"")</f>
        <v>600000000</v>
      </c>
    </row>
    <row r="7" customFormat="false" ht="15" hidden="false" customHeight="false" outlineLevel="0" collapsed="false">
      <c r="A7" s="5" t="s">
        <v>498</v>
      </c>
      <c r="B7" s="24" t="n">
        <v>0</v>
      </c>
      <c r="C7" s="24" t="n">
        <v>800</v>
      </c>
      <c r="D7" s="11" t="s">
        <v>496</v>
      </c>
      <c r="E7" s="11" t="s">
        <v>497</v>
      </c>
      <c r="F7" s="42" t="n">
        <f aca="false">IF(B7="","",IF(C7="",B7,MAX(B7,C7)))</f>
        <v>800</v>
      </c>
      <c r="G7" s="43" t="n">
        <f aca="false">IFERROR(((F6+N(F7)-B9)*B8-B10)-((F6+N(B7)-B9)*B8-B10),"")</f>
        <v>240000000</v>
      </c>
    </row>
    <row r="8" customFormat="false" ht="15" hidden="false" customHeight="false" outlineLevel="0" collapsed="false">
      <c r="A8" s="5" t="s">
        <v>441</v>
      </c>
      <c r="B8" s="24" t="n">
        <v>300000</v>
      </c>
      <c r="C8" s="24" t="n">
        <v>360000</v>
      </c>
      <c r="D8" s="11" t="s">
        <v>496</v>
      </c>
      <c r="E8" s="11" t="s">
        <v>497</v>
      </c>
      <c r="F8" s="42" t="n">
        <f aca="false">IF(B8="","",IF(C8="",B8,MAX(B8,C8)))</f>
        <v>360000</v>
      </c>
      <c r="G8" s="43" t="n">
        <f aca="false">IFERROR(((F6+N(F7)-B9)*F8-B10)-((F6+N(F7)-B9)*B8-B10),"")</f>
        <v>528000000</v>
      </c>
    </row>
    <row r="9" customFormat="false" ht="15" hidden="false" customHeight="false" outlineLevel="0" collapsed="false">
      <c r="A9" s="5" t="s">
        <v>418</v>
      </c>
      <c r="B9" s="24" t="n">
        <v>24000</v>
      </c>
      <c r="C9" s="24" t="n">
        <v>22500</v>
      </c>
      <c r="D9" s="11" t="s">
        <v>496</v>
      </c>
      <c r="E9" s="11" t="s">
        <v>497</v>
      </c>
      <c r="F9" s="42" t="n">
        <f aca="false">IF(B9="","",IF(C9="",B9,MIN(B9,C9)))</f>
        <v>22500</v>
      </c>
      <c r="G9" s="43" t="n">
        <f aca="false">IFERROR(((F6+N(F7)-F9)*F8-B10)-((F6+N(F7)-B9)*F8-B10),"")</f>
        <v>540000000</v>
      </c>
    </row>
    <row r="10" customFormat="false" ht="15" hidden="false" customHeight="false" outlineLevel="0" collapsed="false">
      <c r="A10" s="5" t="s">
        <v>442</v>
      </c>
      <c r="B10" s="24" t="n">
        <v>1800000000</v>
      </c>
      <c r="C10" s="24" t="n">
        <v>1700000000</v>
      </c>
      <c r="D10" s="11" t="s">
        <v>496</v>
      </c>
      <c r="E10" s="11" t="s">
        <v>497</v>
      </c>
      <c r="F10" s="42" t="n">
        <f aca="false">IF(B10="","",IF(C10="",B10,MIN(B10,C10)))</f>
        <v>1700000000</v>
      </c>
      <c r="G10" s="43" t="n">
        <f aca="false">IFERROR(((F6+N(F7)-F9)*F8-F10)-((F6+N(F7)-F9)*F8-B10),"")</f>
        <v>100000000</v>
      </c>
    </row>
    <row r="12" customFormat="false" ht="15" hidden="false" customHeight="false" outlineLevel="0" collapsed="false">
      <c r="A12" s="20" t="s">
        <v>499</v>
      </c>
      <c r="B12" s="43" t="n">
        <f aca="false">IFERROR(((B6+N(B7)-B9)*B8-B10),"")</f>
        <v>0</v>
      </c>
    </row>
    <row r="13" customFormat="false" ht="23.85" hidden="false" customHeight="false" outlineLevel="0" collapsed="false">
      <c r="A13" s="20" t="s">
        <v>500</v>
      </c>
      <c r="B13" s="43" t="n">
        <f aca="false">IFERROR(((F6+N(F7)-F9)*F8-F10),"")</f>
        <v>2008000000</v>
      </c>
    </row>
    <row r="14" customFormat="false" ht="15" hidden="false" customHeight="false" outlineLevel="0" collapsed="false">
      <c r="A14" s="20" t="s">
        <v>501</v>
      </c>
      <c r="B14" s="43" t="n">
        <f aca="false">IFERROR(B13-B12,"")</f>
        <v>2008000000</v>
      </c>
      <c r="C14" s="44" t="str">
        <f aca="false">IFERROR(B14/ABS(B12),"")</f>
        <v/>
      </c>
    </row>
    <row r="15" customFormat="false" ht="15" hidden="false" customHeight="false" outlineLevel="0" collapsed="false">
      <c r="A15" s="20" t="s">
        <v>502</v>
      </c>
      <c r="B15" s="16" t="str">
        <f aca="false">IFERROR(INDEX(A6:A10,MATCH(MAX(G6:G10),G6:G10,0)),"")</f>
        <v>Price per unit</v>
      </c>
    </row>
  </sheetData>
  <dataValidations count="1">
    <dataValidation allowBlank="true" errorStyle="stop" operator="between" showDropDown="false" showErrorMessage="false" showInputMessage="false" sqref="E6:E10" type="list">
      <formula1>"controllable,capability-bound,structural"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503</v>
      </c>
    </row>
    <row r="2" customFormat="false" ht="15" hidden="false" customHeight="false" outlineLevel="0" collapsed="false">
      <c r="A2" s="3" t="s">
        <v>504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505</v>
      </c>
      <c r="B5" s="12" t="s">
        <v>471</v>
      </c>
      <c r="C5" s="12" t="s">
        <v>483</v>
      </c>
      <c r="D5" s="12" t="s">
        <v>506</v>
      </c>
    </row>
    <row r="6" customFormat="false" ht="30" hidden="false" customHeight="true" outlineLevel="0" collapsed="false">
      <c r="A6" s="5" t="s">
        <v>507</v>
      </c>
      <c r="B6" s="11" t="s">
        <v>508</v>
      </c>
      <c r="C6" s="11"/>
      <c r="D6" s="11"/>
    </row>
    <row r="7" customFormat="false" ht="30" hidden="false" customHeight="true" outlineLevel="0" collapsed="false">
      <c r="A7" s="5" t="s">
        <v>509</v>
      </c>
      <c r="B7" s="11" t="s">
        <v>508</v>
      </c>
      <c r="C7" s="11"/>
      <c r="D7" s="11"/>
    </row>
    <row r="8" customFormat="false" ht="30" hidden="false" customHeight="true" outlineLevel="0" collapsed="false">
      <c r="A8" s="5" t="s">
        <v>510</v>
      </c>
      <c r="B8" s="11" t="s">
        <v>508</v>
      </c>
      <c r="C8" s="11"/>
      <c r="D8" s="11"/>
    </row>
    <row r="9" customFormat="false" ht="30" hidden="false" customHeight="true" outlineLevel="0" collapsed="false">
      <c r="A9" s="5" t="s">
        <v>511</v>
      </c>
      <c r="B9" s="11" t="s">
        <v>512</v>
      </c>
      <c r="C9" s="11"/>
      <c r="D9" s="11"/>
    </row>
    <row r="10" customFormat="false" ht="30" hidden="false" customHeight="true" outlineLevel="0" collapsed="false">
      <c r="A10" s="5" t="s">
        <v>513</v>
      </c>
      <c r="B10" s="11" t="s">
        <v>514</v>
      </c>
      <c r="C10" s="11"/>
      <c r="D10" s="11"/>
    </row>
    <row r="11" customFormat="false" ht="30" hidden="false" customHeight="true" outlineLevel="0" collapsed="false">
      <c r="A11" s="5" t="s">
        <v>515</v>
      </c>
      <c r="B11" s="11" t="s">
        <v>508</v>
      </c>
      <c r="C11" s="11"/>
      <c r="D11" s="11"/>
    </row>
    <row r="13" customFormat="false" ht="15" hidden="false" customHeight="false" outlineLevel="0" collapsed="false">
      <c r="A13" s="20" t="s">
        <v>516</v>
      </c>
      <c r="B13" s="16" t="str">
        <f aca="false">IF(COUNTIF(B6:B11,"binding")=1,INDEX(A6:A11,MATCH("binding",B6:B11,0)),IF(COUNTIF(B6:B11,"binding")=0,"None marked","More than one: choose the one that binds first"))</f>
        <v>Distribution / market access</v>
      </c>
      <c r="C13" s="16"/>
      <c r="D13" s="16"/>
    </row>
  </sheetData>
  <mergeCells count="1">
    <mergeCell ref="B13:D13"/>
  </mergeCells>
  <conditionalFormatting sqref="B6:B11">
    <cfRule type="expression" priority="2" aboveAverage="0" equalAverage="0" bottom="0" percent="0" rank="0" text="" dxfId="0">
      <formula>B6="slack"</formula>
    </cfRule>
    <cfRule type="expression" priority="3" aboveAverage="0" equalAverage="0" bottom="0" percent="0" rank="0" text="" dxfId="1">
      <formula>B6="tight"</formula>
    </cfRule>
    <cfRule type="expression" priority="4" aboveAverage="0" equalAverage="0" bottom="0" percent="0" rank="0" text="" dxfId="2">
      <formula>B6="binding"</formula>
    </cfRule>
  </conditionalFormatting>
  <dataValidations count="1">
    <dataValidation allowBlank="true" errorStyle="stop" operator="between" showDropDown="false" showErrorMessage="false" showInputMessage="false" sqref="B6:B11" type="list">
      <formula1>"binding,tight,slack"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7" t="s">
        <v>517</v>
      </c>
    </row>
    <row r="2" customFormat="false" ht="15" hidden="false" customHeight="false" outlineLevel="0" collapsed="false">
      <c r="A2" s="3" t="s">
        <v>518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2" t="s">
        <v>273</v>
      </c>
      <c r="B5" s="12" t="s">
        <v>519</v>
      </c>
      <c r="C5" s="12" t="s">
        <v>520</v>
      </c>
      <c r="E5" s="12" t="s">
        <v>273</v>
      </c>
      <c r="F5" s="12" t="s">
        <v>521</v>
      </c>
      <c r="G5" s="12" t="s">
        <v>520</v>
      </c>
    </row>
    <row r="6" customFormat="false" ht="15" hidden="false" customHeight="false" outlineLevel="0" collapsed="false">
      <c r="A6" s="20" t="s">
        <v>522</v>
      </c>
      <c r="B6" s="11" t="s">
        <v>523</v>
      </c>
      <c r="C6" s="11" t="s">
        <v>524</v>
      </c>
      <c r="E6" s="20" t="s">
        <v>525</v>
      </c>
      <c r="F6" s="11" t="s">
        <v>526</v>
      </c>
      <c r="G6" s="11" t="s">
        <v>527</v>
      </c>
    </row>
    <row r="7" customFormat="false" ht="15" hidden="false" customHeight="false" outlineLevel="0" collapsed="false">
      <c r="A7" s="20" t="s">
        <v>528</v>
      </c>
      <c r="B7" s="11"/>
      <c r="C7" s="11"/>
      <c r="E7" s="20" t="s">
        <v>529</v>
      </c>
      <c r="F7" s="11"/>
      <c r="G7" s="11"/>
    </row>
    <row r="8" customFormat="false" ht="15" hidden="false" customHeight="false" outlineLevel="0" collapsed="false">
      <c r="A8" s="20" t="s">
        <v>530</v>
      </c>
      <c r="B8" s="11"/>
      <c r="C8" s="11"/>
      <c r="E8" s="20" t="s">
        <v>531</v>
      </c>
      <c r="F8" s="11"/>
      <c r="G8" s="11"/>
    </row>
    <row r="9" customFormat="false" ht="15" hidden="false" customHeight="false" outlineLevel="0" collapsed="false">
      <c r="A9" s="20" t="s">
        <v>532</v>
      </c>
      <c r="B9" s="11"/>
      <c r="C9" s="11"/>
      <c r="E9" s="20" t="s">
        <v>533</v>
      </c>
      <c r="F9" s="11"/>
      <c r="G9" s="11"/>
    </row>
    <row r="10" customFormat="false" ht="15" hidden="false" customHeight="false" outlineLevel="0" collapsed="false">
      <c r="A10" s="20" t="s">
        <v>534</v>
      </c>
      <c r="B10" s="11"/>
      <c r="C10" s="11"/>
      <c r="E10" s="20" t="s">
        <v>535</v>
      </c>
      <c r="F10" s="11"/>
      <c r="G10" s="11"/>
    </row>
    <row r="11" customFormat="false" ht="15" hidden="false" customHeight="false" outlineLevel="0" collapsed="false">
      <c r="A11" s="20" t="s">
        <v>536</v>
      </c>
      <c r="B11" s="11"/>
      <c r="C11" s="11"/>
      <c r="E11" s="20" t="s">
        <v>537</v>
      </c>
      <c r="F11" s="11"/>
      <c r="G11" s="11"/>
    </row>
    <row r="14" customFormat="false" ht="15" hidden="false" customHeight="false" outlineLevel="0" collapsed="false">
      <c r="A14" s="12" t="s">
        <v>273</v>
      </c>
      <c r="B14" s="12" t="s">
        <v>538</v>
      </c>
      <c r="C14" s="12" t="s">
        <v>520</v>
      </c>
      <c r="E14" s="12" t="s">
        <v>273</v>
      </c>
      <c r="F14" s="12" t="s">
        <v>539</v>
      </c>
      <c r="G14" s="12" t="s">
        <v>520</v>
      </c>
    </row>
    <row r="15" customFormat="false" ht="15" hidden="false" customHeight="false" outlineLevel="0" collapsed="false">
      <c r="A15" s="20" t="s">
        <v>540</v>
      </c>
      <c r="B15" s="11" t="s">
        <v>541</v>
      </c>
      <c r="C15" s="11" t="s">
        <v>542</v>
      </c>
      <c r="E15" s="20" t="s">
        <v>162</v>
      </c>
      <c r="F15" s="11" t="s">
        <v>543</v>
      </c>
      <c r="G15" s="11" t="s">
        <v>544</v>
      </c>
    </row>
    <row r="16" customFormat="false" ht="15" hidden="false" customHeight="false" outlineLevel="0" collapsed="false">
      <c r="A16" s="20" t="s">
        <v>545</v>
      </c>
      <c r="B16" s="11"/>
      <c r="C16" s="11"/>
      <c r="E16" s="20" t="s">
        <v>163</v>
      </c>
      <c r="F16" s="11"/>
      <c r="G16" s="11"/>
    </row>
    <row r="17" customFormat="false" ht="15" hidden="false" customHeight="false" outlineLevel="0" collapsed="false">
      <c r="A17" s="20" t="s">
        <v>546</v>
      </c>
      <c r="B17" s="11"/>
      <c r="C17" s="11"/>
      <c r="E17" s="20" t="s">
        <v>164</v>
      </c>
      <c r="F17" s="11"/>
      <c r="G17" s="11"/>
    </row>
    <row r="18" customFormat="false" ht="15" hidden="false" customHeight="false" outlineLevel="0" collapsed="false">
      <c r="A18" s="20" t="s">
        <v>547</v>
      </c>
      <c r="B18" s="11"/>
      <c r="C18" s="11"/>
      <c r="E18" s="20" t="s">
        <v>165</v>
      </c>
      <c r="F18" s="11"/>
      <c r="G18" s="11"/>
    </row>
    <row r="19" customFormat="false" ht="15" hidden="false" customHeight="false" outlineLevel="0" collapsed="false">
      <c r="A19" s="20" t="s">
        <v>548</v>
      </c>
      <c r="B19" s="11"/>
      <c r="C19" s="11"/>
      <c r="E19" s="20" t="s">
        <v>166</v>
      </c>
      <c r="F19" s="11"/>
      <c r="G19" s="11"/>
    </row>
    <row r="20" customFormat="false" ht="15" hidden="false" customHeight="false" outlineLevel="0" collapsed="false">
      <c r="A20" s="20" t="s">
        <v>549</v>
      </c>
      <c r="B20" s="11"/>
      <c r="C20" s="11"/>
      <c r="E20" s="20" t="s">
        <v>167</v>
      </c>
      <c r="F20" s="11"/>
      <c r="G20" s="11"/>
    </row>
    <row r="23" customFormat="false" ht="15" hidden="false" customHeight="false" outlineLevel="0" collapsed="false">
      <c r="A23" s="12" t="s">
        <v>550</v>
      </c>
      <c r="B23" s="12" t="s">
        <v>551</v>
      </c>
      <c r="C23" s="12" t="s">
        <v>552</v>
      </c>
    </row>
    <row r="24" customFormat="false" ht="15" hidden="false" customHeight="false" outlineLevel="0" collapsed="false">
      <c r="A24" s="11" t="s">
        <v>553</v>
      </c>
      <c r="B24" s="11" t="s">
        <v>554</v>
      </c>
      <c r="C24" s="11" t="s">
        <v>555</v>
      </c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7" customFormat="false" ht="15" hidden="false" customHeight="false" outlineLevel="0" collapsed="false">
      <c r="A27" s="11"/>
      <c r="B27" s="11"/>
      <c r="C27" s="11"/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11"/>
      <c r="B29" s="11"/>
      <c r="C29" s="11"/>
    </row>
    <row r="30" customFormat="false" ht="15" hidden="false" customHeight="false" outlineLevel="0" collapsed="false">
      <c r="A30" s="11"/>
      <c r="B30" s="11"/>
      <c r="C30" s="11"/>
    </row>
    <row r="31" customFormat="false" ht="15" hidden="false" customHeight="false" outlineLevel="0" collapsed="false">
      <c r="A31" s="11"/>
      <c r="B31" s="11"/>
      <c r="C31" s="11"/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556</v>
      </c>
    </row>
    <row r="2" customFormat="false" ht="15" hidden="false" customHeight="false" outlineLevel="0" collapsed="false">
      <c r="A2" s="3" t="s">
        <v>557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5" t="s">
        <v>558</v>
      </c>
      <c r="B5" s="11" t="s">
        <v>559</v>
      </c>
      <c r="C5" s="11"/>
      <c r="D5" s="11"/>
    </row>
    <row r="6" customFormat="false" ht="30" hidden="false" customHeight="true" outlineLevel="0" collapsed="false">
      <c r="A6" s="5" t="s">
        <v>560</v>
      </c>
      <c r="B6" s="11"/>
      <c r="C6" s="11"/>
      <c r="D6" s="11"/>
    </row>
    <row r="7" customFormat="false" ht="30" hidden="false" customHeight="true" outlineLevel="0" collapsed="false">
      <c r="A7" s="5" t="s">
        <v>561</v>
      </c>
      <c r="B7" s="11"/>
      <c r="C7" s="11"/>
      <c r="D7" s="11"/>
    </row>
    <row r="8" customFormat="false" ht="30" hidden="false" customHeight="true" outlineLevel="0" collapsed="false">
      <c r="A8" s="5" t="s">
        <v>562</v>
      </c>
      <c r="B8" s="11"/>
      <c r="C8" s="11"/>
      <c r="D8" s="11"/>
    </row>
    <row r="9" customFormat="false" ht="30" hidden="false" customHeight="true" outlineLevel="0" collapsed="false">
      <c r="A9" s="5" t="s">
        <v>563</v>
      </c>
      <c r="B9" s="11"/>
      <c r="C9" s="11"/>
      <c r="D9" s="11"/>
    </row>
    <row r="10" customFormat="false" ht="48" hidden="false" customHeight="true" outlineLevel="0" collapsed="false">
      <c r="A10" s="5" t="s">
        <v>564</v>
      </c>
      <c r="B10" s="11"/>
      <c r="C10" s="11"/>
      <c r="D10" s="11"/>
    </row>
    <row r="12" customFormat="false" ht="30" hidden="false" customHeight="true" outlineLevel="0" collapsed="false">
      <c r="A12" s="12" t="s">
        <v>565</v>
      </c>
      <c r="B12" s="12" t="s">
        <v>123</v>
      </c>
      <c r="C12" s="12" t="s">
        <v>339</v>
      </c>
      <c r="D12" s="12" t="s">
        <v>483</v>
      </c>
    </row>
    <row r="13" customFormat="false" ht="15" hidden="false" customHeight="false" outlineLevel="0" collapsed="false">
      <c r="A13" s="5" t="s">
        <v>566</v>
      </c>
      <c r="B13" s="5" t="s">
        <v>567</v>
      </c>
      <c r="C13" s="11"/>
      <c r="D13" s="11"/>
    </row>
    <row r="14" customFormat="false" ht="15" hidden="false" customHeight="false" outlineLevel="0" collapsed="false">
      <c r="A14" s="5" t="s">
        <v>568</v>
      </c>
      <c r="B14" s="5" t="s">
        <v>569</v>
      </c>
      <c r="C14" s="11"/>
      <c r="D14" s="11"/>
    </row>
    <row r="15" customFormat="false" ht="15" hidden="false" customHeight="false" outlineLevel="0" collapsed="false">
      <c r="A15" s="5" t="s">
        <v>570</v>
      </c>
      <c r="B15" s="5" t="s">
        <v>571</v>
      </c>
      <c r="C15" s="11"/>
      <c r="D15" s="11"/>
    </row>
    <row r="16" customFormat="false" ht="15" hidden="false" customHeight="false" outlineLevel="0" collapsed="false">
      <c r="A16" s="5" t="s">
        <v>572</v>
      </c>
      <c r="B16" s="5" t="s">
        <v>573</v>
      </c>
      <c r="C16" s="11"/>
      <c r="D16" s="11"/>
    </row>
    <row r="17" customFormat="false" ht="15" hidden="false" customHeight="false" outlineLevel="0" collapsed="false">
      <c r="A17" s="5" t="s">
        <v>574</v>
      </c>
      <c r="B17" s="5" t="s">
        <v>575</v>
      </c>
      <c r="C17" s="11"/>
      <c r="D17" s="11"/>
    </row>
    <row r="19" customFormat="false" ht="15" hidden="false" customHeight="false" outlineLevel="0" collapsed="false">
      <c r="A19" s="20" t="s">
        <v>576</v>
      </c>
      <c r="B19" s="16" t="str">
        <f aca="false">COUNTIF(C13:C17,"supported")&amp;" supported · "&amp;COUNTIF(C13:C17,"open question")&amp;" open · "&amp;COUNTIF(C13:C17,"conflicts")&amp;" conflicts"</f>
        <v>0 supported · 0 open · 0 conflicts</v>
      </c>
    </row>
  </sheetData>
  <mergeCells count="6">
    <mergeCell ref="B5:D5"/>
    <mergeCell ref="B6:D6"/>
    <mergeCell ref="B7:D7"/>
    <mergeCell ref="B8:D8"/>
    <mergeCell ref="B9:D9"/>
    <mergeCell ref="B10:D10"/>
  </mergeCells>
  <conditionalFormatting sqref="C13:C17">
    <cfRule type="expression" priority="2" aboveAverage="0" equalAverage="0" bottom="0" percent="0" rank="0" text="" dxfId="0">
      <formula>C13="supported"</formula>
    </cfRule>
    <cfRule type="expression" priority="3" aboveAverage="0" equalAverage="0" bottom="0" percent="0" rank="0" text="" dxfId="1">
      <formula>C13="open question"</formula>
    </cfRule>
    <cfRule type="expression" priority="4" aboveAverage="0" equalAverage="0" bottom="0" percent="0" rank="0" text="" dxfId="2">
      <formula>C13="conflicts"</formula>
    </cfRule>
  </conditionalFormatting>
  <dataValidations count="2">
    <dataValidation allowBlank="true" errorStyle="stop" operator="between" showDropDown="false" showErrorMessage="false" showInputMessage="false" sqref="B5" type="list">
      <formula1>"Low-cost provider,Broad differentiation,Best-cost provider,Focused low-cost,Focused differentiation,[your choice]"</formula1>
      <formula2>0</formula2>
    </dataValidation>
    <dataValidation allowBlank="true" errorStyle="stop" operator="between" showDropDown="false" showErrorMessage="false" showInputMessage="false" sqref="C13:C17" type="list">
      <formula1>"supported,open question,conflicts"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3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7" t="s">
        <v>577</v>
      </c>
    </row>
    <row r="2" customFormat="false" ht="15" hidden="false" customHeight="false" outlineLevel="0" collapsed="false">
      <c r="A2" s="3" t="s">
        <v>578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579</v>
      </c>
      <c r="B5" s="11"/>
      <c r="C5" s="11"/>
      <c r="D5" s="11"/>
      <c r="E5" s="11"/>
      <c r="F5" s="11"/>
      <c r="G5" s="11"/>
    </row>
    <row r="6" customFormat="false" ht="23.85" hidden="false" customHeight="false" outlineLevel="0" collapsed="false">
      <c r="A6" s="5" t="s">
        <v>580</v>
      </c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5" t="s">
        <v>123</v>
      </c>
      <c r="B7" s="11"/>
      <c r="C7" s="11"/>
      <c r="D7" s="11"/>
      <c r="E7" s="11"/>
      <c r="F7" s="11"/>
      <c r="G7" s="11"/>
    </row>
    <row r="9" customFormat="false" ht="30" hidden="false" customHeight="true" outlineLevel="0" collapsed="false">
      <c r="A9" s="12" t="s">
        <v>273</v>
      </c>
      <c r="B9" s="12" t="s">
        <v>581</v>
      </c>
      <c r="C9" s="12" t="s">
        <v>582</v>
      </c>
      <c r="D9" s="12" t="s">
        <v>583</v>
      </c>
      <c r="E9" s="12" t="s">
        <v>584</v>
      </c>
      <c r="F9" s="12" t="s">
        <v>585</v>
      </c>
      <c r="G9" s="12" t="s">
        <v>586</v>
      </c>
    </row>
    <row r="10" customFormat="false" ht="30" hidden="false" customHeight="true" outlineLevel="0" collapsed="false">
      <c r="A10" s="11" t="s">
        <v>587</v>
      </c>
      <c r="B10" s="11" t="s">
        <v>588</v>
      </c>
      <c r="C10" s="11" t="s">
        <v>589</v>
      </c>
      <c r="D10" s="11" t="s">
        <v>590</v>
      </c>
      <c r="E10" s="11" t="s">
        <v>591</v>
      </c>
      <c r="F10" s="11" t="s">
        <v>592</v>
      </c>
      <c r="G10" s="11" t="s">
        <v>350</v>
      </c>
    </row>
    <row r="11" customFormat="false" ht="30" hidden="false" customHeight="true" outlineLevel="0" collapsed="false">
      <c r="A11" s="11" t="s">
        <v>593</v>
      </c>
      <c r="B11" s="11" t="s">
        <v>594</v>
      </c>
      <c r="C11" s="11" t="s">
        <v>595</v>
      </c>
      <c r="D11" s="11"/>
      <c r="E11" s="11"/>
      <c r="F11" s="11"/>
      <c r="G11" s="11" t="s">
        <v>350</v>
      </c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</row>
    <row r="19" customFormat="false" ht="15" hidden="false" customHeight="false" outlineLevel="0" collapsed="false">
      <c r="A19" s="20" t="s">
        <v>596</v>
      </c>
      <c r="B19" s="16" t="str">
        <f aca="false">IF(COUNTIF(C10:C17,"do nothing")=0,"Add do nothing as the baseline",IF(COUNTA(B10:B17)-1&lt;3,"Add options: aim for three or more plus do nothing","OK"))</f>
        <v>Add options: aim for three or more plus do nothing</v>
      </c>
      <c r="C19" s="16"/>
      <c r="D19" s="16"/>
      <c r="E19" s="16"/>
      <c r="F19" s="16"/>
      <c r="G19" s="16"/>
    </row>
  </sheetData>
  <mergeCells count="4">
    <mergeCell ref="B5:G5"/>
    <mergeCell ref="B6:G6"/>
    <mergeCell ref="B7:G7"/>
    <mergeCell ref="B19:G19"/>
  </mergeCells>
  <dataValidations count="2">
    <dataValidation allowBlank="true" errorStyle="stop" operator="between" showDropDown="false" showErrorMessage="false" showInputMessage="false" sqref="C10:C17" type="list">
      <formula1>"build,buy,partner,license,focus,exit,do nothing"</formula1>
      <formula2>0</formula2>
    </dataValidation>
    <dataValidation allowBlank="true" errorStyle="stop" operator="between" showDropDown="false" showErrorMessage="false" showInputMessage="false" sqref="G10:G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7" t="s">
        <v>44</v>
      </c>
    </row>
    <row r="2" customFormat="false" ht="15" hidden="false" customHeight="false" outlineLevel="0" collapsed="false">
      <c r="A2" s="3" t="s">
        <v>597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598</v>
      </c>
      <c r="B5" s="12" t="s">
        <v>599</v>
      </c>
      <c r="C5" s="12" t="s">
        <v>600</v>
      </c>
      <c r="D5" s="30" t="s">
        <v>601</v>
      </c>
      <c r="E5" s="30" t="s">
        <v>602</v>
      </c>
      <c r="F5" s="30" t="s">
        <v>603</v>
      </c>
      <c r="G5" s="30" t="s">
        <v>604</v>
      </c>
      <c r="H5" s="30" t="s">
        <v>605</v>
      </c>
    </row>
    <row r="6" customFormat="false" ht="15" hidden="false" customHeight="false" outlineLevel="0" collapsed="false">
      <c r="A6" s="11" t="s">
        <v>606</v>
      </c>
      <c r="B6" s="11" t="n">
        <v>5</v>
      </c>
      <c r="C6" s="11" t="s">
        <v>607</v>
      </c>
      <c r="D6" s="11" t="n">
        <v>3</v>
      </c>
      <c r="E6" s="11" t="n">
        <v>4</v>
      </c>
      <c r="F6" s="11" t="n">
        <v>3</v>
      </c>
      <c r="G6" s="11" t="n">
        <v>1</v>
      </c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20" t="s">
        <v>367</v>
      </c>
      <c r="D14" s="33" t="n">
        <f aca="false">IF(COUNT(D6:D13)=0,"",SUMPRODUCT($B$6:$B$13,D6:D13)/SUMPRODUCT($B$6:$B$13*(D6:D13&lt;&gt;"")))</f>
        <v>3</v>
      </c>
      <c r="E14" s="33" t="n">
        <f aca="false">IF(COUNT(E6:E13)=0,"",SUMPRODUCT($B$6:$B$13,E6:E13)/SUMPRODUCT($B$6:$B$13*(E6:E13&lt;&gt;"")))</f>
        <v>4</v>
      </c>
      <c r="F14" s="33" t="n">
        <f aca="false">IF(COUNT(F6:F13)=0,"",SUMPRODUCT($B$6:$B$13,F6:F13)/SUMPRODUCT($B$6:$B$13*(F6:F13&lt;&gt;"")))</f>
        <v>3</v>
      </c>
      <c r="G14" s="33" t="n">
        <f aca="false">IF(COUNT(G6:G13)=0,"",SUMPRODUCT($B$6:$B$13,G6:G13)/SUMPRODUCT($B$6:$B$13*(G6:G13&lt;&gt;"")))</f>
        <v>1</v>
      </c>
      <c r="H14" s="33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20" t="s">
        <v>368</v>
      </c>
      <c r="D15" s="26" t="n">
        <f aca="false">IF(D14="","",RANK(D14,$D$14:$H$14))</f>
        <v>2</v>
      </c>
      <c r="E15" s="26" t="n">
        <f aca="false">IF(E14="","",RANK(E14,$D$14:$H$14))</f>
        <v>1</v>
      </c>
      <c r="F15" s="26" t="n">
        <f aca="false">IF(F14="","",RANK(F14,$D$14:$H$14))</f>
        <v>2</v>
      </c>
      <c r="G15" s="26" t="n">
        <f aca="false">IF(G14="","",RANK(G14,$D$14:$H$14))</f>
        <v>4</v>
      </c>
      <c r="H15" s="26" t="str">
        <f aca="false">IF(H14="","",RANK(H14,$D$14:$H$14))</f>
        <v/>
      </c>
    </row>
    <row r="17" customFormat="false" ht="23.85" hidden="false" customHeight="false" outlineLevel="0" collapsed="false">
      <c r="A17" s="5" t="s">
        <v>608</v>
      </c>
    </row>
  </sheetData>
  <dataValidations count="1">
    <dataValidation allowBlank="true" error="Enter a whole number from 1 to 5." errorStyle="stop" errorTitle="StratOS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7" t="s">
        <v>46</v>
      </c>
    </row>
    <row r="2" customFormat="false" ht="15" hidden="false" customHeight="false" outlineLevel="0" collapsed="false">
      <c r="A2" s="3" t="s">
        <v>609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610</v>
      </c>
    </row>
    <row r="6" customFormat="false" ht="15" hidden="false" customHeight="false" outlineLevel="0" collapsed="false">
      <c r="A6" s="5" t="s">
        <v>430</v>
      </c>
      <c r="B6" s="22" t="n">
        <v>0.1</v>
      </c>
    </row>
    <row r="7" customFormat="false" ht="15" hidden="false" customHeight="false" outlineLevel="0" collapsed="false">
      <c r="A7" s="5" t="s">
        <v>611</v>
      </c>
      <c r="B7" s="22" t="n">
        <v>0.21</v>
      </c>
    </row>
    <row r="8" customFormat="false" ht="15" hidden="false" customHeight="false" outlineLevel="0" collapsed="false">
      <c r="A8" s="5" t="s">
        <v>612</v>
      </c>
      <c r="B8" s="22" t="n">
        <v>0.05</v>
      </c>
    </row>
    <row r="10" customFormat="false" ht="15" hidden="false" customHeight="false" outlineLevel="0" collapsed="false">
      <c r="A10" s="12" t="s">
        <v>613</v>
      </c>
      <c r="B10" s="12" t="s">
        <v>614</v>
      </c>
      <c r="C10" s="12" t="s">
        <v>615</v>
      </c>
      <c r="D10" s="12" t="s">
        <v>616</v>
      </c>
      <c r="E10" s="12" t="s">
        <v>617</v>
      </c>
      <c r="F10" s="12" t="s">
        <v>618</v>
      </c>
      <c r="G10" s="12" t="s">
        <v>619</v>
      </c>
    </row>
    <row r="11" customFormat="false" ht="15" hidden="false" customHeight="false" outlineLevel="0" collapsed="false">
      <c r="A11" s="5" t="s">
        <v>620</v>
      </c>
      <c r="B11" s="24" t="n">
        <v>0</v>
      </c>
      <c r="C11" s="24" t="n">
        <v>32400</v>
      </c>
      <c r="D11" s="24" t="n">
        <v>64800</v>
      </c>
      <c r="E11" s="24" t="n">
        <v>97200</v>
      </c>
      <c r="F11" s="24" t="n">
        <v>108000</v>
      </c>
      <c r="G11" s="24" t="n">
        <v>108000</v>
      </c>
    </row>
    <row r="12" customFormat="false" ht="15" hidden="false" customHeight="false" outlineLevel="0" collapsed="false">
      <c r="A12" s="5" t="s">
        <v>416</v>
      </c>
      <c r="B12" s="38" t="n">
        <v>32000</v>
      </c>
      <c r="C12" s="38" t="n">
        <v>32000</v>
      </c>
      <c r="D12" s="38" t="n">
        <v>32000</v>
      </c>
      <c r="E12" s="38" t="n">
        <v>32000</v>
      </c>
      <c r="F12" s="38" t="n">
        <v>32000</v>
      </c>
      <c r="G12" s="38" t="n">
        <v>32000</v>
      </c>
    </row>
    <row r="13" customFormat="false" ht="15" hidden="false" customHeight="false" outlineLevel="0" collapsed="false">
      <c r="A13" s="5" t="s">
        <v>418</v>
      </c>
      <c r="B13" s="38" t="n">
        <v>20000</v>
      </c>
      <c r="C13" s="38" t="n">
        <v>20000</v>
      </c>
      <c r="D13" s="38" t="n">
        <v>20000</v>
      </c>
      <c r="E13" s="38" t="n">
        <v>20000</v>
      </c>
      <c r="F13" s="38" t="n">
        <v>20000</v>
      </c>
      <c r="G13" s="38" t="n">
        <v>20000</v>
      </c>
    </row>
    <row r="14" customFormat="false" ht="15" hidden="false" customHeight="false" outlineLevel="0" collapsed="false">
      <c r="A14" s="5" t="s">
        <v>442</v>
      </c>
      <c r="B14" s="38" t="n">
        <v>0</v>
      </c>
      <c r="C14" s="38" t="n">
        <v>180000000</v>
      </c>
      <c r="D14" s="38" t="n">
        <v>180000000</v>
      </c>
      <c r="E14" s="38" t="n">
        <v>180000000</v>
      </c>
      <c r="F14" s="38" t="n">
        <v>180000000</v>
      </c>
      <c r="G14" s="38" t="n">
        <v>180000000</v>
      </c>
    </row>
    <row r="15" customFormat="false" ht="15" hidden="false" customHeight="false" outlineLevel="0" collapsed="false">
      <c r="A15" s="5" t="s">
        <v>621</v>
      </c>
      <c r="B15" s="38" t="n">
        <v>2000000000</v>
      </c>
      <c r="C15" s="38" t="n">
        <v>100000000</v>
      </c>
      <c r="D15" s="38" t="n">
        <v>100000000</v>
      </c>
      <c r="E15" s="38" t="n">
        <v>50000000</v>
      </c>
      <c r="F15" s="38" t="n">
        <v>50000000</v>
      </c>
      <c r="G15" s="38" t="n">
        <v>50000000</v>
      </c>
    </row>
    <row r="16" customFormat="false" ht="15" hidden="false" customHeight="false" outlineLevel="0" collapsed="false">
      <c r="A16" s="5" t="s">
        <v>622</v>
      </c>
      <c r="B16" s="45" t="n">
        <f aca="false">B11*B12</f>
        <v>0</v>
      </c>
      <c r="C16" s="45" t="n">
        <f aca="false">C11*C12</f>
        <v>1036800000</v>
      </c>
      <c r="D16" s="45" t="n">
        <f aca="false">D11*D12</f>
        <v>2073600000</v>
      </c>
      <c r="E16" s="45" t="n">
        <f aca="false">E11*E12</f>
        <v>3110400000</v>
      </c>
      <c r="F16" s="45" t="n">
        <f aca="false">F11*F12</f>
        <v>3456000000</v>
      </c>
      <c r="G16" s="45" t="n">
        <f aca="false">G11*G12</f>
        <v>3456000000</v>
      </c>
    </row>
    <row r="17" customFormat="false" ht="15" hidden="false" customHeight="false" outlineLevel="0" collapsed="false">
      <c r="A17" s="5" t="s">
        <v>623</v>
      </c>
      <c r="B17" s="45" t="n">
        <f aca="false">B11*(B12-B13)</f>
        <v>0</v>
      </c>
      <c r="C17" s="45" t="n">
        <f aca="false">C11*(C12-C13)</f>
        <v>388800000</v>
      </c>
      <c r="D17" s="45" t="n">
        <f aca="false">D11*(D12-D13)</f>
        <v>777600000</v>
      </c>
      <c r="E17" s="45" t="n">
        <f aca="false">E11*(E12-E13)</f>
        <v>1166400000</v>
      </c>
      <c r="F17" s="45" t="n">
        <f aca="false">F11*(F12-F13)</f>
        <v>1296000000</v>
      </c>
      <c r="G17" s="45" t="n">
        <f aca="false">G11*(G12-G13)</f>
        <v>1296000000</v>
      </c>
    </row>
    <row r="18" customFormat="false" ht="15" hidden="false" customHeight="false" outlineLevel="0" collapsed="false">
      <c r="A18" s="5" t="s">
        <v>624</v>
      </c>
      <c r="B18" s="45" t="n">
        <f aca="false">B17-B14</f>
        <v>0</v>
      </c>
      <c r="C18" s="45" t="n">
        <f aca="false">C17-C14</f>
        <v>208800000</v>
      </c>
      <c r="D18" s="45" t="n">
        <f aca="false">D17-D14</f>
        <v>597600000</v>
      </c>
      <c r="E18" s="45" t="n">
        <f aca="false">E17-E14</f>
        <v>986400000</v>
      </c>
      <c r="F18" s="45" t="n">
        <f aca="false">F17-F14</f>
        <v>1116000000</v>
      </c>
      <c r="G18" s="45" t="n">
        <f aca="false">G17-G14</f>
        <v>1116000000</v>
      </c>
    </row>
    <row r="19" customFormat="false" ht="15" hidden="false" customHeight="false" outlineLevel="0" collapsed="false">
      <c r="A19" s="5" t="s">
        <v>625</v>
      </c>
      <c r="B19" s="45" t="n">
        <f aca="false">MAX(0,B18)*$B$7</f>
        <v>0</v>
      </c>
      <c r="C19" s="45" t="n">
        <f aca="false">MAX(0,C18)*$B$7</f>
        <v>43848000</v>
      </c>
      <c r="D19" s="45" t="n">
        <f aca="false">MAX(0,D18)*$B$7</f>
        <v>125496000</v>
      </c>
      <c r="E19" s="45" t="n">
        <f aca="false">MAX(0,E18)*$B$7</f>
        <v>207144000</v>
      </c>
      <c r="F19" s="45" t="n">
        <f aca="false">MAX(0,F18)*$B$7</f>
        <v>234360000</v>
      </c>
      <c r="G19" s="45" t="n">
        <f aca="false">MAX(0,G18)*$B$7</f>
        <v>234360000</v>
      </c>
    </row>
    <row r="20" customFormat="false" ht="15" hidden="false" customHeight="false" outlineLevel="0" collapsed="false">
      <c r="A20" s="5" t="s">
        <v>626</v>
      </c>
      <c r="B20" s="45" t="n">
        <f aca="false">B16*$B$8</f>
        <v>0</v>
      </c>
      <c r="C20" s="45" t="n">
        <f aca="false">C16*$B$8</f>
        <v>51840000</v>
      </c>
      <c r="D20" s="45" t="n">
        <f aca="false">D16*$B$8</f>
        <v>103680000</v>
      </c>
      <c r="E20" s="45" t="n">
        <f aca="false">E16*$B$8</f>
        <v>155520000</v>
      </c>
      <c r="F20" s="45" t="n">
        <f aca="false">F16*$B$8</f>
        <v>172800000</v>
      </c>
      <c r="G20" s="45" t="n">
        <f aca="false">G16*$B$8</f>
        <v>172800000</v>
      </c>
    </row>
    <row r="21" customFormat="false" ht="15" hidden="false" customHeight="false" outlineLevel="0" collapsed="false">
      <c r="A21" s="5" t="s">
        <v>627</v>
      </c>
      <c r="B21" s="45" t="n">
        <f aca="false">B20</f>
        <v>0</v>
      </c>
      <c r="C21" s="45" t="n">
        <f aca="false">C20-B20</f>
        <v>51840000</v>
      </c>
      <c r="D21" s="45" t="n">
        <f aca="false">D20-C20</f>
        <v>51840000</v>
      </c>
      <c r="E21" s="45" t="n">
        <f aca="false">E20-D20</f>
        <v>51840000</v>
      </c>
      <c r="F21" s="45" t="n">
        <f aca="false">F20-E20</f>
        <v>17280000</v>
      </c>
      <c r="G21" s="45" t="n">
        <f aca="false">G20-F20</f>
        <v>0</v>
      </c>
    </row>
    <row r="22" customFormat="false" ht="15" hidden="false" customHeight="false" outlineLevel="0" collapsed="false">
      <c r="A22" s="20" t="s">
        <v>628</v>
      </c>
      <c r="B22" s="46" t="n">
        <f aca="false">B18-B19-B21-B15</f>
        <v>-2000000000</v>
      </c>
      <c r="C22" s="46" t="n">
        <f aca="false">C18-C19-C21-C15</f>
        <v>13112000</v>
      </c>
      <c r="D22" s="46" t="n">
        <f aca="false">D18-D19-D21-D15</f>
        <v>320264000</v>
      </c>
      <c r="E22" s="46" t="n">
        <f aca="false">E18-E19-E21-E15</f>
        <v>677416000</v>
      </c>
      <c r="F22" s="46" t="n">
        <f aca="false">F18-F19-F21-F15</f>
        <v>814360000</v>
      </c>
      <c r="G22" s="46" t="n">
        <f aca="false">G18-G19-G21-G15+G20</f>
        <v>1004440000</v>
      </c>
    </row>
    <row r="23" customFormat="false" ht="15" hidden="false" customHeight="false" outlineLevel="0" collapsed="false">
      <c r="A23" s="5" t="s">
        <v>629</v>
      </c>
      <c r="B23" s="45" t="n">
        <f aca="false">B22</f>
        <v>-2000000000</v>
      </c>
      <c r="C23" s="45" t="n">
        <f aca="false">B23+C22</f>
        <v>-1986888000</v>
      </c>
      <c r="D23" s="45" t="n">
        <f aca="false">C23+D22</f>
        <v>-1666624000</v>
      </c>
      <c r="E23" s="45" t="n">
        <f aca="false">D23+E22</f>
        <v>-989208000</v>
      </c>
      <c r="F23" s="45" t="n">
        <f aca="false">E23+F22</f>
        <v>-174848000</v>
      </c>
      <c r="G23" s="45" t="n">
        <f aca="false">F23+G22</f>
        <v>829592000</v>
      </c>
    </row>
    <row r="25" customFormat="false" ht="15" hidden="false" customHeight="false" outlineLevel="0" collapsed="false">
      <c r="A25" s="20" t="s">
        <v>630</v>
      </c>
      <c r="B25" s="46" t="n">
        <f aca="false">IF(COUNT(B11:G11)=0,"",B22+NPV($B$6,C22:G22))</f>
        <v>-34549289.8522835</v>
      </c>
    </row>
    <row r="26" customFormat="false" ht="15" hidden="false" customHeight="false" outlineLevel="0" collapsed="false">
      <c r="A26" s="20" t="s">
        <v>631</v>
      </c>
      <c r="B26" s="21" t="n">
        <f aca="false">IFERROR(IRR(B22:G22),"n/a")</f>
        <v>0.0949319301494521</v>
      </c>
    </row>
    <row r="27" customFormat="false" ht="15" hidden="false" customHeight="false" outlineLevel="0" collapsed="false">
      <c r="A27" s="20" t="s">
        <v>632</v>
      </c>
      <c r="B27" s="16" t="str">
        <f aca="false">IF(ISNUMBER(B26),IF(B26&gt;=$B$6,"Yes","No"),"")</f>
        <v>No</v>
      </c>
    </row>
    <row r="29" customFormat="false" ht="35.05" hidden="false" customHeight="false" outlineLevel="0" collapsed="false">
      <c r="A29" s="5" t="s">
        <v>633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7" t="s">
        <v>48</v>
      </c>
    </row>
    <row r="2" customFormat="false" ht="15" hidden="false" customHeight="false" outlineLevel="0" collapsed="false">
      <c r="A2" s="3" t="s">
        <v>634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581</v>
      </c>
      <c r="B5" s="12" t="s">
        <v>635</v>
      </c>
      <c r="C5" s="12" t="s">
        <v>636</v>
      </c>
      <c r="D5" s="12" t="s">
        <v>637</v>
      </c>
      <c r="E5" s="12" t="s">
        <v>638</v>
      </c>
      <c r="F5" s="12" t="s">
        <v>639</v>
      </c>
      <c r="G5" s="12" t="s">
        <v>640</v>
      </c>
      <c r="H5" s="12" t="s">
        <v>641</v>
      </c>
      <c r="I5" s="12" t="s">
        <v>642</v>
      </c>
      <c r="J5" s="12" t="s">
        <v>643</v>
      </c>
      <c r="K5" s="12" t="s">
        <v>644</v>
      </c>
    </row>
    <row r="6" customFormat="false" ht="15" hidden="false" customHeight="false" outlineLevel="0" collapsed="false">
      <c r="A6" s="11" t="s">
        <v>645</v>
      </c>
      <c r="B6" s="31" t="n">
        <v>0.3</v>
      </c>
      <c r="C6" s="28" t="n">
        <v>12</v>
      </c>
      <c r="D6" s="31" t="n">
        <v>0.5</v>
      </c>
      <c r="E6" s="28" t="n">
        <v>4</v>
      </c>
      <c r="F6" s="31" t="n">
        <v>0.2</v>
      </c>
      <c r="G6" s="28" t="n">
        <v>-6</v>
      </c>
      <c r="H6" s="15" t="str">
        <f aca="false">IF(A6="","",IF(ABS(B6+D6+F6-1)&lt;0.001,"OK","Must sum to 100%"))</f>
        <v>OK</v>
      </c>
      <c r="I6" s="33" t="n">
        <f aca="false">IF(A6="","",B6*C6+D6*E6+F6*G6)</f>
        <v>4.4</v>
      </c>
      <c r="J6" s="27" t="n">
        <f aca="false">IF(A6="","",MIN(C6,E6,G6))</f>
        <v>-6</v>
      </c>
      <c r="K6" s="27" t="n">
        <f aca="false">IF(A6="","",MAX(C6,E6,G6))</f>
        <v>12</v>
      </c>
    </row>
    <row r="7" customFormat="false" ht="15" hidden="false" customHeight="false" outlineLevel="0" collapsed="false">
      <c r="A7" s="11" t="s">
        <v>646</v>
      </c>
      <c r="B7" s="31" t="n">
        <v>0.3</v>
      </c>
      <c r="C7" s="28" t="n">
        <v>6</v>
      </c>
      <c r="D7" s="31" t="n">
        <v>0.5</v>
      </c>
      <c r="E7" s="28" t="n">
        <v>4</v>
      </c>
      <c r="F7" s="31" t="n">
        <v>0.2</v>
      </c>
      <c r="G7" s="28" t="n">
        <v>1</v>
      </c>
      <c r="H7" s="15" t="str">
        <f aca="false">IF(A7="","",IF(ABS(B7+D7+F7-1)&lt;0.001,"OK","Must sum to 100%"))</f>
        <v>OK</v>
      </c>
      <c r="I7" s="33" t="n">
        <f aca="false">IF(A7="","",B7*C7+D7*E7+F7*G7)</f>
        <v>4</v>
      </c>
      <c r="J7" s="27" t="n">
        <f aca="false">IF(A7="","",MIN(C7,E7,G7))</f>
        <v>1</v>
      </c>
      <c r="K7" s="27" t="n">
        <f aca="false">IF(A7="","",MAX(C7,E7,G7))</f>
        <v>6</v>
      </c>
    </row>
    <row r="8" customFormat="false" ht="15" hidden="false" customHeight="false" outlineLevel="0" collapsed="false">
      <c r="A8" s="11" t="s">
        <v>647</v>
      </c>
      <c r="B8" s="31" t="n">
        <v>0.3</v>
      </c>
      <c r="C8" s="28" t="n">
        <v>0</v>
      </c>
      <c r="D8" s="31" t="n">
        <v>0.5</v>
      </c>
      <c r="E8" s="28" t="n">
        <v>0</v>
      </c>
      <c r="F8" s="31" t="n">
        <v>0.2</v>
      </c>
      <c r="G8" s="28" t="n">
        <v>0</v>
      </c>
      <c r="H8" s="15" t="str">
        <f aca="false">IF(A8="","",IF(ABS(B8+D8+F8-1)&lt;0.001,"OK","Must sum to 100%"))</f>
        <v>OK</v>
      </c>
      <c r="I8" s="33" t="n">
        <f aca="false">IF(A8="","",B8*C8+D8*E8+F8*G8)</f>
        <v>0</v>
      </c>
      <c r="J8" s="27" t="n">
        <f aca="false">IF(A8="","",MIN(C8,E8,G8))</f>
        <v>0</v>
      </c>
      <c r="K8" s="27" t="n">
        <f aca="false">IF(A8="","",MAX(C8,E8,G8))</f>
        <v>0</v>
      </c>
    </row>
    <row r="9" customFormat="false" ht="15" hidden="false" customHeight="false" outlineLevel="0" collapsed="false">
      <c r="A9" s="11"/>
      <c r="B9" s="31"/>
      <c r="C9" s="28"/>
      <c r="D9" s="31"/>
      <c r="E9" s="28"/>
      <c r="F9" s="31"/>
      <c r="G9" s="28"/>
      <c r="H9" s="15" t="str">
        <f aca="false">IF(A9="","",IF(ABS(B9+D9+F9-1)&lt;0.001,"OK","Must sum to 100%"))</f>
        <v/>
      </c>
      <c r="I9" s="33" t="str">
        <f aca="false">IF(A9="","",B9*C9+D9*E9+F9*G9)</f>
        <v/>
      </c>
      <c r="J9" s="27" t="str">
        <f aca="false">IF(A9="","",MIN(C9,E9,G9))</f>
        <v/>
      </c>
      <c r="K9" s="27" t="str">
        <f aca="false">IF(A9="","",MAX(C9,E9,G9))</f>
        <v/>
      </c>
    </row>
    <row r="10" customFormat="false" ht="15" hidden="false" customHeight="false" outlineLevel="0" collapsed="false">
      <c r="A10" s="11"/>
      <c r="B10" s="31"/>
      <c r="C10" s="28"/>
      <c r="D10" s="31"/>
      <c r="E10" s="28"/>
      <c r="F10" s="31"/>
      <c r="G10" s="28"/>
      <c r="H10" s="15" t="str">
        <f aca="false">IF(A10="","",IF(ABS(B10+D10+F10-1)&lt;0.001,"OK","Must sum to 100%"))</f>
        <v/>
      </c>
      <c r="I10" s="33" t="str">
        <f aca="false">IF(A10="","",B10*C10+D10*E10+F10*G10)</f>
        <v/>
      </c>
      <c r="J10" s="27" t="str">
        <f aca="false">IF(A10="","",MIN(C10,E10,G10))</f>
        <v/>
      </c>
      <c r="K10" s="27" t="str">
        <f aca="false">IF(A10="","",MAX(C10,E10,G10))</f>
        <v/>
      </c>
    </row>
    <row r="11" customFormat="false" ht="15" hidden="false" customHeight="false" outlineLevel="0" collapsed="false">
      <c r="A11" s="11"/>
      <c r="B11" s="31"/>
      <c r="C11" s="28"/>
      <c r="D11" s="31"/>
      <c r="E11" s="28"/>
      <c r="F11" s="31"/>
      <c r="G11" s="28"/>
      <c r="H11" s="15" t="str">
        <f aca="false">IF(A11="","",IF(ABS(B11+D11+F11-1)&lt;0.001,"OK","Must sum to 100%"))</f>
        <v/>
      </c>
      <c r="I11" s="33" t="str">
        <f aca="false">IF(A11="","",B11*C11+D11*E11+F11*G11)</f>
        <v/>
      </c>
      <c r="J11" s="27" t="str">
        <f aca="false">IF(A11="","",MIN(C11,E11,G11))</f>
        <v/>
      </c>
      <c r="K11" s="27" t="str">
        <f aca="false">IF(A11="","",MAX(C11,E11,G11))</f>
        <v/>
      </c>
    </row>
    <row r="13" customFormat="false" ht="23.85" hidden="false" customHeight="false" outlineLevel="0" collapsed="false">
      <c r="A13" s="20" t="s">
        <v>648</v>
      </c>
      <c r="B13" s="16" t="str">
        <f aca="false">IFERROR(INDEX(A6:A11,MATCH(MAX(I6:I11),I6:I11,0)),"")</f>
        <v>A. Move upmarket</v>
      </c>
    </row>
    <row r="14" customFormat="false" ht="23.85" hidden="false" customHeight="false" outlineLevel="0" collapsed="false">
      <c r="A14" s="20" t="s">
        <v>649</v>
      </c>
      <c r="B14" s="16" t="str">
        <f aca="false">IFERROR(INDEX(A6:A11,MATCH(MAX(J6:J11),J6:J11,0)),"")</f>
        <v>B. Cut costs</v>
      </c>
    </row>
    <row r="15" customFormat="false" ht="23.85" hidden="false" customHeight="true" outlineLevel="0" collapsed="false">
      <c r="A15" s="20" t="s">
        <v>650</v>
      </c>
      <c r="B15" s="33" t="n">
        <f aca="false">IFERROR(INDEX(B6:B11,MATCH(MAX(I6:I11),I6:I11,0))*MAX(C6:C11)+INDEX(D6:D11,MATCH(MAX(I6:I11),I6:I11,0))*MAX(E6:E11)+INDEX(F6:F11,MATCH(MAX(I6:I11),I6:I11,0))*MAX(G6:G11)-MAX(I6:I11),"")</f>
        <v>1.4</v>
      </c>
      <c r="C15" s="10" t="s">
        <v>651</v>
      </c>
      <c r="D15" s="10"/>
      <c r="E15" s="10"/>
      <c r="F15" s="10"/>
      <c r="G15" s="10"/>
      <c r="H15" s="10"/>
      <c r="I15" s="10"/>
      <c r="J15" s="10"/>
      <c r="K15" s="10"/>
    </row>
    <row r="18" customFormat="false" ht="23.85" hidden="false" customHeight="true" outlineLevel="0" collapsed="false">
      <c r="A18" s="20" t="s">
        <v>652</v>
      </c>
      <c r="B18" s="10" t="s">
        <v>653</v>
      </c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A19" s="12" t="s">
        <v>654</v>
      </c>
      <c r="B19" s="12" t="s">
        <v>655</v>
      </c>
      <c r="C19" s="12" t="s">
        <v>656</v>
      </c>
      <c r="D19" s="12" t="s">
        <v>657</v>
      </c>
      <c r="E19" s="12" t="s">
        <v>658</v>
      </c>
      <c r="F19" s="12" t="s">
        <v>659</v>
      </c>
      <c r="G19" s="12" t="s">
        <v>660</v>
      </c>
    </row>
    <row r="20" customFormat="false" ht="15" hidden="false" customHeight="false" outlineLevel="0" collapsed="false">
      <c r="A20" s="5" t="s">
        <v>661</v>
      </c>
      <c r="B20" s="44" t="n">
        <f aca="false">IF(B6="","",B6)</f>
        <v>0.3</v>
      </c>
      <c r="C20" s="31" t="n">
        <v>0.8</v>
      </c>
      <c r="D20" s="31" t="n">
        <v>0.2</v>
      </c>
      <c r="E20" s="15" t="str">
        <f aca="false">IF(C20="","",IF(ABS(C20+D20-1)&lt;0.001,"OK","Must sum to 100%"))</f>
        <v>OK</v>
      </c>
      <c r="F20" s="39" t="n">
        <f aca="false">IFERROR(B20*C20/SUMPRODUCT($B$20:$B$22,$C$20:$C$22),"")</f>
        <v>0.461538461538462</v>
      </c>
      <c r="G20" s="39" t="n">
        <f aca="false">IFERROR(B20*D20/SUMPRODUCT($B$20:$B$22,$D$20:$D$22),"")</f>
        <v>0.125</v>
      </c>
    </row>
    <row r="21" customFormat="false" ht="15" hidden="false" customHeight="false" outlineLevel="0" collapsed="false">
      <c r="A21" s="5" t="s">
        <v>662</v>
      </c>
      <c r="B21" s="44" t="n">
        <f aca="false">IF(D6="","",D6)</f>
        <v>0.5</v>
      </c>
      <c r="C21" s="31" t="n">
        <v>0.5</v>
      </c>
      <c r="D21" s="31" t="n">
        <v>0.5</v>
      </c>
      <c r="E21" s="15" t="str">
        <f aca="false">IF(C21="","",IF(ABS(C21+D21-1)&lt;0.001,"OK","Must sum to 100%"))</f>
        <v>OK</v>
      </c>
      <c r="F21" s="39" t="n">
        <f aca="false">IFERROR(B21*C21/SUMPRODUCT($B$20:$B$22,$C$20:$C$22),"")</f>
        <v>0.480769230769231</v>
      </c>
      <c r="G21" s="39" t="n">
        <f aca="false">IFERROR(B21*D21/SUMPRODUCT($B$20:$B$22,$D$20:$D$22),"")</f>
        <v>0.520833333333333</v>
      </c>
    </row>
    <row r="22" customFormat="false" ht="15" hidden="false" customHeight="false" outlineLevel="0" collapsed="false">
      <c r="A22" s="5" t="s">
        <v>663</v>
      </c>
      <c r="B22" s="44" t="n">
        <f aca="false">IF(F6="","",F6)</f>
        <v>0.2</v>
      </c>
      <c r="C22" s="31" t="n">
        <v>0.15</v>
      </c>
      <c r="D22" s="31" t="n">
        <v>0.85</v>
      </c>
      <c r="E22" s="15" t="str">
        <f aca="false">IF(C22="","",IF(ABS(C22+D22-1)&lt;0.001,"OK","Must sum to 100%"))</f>
        <v>OK</v>
      </c>
      <c r="F22" s="39" t="n">
        <f aca="false">IFERROR(B22*C22/SUMPRODUCT($B$20:$B$22,$C$20:$C$22),"")</f>
        <v>0.0576923076923077</v>
      </c>
      <c r="G22" s="39" t="n">
        <f aca="false">IFERROR(B22*D22/SUMPRODUCT($B$20:$B$22,$D$20:$D$22),"")</f>
        <v>0.354166666666667</v>
      </c>
    </row>
    <row r="23" customFormat="false" ht="15" hidden="false" customHeight="false" outlineLevel="0" collapsed="false">
      <c r="A23" s="20" t="s">
        <v>664</v>
      </c>
      <c r="F23" s="21" t="n">
        <f aca="false">IFERROR(SUMPRODUCT(B20:B22,C20:C22),"")</f>
        <v>0.52</v>
      </c>
      <c r="G23" s="21" t="n">
        <f aca="false">IFERROR(SUMPRODUCT(B20:B22,D20:D22),"")</f>
        <v>0.48</v>
      </c>
    </row>
    <row r="25" customFormat="false" ht="30" hidden="false" customHeight="true" outlineLevel="0" collapsed="false">
      <c r="A25" s="12" t="s">
        <v>581</v>
      </c>
      <c r="B25" s="12" t="s">
        <v>665</v>
      </c>
      <c r="C25" s="12" t="s">
        <v>666</v>
      </c>
      <c r="D25" s="12" t="s">
        <v>667</v>
      </c>
    </row>
    <row r="26" customFormat="false" ht="15" hidden="false" customHeight="false" outlineLevel="0" collapsed="false">
      <c r="A26" s="15" t="str">
        <f aca="false">IF(A6="","",A6)</f>
        <v>A. Move upmarket</v>
      </c>
      <c r="B26" s="47" t="n">
        <f aca="false">IF(A6="","",I6)</f>
        <v>4.4</v>
      </c>
      <c r="C26" s="47" t="n">
        <f aca="false">IF(OR(A6="",F20=""),"",C6*F20+E6*F21+G6*F22)</f>
        <v>7.11538461538462</v>
      </c>
      <c r="D26" s="47" t="n">
        <f aca="false">IF(OR(A6="",G20=""),"",C6*G20+E6*G21+G6*G22)</f>
        <v>1.45833333333333</v>
      </c>
    </row>
    <row r="27" customFormat="false" ht="15" hidden="false" customHeight="false" outlineLevel="0" collapsed="false">
      <c r="A27" s="15" t="str">
        <f aca="false">IF(A7="","",A7)</f>
        <v>B. Cut costs</v>
      </c>
      <c r="B27" s="47" t="n">
        <f aca="false">IF(A7="","",I7)</f>
        <v>4</v>
      </c>
      <c r="C27" s="47" t="n">
        <f aca="false">IF(OR(A7="",F20=""),"",C7*F20+E7*F21+G7*F22)</f>
        <v>4.75</v>
      </c>
      <c r="D27" s="47" t="n">
        <f aca="false">IF(OR(A7="",G20=""),"",C7*G20+E7*G21+G7*G22)</f>
        <v>3.1875</v>
      </c>
    </row>
    <row r="28" customFormat="false" ht="15" hidden="false" customHeight="false" outlineLevel="0" collapsed="false">
      <c r="A28" s="15" t="str">
        <f aca="false">IF(A8="","",A8)</f>
        <v>C. Do nothing</v>
      </c>
      <c r="B28" s="47" t="n">
        <f aca="false">IF(A8="","",I8)</f>
        <v>0</v>
      </c>
      <c r="C28" s="47" t="n">
        <f aca="false">IF(OR(A8="",F20=""),"",C8*F20+E8*F21+G8*F22)</f>
        <v>0</v>
      </c>
      <c r="D28" s="47" t="n">
        <f aca="false">IF(OR(A8="",G20=""),"",C8*G20+E8*G21+G8*G22)</f>
        <v>0</v>
      </c>
    </row>
    <row r="29" customFormat="false" ht="15" hidden="false" customHeight="false" outlineLevel="0" collapsed="false">
      <c r="A29" s="15" t="str">
        <f aca="false">IF(A9="","",A9)</f>
        <v/>
      </c>
      <c r="B29" s="47" t="str">
        <f aca="false">IF(A9="","",I9)</f>
        <v/>
      </c>
      <c r="C29" s="47" t="str">
        <f aca="false">IF(OR(A9="",F20=""),"",C9*F20+E9*F21+G9*F22)</f>
        <v/>
      </c>
      <c r="D29" s="47" t="str">
        <f aca="false">IF(OR(A9="",G20=""),"",C9*G20+E9*G21+G9*G22)</f>
        <v/>
      </c>
    </row>
    <row r="30" customFormat="false" ht="15" hidden="false" customHeight="false" outlineLevel="0" collapsed="false">
      <c r="A30" s="15" t="str">
        <f aca="false">IF(A10="","",A10)</f>
        <v/>
      </c>
      <c r="B30" s="47" t="str">
        <f aca="false">IF(A10="","",I10)</f>
        <v/>
      </c>
      <c r="C30" s="47" t="str">
        <f aca="false">IF(OR(A10="",F20=""),"",C10*F20+E10*F21+G10*F22)</f>
        <v/>
      </c>
      <c r="D30" s="47" t="str">
        <f aca="false">IF(OR(A10="",G20=""),"",C10*G20+E10*G21+G10*G22)</f>
        <v/>
      </c>
    </row>
    <row r="31" customFormat="false" ht="15" hidden="false" customHeight="false" outlineLevel="0" collapsed="false">
      <c r="A31" s="15" t="str">
        <f aca="false">IF(A11="","",A11)</f>
        <v/>
      </c>
      <c r="B31" s="47" t="str">
        <f aca="false">IF(A11="","",I11)</f>
        <v/>
      </c>
      <c r="C31" s="47" t="str">
        <f aca="false">IF(OR(A11="",F20=""),"",C11*F20+E11*F21+G11*F22)</f>
        <v/>
      </c>
      <c r="D31" s="47" t="str">
        <f aca="false">IF(OR(A11="",G20=""),"",C11*G20+E11*G21+G11*G22)</f>
        <v/>
      </c>
    </row>
    <row r="33" customFormat="false" ht="23.85" hidden="false" customHeight="true" outlineLevel="0" collapsed="false">
      <c r="A33" s="20" t="s">
        <v>668</v>
      </c>
      <c r="B33" s="16" t="str">
        <f aca="false">IFERROR(INDEX(A26:A31,MATCH(MAX(C26:C31),C26:C31,0)),"")</f>
        <v>A. Move upmarket</v>
      </c>
      <c r="C33" s="10" t="s">
        <v>669</v>
      </c>
      <c r="D33" s="10"/>
      <c r="E33" s="10"/>
      <c r="F33" s="10"/>
      <c r="G33" s="10"/>
      <c r="H33" s="10"/>
      <c r="I33" s="10"/>
      <c r="J33" s="10"/>
      <c r="K33" s="10"/>
    </row>
    <row r="34" customFormat="false" ht="23.85" hidden="false" customHeight="false" outlineLevel="0" collapsed="false">
      <c r="A34" s="20" t="s">
        <v>670</v>
      </c>
      <c r="B34" s="16" t="str">
        <f aca="false">IFERROR(INDEX(A26:A31,MATCH(MAX(D26:D31),D26:D31,0)),"")</f>
        <v>B. Cut costs</v>
      </c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23.85" hidden="false" customHeight="false" outlineLevel="0" collapsed="false">
      <c r="A35" s="20" t="s">
        <v>671</v>
      </c>
      <c r="B35" s="33" t="n">
        <f aca="false">IFERROR(F23*MAX(C26:C31)+G23*MAX(D26:D31),"")</f>
        <v>5.23</v>
      </c>
    </row>
    <row r="36" customFormat="false" ht="15" hidden="false" customHeight="false" outlineLevel="0" collapsed="false">
      <c r="A36" s="20" t="s">
        <v>672</v>
      </c>
      <c r="B36" s="33" t="n">
        <f aca="false">IFERROR(B35-MAX(I6:I11),"")</f>
        <v>0.830000000000001</v>
      </c>
    </row>
    <row r="37" customFormat="false" ht="15" hidden="false" customHeight="false" outlineLevel="0" collapsed="false">
      <c r="A37" s="20" t="s">
        <v>673</v>
      </c>
      <c r="B37" s="40" t="n">
        <v>0.5</v>
      </c>
    </row>
    <row r="38" customFormat="false" ht="23.85" hidden="false" customHeight="false" outlineLevel="0" collapsed="false">
      <c r="A38" s="20" t="s">
        <v>674</v>
      </c>
      <c r="B38" s="33" t="n">
        <f aca="false">IFERROR(IF(B37="","",B36-B37),"")</f>
        <v>0.330000000000001</v>
      </c>
    </row>
    <row r="39" customFormat="false" ht="15" hidden="false" customHeight="false" outlineLevel="0" collapsed="false">
      <c r="A39" s="20" t="s">
        <v>675</v>
      </c>
      <c r="B39" s="32" t="n">
        <f aca="false">IFERROR(B36/B15,"")</f>
        <v>0.592857142857143</v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7" t="s">
        <v>676</v>
      </c>
    </row>
    <row r="2" customFormat="false" ht="15" hidden="false" customHeight="false" outlineLevel="0" collapsed="false">
      <c r="A2" s="3" t="s">
        <v>677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489</v>
      </c>
      <c r="B5" s="12" t="s">
        <v>678</v>
      </c>
      <c r="C5" s="12" t="s">
        <v>679</v>
      </c>
      <c r="D5" s="12" t="s">
        <v>680</v>
      </c>
      <c r="E5" s="12" t="s">
        <v>681</v>
      </c>
      <c r="F5" s="12" t="s">
        <v>682</v>
      </c>
      <c r="G5" s="12" t="s">
        <v>683</v>
      </c>
    </row>
    <row r="6" customFormat="false" ht="15" hidden="false" customHeight="false" outlineLevel="0" collapsed="false">
      <c r="A6" s="5" t="s">
        <v>416</v>
      </c>
      <c r="B6" s="22" t="n">
        <v>-0.1</v>
      </c>
      <c r="C6" s="22" t="n">
        <v>0</v>
      </c>
      <c r="D6" s="22" t="n">
        <v>0.05</v>
      </c>
      <c r="E6" s="39" t="n">
        <f aca="false">IF(B6="",F6,B6)</f>
        <v>-0.1</v>
      </c>
      <c r="F6" s="39" t="n">
        <f aca="false">IF(C6="",0,C6)</f>
        <v>0</v>
      </c>
      <c r="G6" s="39" t="n">
        <f aca="false">IF(D6="",F6,D6)</f>
        <v>0.05</v>
      </c>
    </row>
    <row r="7" customFormat="false" ht="15" hidden="false" customHeight="false" outlineLevel="0" collapsed="false">
      <c r="A7" s="5" t="s">
        <v>620</v>
      </c>
      <c r="B7" s="22" t="n">
        <v>-0.3</v>
      </c>
      <c r="C7" s="22" t="n">
        <v>0</v>
      </c>
      <c r="D7" s="22" t="n">
        <v>0.15</v>
      </c>
      <c r="E7" s="39" t="n">
        <f aca="false">IF(B7="",F7,B7)</f>
        <v>-0.3</v>
      </c>
      <c r="F7" s="39" t="n">
        <f aca="false">IF(C7="",0,C7)</f>
        <v>0</v>
      </c>
      <c r="G7" s="39" t="n">
        <f aca="false">IF(D7="",F7,D7)</f>
        <v>0.15</v>
      </c>
    </row>
    <row r="8" customFormat="false" ht="15" hidden="false" customHeight="false" outlineLevel="0" collapsed="false">
      <c r="A8" s="5" t="s">
        <v>418</v>
      </c>
      <c r="B8" s="22" t="n">
        <v>-0.05</v>
      </c>
      <c r="C8" s="22" t="n">
        <v>0</v>
      </c>
      <c r="D8" s="22" t="n">
        <v>0.1</v>
      </c>
      <c r="E8" s="39" t="n">
        <f aca="false">IF(B8="",F8,B8)</f>
        <v>-0.05</v>
      </c>
      <c r="F8" s="39" t="n">
        <f aca="false">IF(C8="",0,C8)</f>
        <v>0</v>
      </c>
      <c r="G8" s="39" t="n">
        <f aca="false">IF(D8="",F8,D8)</f>
        <v>0.1</v>
      </c>
    </row>
    <row r="9" customFormat="false" ht="15" hidden="false" customHeight="false" outlineLevel="0" collapsed="false">
      <c r="A9" s="5" t="s">
        <v>442</v>
      </c>
      <c r="B9" s="22" t="n">
        <v>-0.1</v>
      </c>
      <c r="C9" s="22" t="n">
        <v>0</v>
      </c>
      <c r="D9" s="22" t="n">
        <v>0.15</v>
      </c>
      <c r="E9" s="39" t="n">
        <f aca="false">IF(B9="",F9,B9)</f>
        <v>-0.1</v>
      </c>
      <c r="F9" s="39" t="n">
        <f aca="false">IF(C9="",0,C9)</f>
        <v>0</v>
      </c>
      <c r="G9" s="39" t="n">
        <f aca="false">IF(D9="",F9,D9)</f>
        <v>0.15</v>
      </c>
    </row>
    <row r="10" customFormat="false" ht="15" hidden="false" customHeight="false" outlineLevel="0" collapsed="false">
      <c r="A10" s="5" t="s">
        <v>621</v>
      </c>
      <c r="B10" s="22" t="n">
        <v>-0.05</v>
      </c>
      <c r="C10" s="22" t="n">
        <v>0</v>
      </c>
      <c r="D10" s="22" t="n">
        <v>0.25</v>
      </c>
      <c r="E10" s="39" t="n">
        <f aca="false">IF(B10="",F10,B10)</f>
        <v>-0.05</v>
      </c>
      <c r="F10" s="39" t="n">
        <f aca="false">IF(C10="",0,C10)</f>
        <v>0</v>
      </c>
      <c r="G10" s="39" t="n">
        <f aca="false">IF(D10="",F10,D10)</f>
        <v>0.25</v>
      </c>
    </row>
    <row r="11" customFormat="false" ht="15" hidden="false" customHeight="false" outlineLevel="0" collapsed="false">
      <c r="A11" s="5" t="s">
        <v>684</v>
      </c>
      <c r="B11" s="22" t="n">
        <v>0.08</v>
      </c>
      <c r="C11" s="22" t="n">
        <v>0.1</v>
      </c>
      <c r="D11" s="22" t="n">
        <v>0.13</v>
      </c>
      <c r="E11" s="39" t="n">
        <f aca="false">IF(B11="",F11,B11)</f>
        <v>0.08</v>
      </c>
      <c r="F11" s="39" t="n">
        <f aca="false">IF(C11="",'Business Case'!$B$6,C11)</f>
        <v>0.1</v>
      </c>
      <c r="G11" s="39" t="n">
        <f aca="false">IF(D11="",F11,D11)</f>
        <v>0.13</v>
      </c>
    </row>
    <row r="12" customFormat="false" ht="15" hidden="false" customHeight="false" outlineLevel="0" collapsed="false">
      <c r="A12" s="5" t="s">
        <v>685</v>
      </c>
      <c r="B12" s="15" t="str">
        <f aca="false">IF(SUMPRODUCT((E6:E11&gt;F6:F11)+(F6:F11&gt;G6:G11))=0,"OK","Need low &lt;= likely &lt;= high")</f>
        <v>OK</v>
      </c>
      <c r="C12" s="15"/>
      <c r="D12" s="15"/>
    </row>
    <row r="14" customFormat="false" ht="35.05" hidden="false" customHeight="false" outlineLevel="0" collapsed="false">
      <c r="A14" s="20" t="s">
        <v>686</v>
      </c>
    </row>
    <row r="15" customFormat="false" ht="15" hidden="false" customHeight="false" outlineLevel="0" collapsed="false">
      <c r="A15" s="12" t="s">
        <v>654</v>
      </c>
      <c r="B15" s="12" t="s">
        <v>687</v>
      </c>
      <c r="C15" s="12" t="s">
        <v>688</v>
      </c>
      <c r="D15" s="12" t="s">
        <v>689</v>
      </c>
      <c r="E15" s="12" t="s">
        <v>690</v>
      </c>
      <c r="F15" s="12" t="s">
        <v>691</v>
      </c>
      <c r="G15" s="12" t="s">
        <v>692</v>
      </c>
      <c r="H15" s="12" t="s">
        <v>693</v>
      </c>
      <c r="I15" s="12" t="s">
        <v>694</v>
      </c>
      <c r="J15" s="12" t="s">
        <v>695</v>
      </c>
      <c r="K15" s="12" t="s">
        <v>696</v>
      </c>
      <c r="L15" s="12" t="s">
        <v>697</v>
      </c>
      <c r="M15" s="12" t="s">
        <v>698</v>
      </c>
      <c r="N15" s="12" t="s">
        <v>630</v>
      </c>
    </row>
    <row r="16" customFormat="false" ht="15" hidden="false" customHeight="false" outlineLevel="0" collapsed="false">
      <c r="A16" s="5" t="s">
        <v>437</v>
      </c>
      <c r="B16" s="47" t="n">
        <f aca="false">1</f>
        <v>1</v>
      </c>
      <c r="C16" s="47" t="n">
        <f aca="false">1</f>
        <v>1</v>
      </c>
      <c r="D16" s="47" t="n">
        <f aca="false">1</f>
        <v>1</v>
      </c>
      <c r="E16" s="47" t="n">
        <f aca="false">1</f>
        <v>1</v>
      </c>
      <c r="F16" s="47" t="n">
        <f aca="false">1</f>
        <v>1</v>
      </c>
      <c r="G16" s="39" t="n">
        <f aca="false">'Business Case'!$B$6</f>
        <v>0.1</v>
      </c>
      <c r="H16" s="45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-2000000000</v>
      </c>
      <c r="I16" s="45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13112000</v>
      </c>
      <c r="J16" s="45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320264000</v>
      </c>
      <c r="K16" s="45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677416000</v>
      </c>
      <c r="L16" s="45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814360000</v>
      </c>
      <c r="M16" s="45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1004440000</v>
      </c>
      <c r="N16" s="46" t="n">
        <f aca="false">IF(COUNT('Business Case'!B11:G11)=0,"",H16+NPV(G16,I16:M16))</f>
        <v>-34549289.8522835</v>
      </c>
    </row>
    <row r="17" customFormat="false" ht="15" hidden="false" customHeight="false" outlineLevel="0" collapsed="false">
      <c r="A17" s="5" t="s">
        <v>699</v>
      </c>
      <c r="B17" s="47" t="n">
        <f aca="false">1+E6</f>
        <v>0.9</v>
      </c>
      <c r="C17" s="47" t="n">
        <f aca="false">1</f>
        <v>1</v>
      </c>
      <c r="D17" s="47" t="n">
        <f aca="false">1</f>
        <v>1</v>
      </c>
      <c r="E17" s="47" t="n">
        <f aca="false">1</f>
        <v>1</v>
      </c>
      <c r="F17" s="47" t="n">
        <f aca="false">1</f>
        <v>1</v>
      </c>
      <c r="G17" s="39" t="n">
        <f aca="false">'Business Case'!$B$6</f>
        <v>0.1</v>
      </c>
      <c r="H17" s="45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-2000000000</v>
      </c>
      <c r="I17" s="45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-63611200</v>
      </c>
      <c r="J17" s="45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161633600</v>
      </c>
      <c r="K17" s="45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436878400</v>
      </c>
      <c r="L17" s="45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543064000</v>
      </c>
      <c r="M17" s="45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714136000</v>
      </c>
      <c r="N17" s="46" t="n">
        <f aca="false">IF(COUNT('Business Case'!B11:G11)=0,"",H17+NPV(G17,I17:M17))</f>
        <v>-781671378.830309</v>
      </c>
    </row>
    <row r="18" customFormat="false" ht="15" hidden="false" customHeight="false" outlineLevel="0" collapsed="false">
      <c r="A18" s="5" t="s">
        <v>700</v>
      </c>
      <c r="B18" s="47" t="n">
        <f aca="false">1+G6</f>
        <v>1.05</v>
      </c>
      <c r="C18" s="47" t="n">
        <f aca="false">1</f>
        <v>1</v>
      </c>
      <c r="D18" s="47" t="n">
        <f aca="false">1</f>
        <v>1</v>
      </c>
      <c r="E18" s="47" t="n">
        <f aca="false">1</f>
        <v>1</v>
      </c>
      <c r="F18" s="47" t="n">
        <f aca="false">1</f>
        <v>1</v>
      </c>
      <c r="G18" s="39" t="n">
        <f aca="false">'Business Case'!$B$6</f>
        <v>0.1</v>
      </c>
      <c r="H18" s="45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-2000000000</v>
      </c>
      <c r="I18" s="45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51473600</v>
      </c>
      <c r="J18" s="45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399579200</v>
      </c>
      <c r="K18" s="45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797684800</v>
      </c>
      <c r="L18" s="45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950008000</v>
      </c>
      <c r="M18" s="45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1149592000</v>
      </c>
      <c r="N18" s="46" t="n">
        <f aca="false">IF(COUNT('Business Case'!B11:G11)=0,"",H18+NPV(G18,I18:M18))</f>
        <v>339011754.636729</v>
      </c>
    </row>
    <row r="19" customFormat="false" ht="15" hidden="false" customHeight="false" outlineLevel="0" collapsed="false">
      <c r="A19" s="5" t="s">
        <v>701</v>
      </c>
      <c r="B19" s="47" t="n">
        <f aca="false">1</f>
        <v>1</v>
      </c>
      <c r="C19" s="47" t="n">
        <f aca="false">1+E7</f>
        <v>0.7</v>
      </c>
      <c r="D19" s="47" t="n">
        <f aca="false">1</f>
        <v>1</v>
      </c>
      <c r="E19" s="47" t="n">
        <f aca="false">1</f>
        <v>1</v>
      </c>
      <c r="F19" s="47" t="n">
        <f aca="false">1</f>
        <v>1</v>
      </c>
      <c r="G19" s="39" t="n">
        <f aca="false">'Business Case'!$B$6</f>
        <v>0.1</v>
      </c>
      <c r="H19" s="45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-2000000000</v>
      </c>
      <c r="I19" s="45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-63481600</v>
      </c>
      <c r="J19" s="45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151524800</v>
      </c>
      <c r="K19" s="45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416531200</v>
      </c>
      <c r="L19" s="45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512392000</v>
      </c>
      <c r="M19" s="45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645448000</v>
      </c>
      <c r="N19" s="46" t="n">
        <f aca="false">IF(COUNT('Business Case'!B11:G11)=0,"",H19+NPV(G19,I19:M19))</f>
        <v>-868794325.871929</v>
      </c>
    </row>
    <row r="20" customFormat="false" ht="15" hidden="false" customHeight="false" outlineLevel="0" collapsed="false">
      <c r="A20" s="5" t="s">
        <v>702</v>
      </c>
      <c r="B20" s="47" t="n">
        <f aca="false">1</f>
        <v>1</v>
      </c>
      <c r="C20" s="47" t="n">
        <f aca="false">1+G7</f>
        <v>1.15</v>
      </c>
      <c r="D20" s="47" t="n">
        <f aca="false">1</f>
        <v>1</v>
      </c>
      <c r="E20" s="47" t="n">
        <f aca="false">1</f>
        <v>1</v>
      </c>
      <c r="F20" s="47" t="n">
        <f aca="false">1</f>
        <v>1</v>
      </c>
      <c r="G20" s="39" t="n">
        <f aca="false">'Business Case'!$B$6</f>
        <v>0.1</v>
      </c>
      <c r="H20" s="45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-2000000000</v>
      </c>
      <c r="I20" s="45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51408800</v>
      </c>
      <c r="J20" s="45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404633600</v>
      </c>
      <c r="K20" s="45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807858400</v>
      </c>
      <c r="L20" s="45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965344000</v>
      </c>
      <c r="M20" s="45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1183936000</v>
      </c>
      <c r="N20" s="46" t="n">
        <f aca="false">IF(COUNT('Business Case'!B11:G11)=0,"",H20+NPV(G20,I20:M20))</f>
        <v>382573228.157539</v>
      </c>
    </row>
    <row r="21" customFormat="false" ht="15" hidden="false" customHeight="false" outlineLevel="0" collapsed="false">
      <c r="A21" s="5" t="s">
        <v>703</v>
      </c>
      <c r="B21" s="47" t="n">
        <f aca="false">1</f>
        <v>1</v>
      </c>
      <c r="C21" s="47" t="n">
        <f aca="false">1</f>
        <v>1</v>
      </c>
      <c r="D21" s="47" t="n">
        <f aca="false">1+E8</f>
        <v>0.95</v>
      </c>
      <c r="E21" s="47" t="n">
        <f aca="false">1</f>
        <v>1</v>
      </c>
      <c r="F21" s="47" t="n">
        <f aca="false">1</f>
        <v>1</v>
      </c>
      <c r="G21" s="39" t="n">
        <f aca="false">'Business Case'!$B$6</f>
        <v>0.1</v>
      </c>
      <c r="H21" s="45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-2000000000</v>
      </c>
      <c r="I21" s="45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38708000</v>
      </c>
      <c r="J21" s="45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371456000</v>
      </c>
      <c r="K21" s="45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754204000</v>
      </c>
      <c r="L21" s="45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899680000</v>
      </c>
      <c r="M21" s="45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1089760000</v>
      </c>
      <c r="N21" s="46" t="n">
        <f aca="false">IF(COUNT('Business Case'!B11:G11)=0,"",H21+NPV(G21,I21:M21))</f>
        <v>199970915.300122</v>
      </c>
    </row>
    <row r="22" customFormat="false" ht="15" hidden="false" customHeight="false" outlineLevel="0" collapsed="false">
      <c r="A22" s="5" t="s">
        <v>704</v>
      </c>
      <c r="B22" s="47" t="n">
        <f aca="false">1</f>
        <v>1</v>
      </c>
      <c r="C22" s="47" t="n">
        <f aca="false">1</f>
        <v>1</v>
      </c>
      <c r="D22" s="47" t="n">
        <f aca="false">1+G8</f>
        <v>1.1</v>
      </c>
      <c r="E22" s="47" t="n">
        <f aca="false">1</f>
        <v>1</v>
      </c>
      <c r="F22" s="47" t="n">
        <f aca="false">1</f>
        <v>1</v>
      </c>
      <c r="G22" s="39" t="n">
        <f aca="false">'Business Case'!$B$6</f>
        <v>0.1</v>
      </c>
      <c r="H22" s="45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-2000000000</v>
      </c>
      <c r="I22" s="45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-38080000</v>
      </c>
      <c r="J22" s="45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217880000</v>
      </c>
      <c r="K22" s="45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523840000</v>
      </c>
      <c r="L22" s="45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643720000</v>
      </c>
      <c r="M22" s="45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833800000</v>
      </c>
      <c r="N22" s="46" t="n">
        <f aca="false">IF(COUNT('Business Case'!B11:G11)=0,"",H22+NPV(G22,I22:M22))</f>
        <v>-503589700.157094</v>
      </c>
    </row>
    <row r="23" customFormat="false" ht="15" hidden="false" customHeight="false" outlineLevel="0" collapsed="false">
      <c r="A23" s="5" t="s">
        <v>705</v>
      </c>
      <c r="B23" s="47" t="n">
        <f aca="false">1</f>
        <v>1</v>
      </c>
      <c r="C23" s="47" t="n">
        <f aca="false">1</f>
        <v>1</v>
      </c>
      <c r="D23" s="47" t="n">
        <f aca="false">1</f>
        <v>1</v>
      </c>
      <c r="E23" s="47" t="n">
        <f aca="false">1+E9</f>
        <v>0.9</v>
      </c>
      <c r="F23" s="47" t="n">
        <f aca="false">1</f>
        <v>1</v>
      </c>
      <c r="G23" s="39" t="n">
        <f aca="false">'Business Case'!$B$6</f>
        <v>0.1</v>
      </c>
      <c r="H23" s="45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-2000000000</v>
      </c>
      <c r="I23" s="45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27332000</v>
      </c>
      <c r="J23" s="45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334484000</v>
      </c>
      <c r="K23" s="45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691636000</v>
      </c>
      <c r="L23" s="45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828580000</v>
      </c>
      <c r="M23" s="45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1018660000</v>
      </c>
      <c r="N23" s="46" t="n">
        <f aca="false">IF(COUNT('Business Case'!B11:G11)=0,"",H23+NPV(G23,I23:M23))</f>
        <v>19355698.0087049</v>
      </c>
    </row>
    <row r="24" customFormat="false" ht="15" hidden="false" customHeight="false" outlineLevel="0" collapsed="false">
      <c r="A24" s="5" t="s">
        <v>706</v>
      </c>
      <c r="B24" s="47" t="n">
        <f aca="false">1</f>
        <v>1</v>
      </c>
      <c r="C24" s="47" t="n">
        <f aca="false">1</f>
        <v>1</v>
      </c>
      <c r="D24" s="47" t="n">
        <f aca="false">1</f>
        <v>1</v>
      </c>
      <c r="E24" s="47" t="n">
        <f aca="false">1+G9</f>
        <v>1.15</v>
      </c>
      <c r="F24" s="47" t="n">
        <f aca="false">1</f>
        <v>1</v>
      </c>
      <c r="G24" s="39" t="n">
        <f aca="false">'Business Case'!$B$6</f>
        <v>0.1</v>
      </c>
      <c r="H24" s="45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-2000000000</v>
      </c>
      <c r="I24" s="45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-8217999.99999997</v>
      </c>
      <c r="J24" s="45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298934000</v>
      </c>
      <c r="K24" s="45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656086000</v>
      </c>
      <c r="L24" s="45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793030000</v>
      </c>
      <c r="M24" s="45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983110000</v>
      </c>
      <c r="N24" s="46" t="n">
        <f aca="false">IF(COUNT('Business Case'!B11:G11)=0,"",H24+NPV(G24,I24:M24))</f>
        <v>-115406771.643765</v>
      </c>
    </row>
    <row r="25" customFormat="false" ht="15" hidden="false" customHeight="false" outlineLevel="0" collapsed="false">
      <c r="A25" s="5" t="s">
        <v>707</v>
      </c>
      <c r="B25" s="47" t="n">
        <f aca="false">1</f>
        <v>1</v>
      </c>
      <c r="C25" s="47" t="n">
        <f aca="false">1</f>
        <v>1</v>
      </c>
      <c r="D25" s="47" t="n">
        <f aca="false">1</f>
        <v>1</v>
      </c>
      <c r="E25" s="47" t="n">
        <f aca="false">1</f>
        <v>1</v>
      </c>
      <c r="F25" s="47" t="n">
        <f aca="false">1+E10</f>
        <v>0.95</v>
      </c>
      <c r="G25" s="39" t="n">
        <f aca="false">'Business Case'!$B$6</f>
        <v>0.1</v>
      </c>
      <c r="H25" s="45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-1900000000</v>
      </c>
      <c r="I25" s="45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18112000</v>
      </c>
      <c r="J25" s="45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325264000</v>
      </c>
      <c r="K25" s="45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679916000</v>
      </c>
      <c r="L25" s="45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816860000</v>
      </c>
      <c r="M25" s="45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1006940000</v>
      </c>
      <c r="N25" s="46" t="n">
        <f aca="false">IF(COUNT('Business Case'!B11:G11)=0,"",H25+NPV(G25,I25:M25))</f>
        <v>79266520.0464444</v>
      </c>
    </row>
    <row r="26" customFormat="false" ht="15" hidden="false" customHeight="false" outlineLevel="0" collapsed="false">
      <c r="A26" s="5" t="s">
        <v>708</v>
      </c>
      <c r="B26" s="47" t="n">
        <f aca="false">1</f>
        <v>1</v>
      </c>
      <c r="C26" s="47" t="n">
        <f aca="false">1</f>
        <v>1</v>
      </c>
      <c r="D26" s="47" t="n">
        <f aca="false">1</f>
        <v>1</v>
      </c>
      <c r="E26" s="47" t="n">
        <f aca="false">1</f>
        <v>1</v>
      </c>
      <c r="F26" s="47" t="n">
        <f aca="false">1+G10</f>
        <v>1.25</v>
      </c>
      <c r="G26" s="39" t="n">
        <f aca="false">'Business Case'!$B$6</f>
        <v>0.1</v>
      </c>
      <c r="H26" s="45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-2500000000</v>
      </c>
      <c r="I26" s="45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-11888000</v>
      </c>
      <c r="J26" s="45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295264000</v>
      </c>
      <c r="K26" s="45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664916000</v>
      </c>
      <c r="L26" s="45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801860000</v>
      </c>
      <c r="M26" s="45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991940000</v>
      </c>
      <c r="N26" s="46" t="n">
        <f aca="false">IF(COUNT('Business Case'!B11:G11)=0,"",H26+NPV(G26,I26:M26))</f>
        <v>-603628339.345922</v>
      </c>
    </row>
    <row r="27" customFormat="false" ht="15" hidden="false" customHeight="false" outlineLevel="0" collapsed="false">
      <c r="A27" s="5" t="s">
        <v>709</v>
      </c>
      <c r="B27" s="47" t="n">
        <f aca="false">1</f>
        <v>1</v>
      </c>
      <c r="C27" s="47" t="n">
        <f aca="false">1</f>
        <v>1</v>
      </c>
      <c r="D27" s="47" t="n">
        <f aca="false">1</f>
        <v>1</v>
      </c>
      <c r="E27" s="47" t="n">
        <f aca="false">1</f>
        <v>1</v>
      </c>
      <c r="F27" s="47" t="n">
        <f aca="false">1</f>
        <v>1</v>
      </c>
      <c r="G27" s="39" t="n">
        <f aca="false">E11</f>
        <v>0.08</v>
      </c>
      <c r="H27" s="45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-2000000000</v>
      </c>
      <c r="I27" s="45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13112000</v>
      </c>
      <c r="J27" s="45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320264000</v>
      </c>
      <c r="K27" s="45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677416000</v>
      </c>
      <c r="L27" s="45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814360000</v>
      </c>
      <c r="M27" s="45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1004440000</v>
      </c>
      <c r="N27" s="46" t="n">
        <f aca="false">IF(COUNT('Business Case'!B11:G11)=0,"",H27+NPV(G27,I27:M27))</f>
        <v>106654059.420693</v>
      </c>
    </row>
    <row r="28" customFormat="false" ht="15" hidden="false" customHeight="false" outlineLevel="0" collapsed="false">
      <c r="A28" s="5" t="s">
        <v>710</v>
      </c>
      <c r="B28" s="47" t="n">
        <f aca="false">1</f>
        <v>1</v>
      </c>
      <c r="C28" s="47" t="n">
        <f aca="false">1</f>
        <v>1</v>
      </c>
      <c r="D28" s="47" t="n">
        <f aca="false">1</f>
        <v>1</v>
      </c>
      <c r="E28" s="47" t="n">
        <f aca="false">1</f>
        <v>1</v>
      </c>
      <c r="F28" s="47" t="n">
        <f aca="false">1</f>
        <v>1</v>
      </c>
      <c r="G28" s="39" t="n">
        <f aca="false">G11</f>
        <v>0.13</v>
      </c>
      <c r="H28" s="45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-2000000000</v>
      </c>
      <c r="I28" s="45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13112000</v>
      </c>
      <c r="J28" s="45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320264000</v>
      </c>
      <c r="K28" s="45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677416000</v>
      </c>
      <c r="L28" s="45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814360000</v>
      </c>
      <c r="M28" s="45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1004440000</v>
      </c>
      <c r="N28" s="46" t="n">
        <f aca="false">IF(COUNT('Business Case'!B11:G11)=0,"",H28+NPV(G28,I28:M28))</f>
        <v>-223467472.855195</v>
      </c>
    </row>
    <row r="30" customFormat="false" ht="23.85" hidden="false" customHeight="false" outlineLevel="0" collapsed="false">
      <c r="A30" s="20" t="s">
        <v>711</v>
      </c>
    </row>
    <row r="31" customFormat="false" ht="30" hidden="false" customHeight="true" outlineLevel="0" collapsed="false">
      <c r="A31" s="12" t="s">
        <v>489</v>
      </c>
      <c r="B31" s="12" t="s">
        <v>712</v>
      </c>
      <c r="C31" s="12" t="s">
        <v>713</v>
      </c>
      <c r="D31" s="12" t="s">
        <v>714</v>
      </c>
      <c r="E31" s="12" t="s">
        <v>715</v>
      </c>
      <c r="F31" s="12" t="s">
        <v>716</v>
      </c>
      <c r="G31" s="12" t="s">
        <v>717</v>
      </c>
      <c r="H31" s="12" t="s">
        <v>718</v>
      </c>
    </row>
    <row r="32" customFormat="false" ht="23.85" hidden="false" customHeight="false" outlineLevel="0" collapsed="false">
      <c r="A32" s="15" t="str">
        <f aca="false">INDEX($A$40:$A$45,MATCH(LARGE($D$40:$D$45,1),$D$40:$D$45,0))</f>
        <v>Units</v>
      </c>
      <c r="B32" s="45" t="n">
        <f aca="false">INDEX($B$40:$B$45,MATCH(LARGE($D$40:$D$45,1),$D$40:$D$45,0))</f>
        <v>-868794325.871929</v>
      </c>
      <c r="C32" s="45" t="n">
        <f aca="false">INDEX($C$40:$C$45,MATCH(LARGE($D$40:$D$45,1),$D$40:$D$45,0))</f>
        <v>382573228.157539</v>
      </c>
      <c r="D32" s="48" t="n">
        <f aca="false">IFERROR(ABS(C32-B32),"")</f>
        <v>1251367554.02947</v>
      </c>
      <c r="E32" s="45" t="n">
        <f aca="false">IFERROR(B32-$N$16,"")</f>
        <v>-834245036.019646</v>
      </c>
      <c r="F32" s="45" t="n">
        <f aca="false">IFERROR(C32-$N$16,"")</f>
        <v>417122518.009823</v>
      </c>
      <c r="G32" s="15" t="str">
        <f aca="false">IF(B32="","",IF(MIN(B32,C32)&lt;0,IF(MAX(B32,C32)&gt;0,"Yes","Below zero"),"No"))</f>
        <v>Yes</v>
      </c>
      <c r="H32" s="15" t="n">
        <f aca="false">1</f>
        <v>1</v>
      </c>
    </row>
    <row r="33" customFormat="false" ht="23.85" hidden="false" customHeight="false" outlineLevel="0" collapsed="false">
      <c r="A33" s="15" t="str">
        <f aca="false">INDEX($A$40:$A$45,MATCH(LARGE($D$40:$D$45,2),$D$40:$D$45,0))</f>
        <v>Price per unit</v>
      </c>
      <c r="B33" s="45" t="n">
        <f aca="false">INDEX($B$40:$B$45,MATCH(LARGE($D$40:$D$45,2),$D$40:$D$45,0))</f>
        <v>-781671378.830309</v>
      </c>
      <c r="C33" s="45" t="n">
        <f aca="false">INDEX($C$40:$C$45,MATCH(LARGE($D$40:$D$45,2),$D$40:$D$45,0))</f>
        <v>339011754.636729</v>
      </c>
      <c r="D33" s="48" t="n">
        <f aca="false">IFERROR(ABS(C33-B33),"")</f>
        <v>1120683133.46704</v>
      </c>
      <c r="E33" s="45" t="n">
        <f aca="false">IFERROR(B33-$N$16,"")</f>
        <v>-747122088.978025</v>
      </c>
      <c r="F33" s="45" t="n">
        <f aca="false">IFERROR(C33-$N$16,"")</f>
        <v>373561044.489013</v>
      </c>
      <c r="G33" s="15" t="str">
        <f aca="false">IF(B33="","",IF(MIN(B33,C33)&lt;0,IF(MAX(B33,C33)&gt;0,"Yes","Below zero"),"No"))</f>
        <v>Yes</v>
      </c>
      <c r="H33" s="15" t="n">
        <f aca="false">2</f>
        <v>2</v>
      </c>
    </row>
    <row r="34" customFormat="false" ht="23.85" hidden="false" customHeight="false" outlineLevel="0" collapsed="false">
      <c r="A34" s="15" t="str">
        <f aca="false">INDEX($A$40:$A$45,MATCH(LARGE($D$40:$D$45,3),$D$40:$D$45,0))</f>
        <v>Variable cost per unit</v>
      </c>
      <c r="B34" s="45" t="n">
        <f aca="false">INDEX($B$40:$B$45,MATCH(LARGE($D$40:$D$45,3),$D$40:$D$45,0))</f>
        <v>199970915.300122</v>
      </c>
      <c r="C34" s="45" t="n">
        <f aca="false">INDEX($C$40:$C$45,MATCH(LARGE($D$40:$D$45,3),$D$40:$D$45,0))</f>
        <v>-503589700.157094</v>
      </c>
      <c r="D34" s="48" t="n">
        <f aca="false">IFERROR(ABS(C34-B34),"")</f>
        <v>703560615.457216</v>
      </c>
      <c r="E34" s="45" t="n">
        <f aca="false">IFERROR(B34-$N$16,"")</f>
        <v>234520205.152405</v>
      </c>
      <c r="F34" s="45" t="n">
        <f aca="false">IFERROR(C34-$N$16,"")</f>
        <v>-469040410.30481</v>
      </c>
      <c r="G34" s="15" t="str">
        <f aca="false">IF(B34="","",IF(MIN(B34,C34)&lt;0,IF(MAX(B34,C34)&gt;0,"Yes","Below zero"),"No"))</f>
        <v>Yes</v>
      </c>
      <c r="H34" s="15" t="n">
        <f aca="false">3</f>
        <v>3</v>
      </c>
    </row>
    <row r="35" customFormat="false" ht="23.85" hidden="false" customHeight="false" outlineLevel="0" collapsed="false">
      <c r="A35" s="15" t="str">
        <f aca="false">INDEX($A$40:$A$45,MATCH(LARGE($D$40:$D$45,4),$D$40:$D$45,0))</f>
        <v>Capex</v>
      </c>
      <c r="B35" s="45" t="n">
        <f aca="false">INDEX($B$40:$B$45,MATCH(LARGE($D$40:$D$45,4),$D$40:$D$45,0))</f>
        <v>79266520.0464444</v>
      </c>
      <c r="C35" s="45" t="n">
        <f aca="false">INDEX($C$40:$C$45,MATCH(LARGE($D$40:$D$45,4),$D$40:$D$45,0))</f>
        <v>-603628339.345922</v>
      </c>
      <c r="D35" s="48" t="n">
        <f aca="false">IFERROR(ABS(C35-B35),"")</f>
        <v>682894859.392366</v>
      </c>
      <c r="E35" s="45" t="n">
        <f aca="false">IFERROR(B35-$N$16,"")</f>
        <v>113815809.898728</v>
      </c>
      <c r="F35" s="45" t="n">
        <f aca="false">IFERROR(C35-$N$16,"")</f>
        <v>-569079049.493639</v>
      </c>
      <c r="G35" s="15" t="str">
        <f aca="false">IF(B35="","",IF(MIN(B35,C35)&lt;0,IF(MAX(B35,C35)&gt;0,"Yes","Below zero"),"No"))</f>
        <v>Yes</v>
      </c>
      <c r="H35" s="15" t="n">
        <f aca="false">4</f>
        <v>4</v>
      </c>
    </row>
    <row r="36" customFormat="false" ht="23.85" hidden="false" customHeight="false" outlineLevel="0" collapsed="false">
      <c r="A36" s="15" t="str">
        <f aca="false">INDEX($A$40:$A$45,MATCH(LARGE($D$40:$D$45,5),$D$40:$D$45,0))</f>
        <v>Discount rate (absolute)</v>
      </c>
      <c r="B36" s="45" t="n">
        <f aca="false">INDEX($B$40:$B$45,MATCH(LARGE($D$40:$D$45,5),$D$40:$D$45,0))</f>
        <v>106654059.420693</v>
      </c>
      <c r="C36" s="45" t="n">
        <f aca="false">INDEX($C$40:$C$45,MATCH(LARGE($D$40:$D$45,5),$D$40:$D$45,0))</f>
        <v>-223467472.855195</v>
      </c>
      <c r="D36" s="48" t="n">
        <f aca="false">IFERROR(ABS(C36-B36),"")</f>
        <v>330121532.275888</v>
      </c>
      <c r="E36" s="45" t="n">
        <f aca="false">IFERROR(B36-$N$16,"")</f>
        <v>141203349.272976</v>
      </c>
      <c r="F36" s="45" t="n">
        <f aca="false">IFERROR(C36-$N$16,"")</f>
        <v>-188918183.002911</v>
      </c>
      <c r="G36" s="15" t="str">
        <f aca="false">IF(B36="","",IF(MIN(B36,C36)&lt;0,IF(MAX(B36,C36)&gt;0,"Yes","Below zero"),"No"))</f>
        <v>Yes</v>
      </c>
      <c r="H36" s="15" t="n">
        <f aca="false">5</f>
        <v>5</v>
      </c>
    </row>
    <row r="37" customFormat="false" ht="23.85" hidden="false" customHeight="false" outlineLevel="0" collapsed="false">
      <c r="A37" s="15" t="str">
        <f aca="false">INDEX($A$40:$A$45,MATCH(LARGE($D$40:$D$45,6),$D$40:$D$45,0))</f>
        <v>Fixed costs</v>
      </c>
      <c r="B37" s="45" t="n">
        <f aca="false">INDEX($B$40:$B$45,MATCH(LARGE($D$40:$D$45,6),$D$40:$D$45,0))</f>
        <v>19355698.0087049</v>
      </c>
      <c r="C37" s="45" t="n">
        <f aca="false">INDEX($C$40:$C$45,MATCH(LARGE($D$40:$D$45,6),$D$40:$D$45,0))</f>
        <v>-115406771.643765</v>
      </c>
      <c r="D37" s="48" t="n">
        <f aca="false">IFERROR(ABS(C37-B37),"")</f>
        <v>134762469.65247</v>
      </c>
      <c r="E37" s="45" t="n">
        <f aca="false">IFERROR(B37-$N$16,"")</f>
        <v>53904987.8609884</v>
      </c>
      <c r="F37" s="45" t="n">
        <f aca="false">IFERROR(C37-$N$16,"")</f>
        <v>-80857481.791482</v>
      </c>
      <c r="G37" s="15" t="str">
        <f aca="false">IF(B37="","",IF(MIN(B37,C37)&lt;0,IF(MAX(B37,C37)&gt;0,"Yes","Below zero"),"No"))</f>
        <v>Yes</v>
      </c>
      <c r="H37" s="15" t="n">
        <f aca="false">6</f>
        <v>6</v>
      </c>
    </row>
    <row r="39" customFormat="false" ht="15" hidden="false" customHeight="false" outlineLevel="0" collapsed="false">
      <c r="A39" s="5" t="s">
        <v>719</v>
      </c>
    </row>
    <row r="40" customFormat="false" ht="23.85" hidden="false" customHeight="false" outlineLevel="0" collapsed="false">
      <c r="A40" s="5" t="s">
        <v>416</v>
      </c>
      <c r="B40" s="45" t="n">
        <f aca="false">N17</f>
        <v>-781671378.830309</v>
      </c>
      <c r="C40" s="45" t="n">
        <f aca="false">N18</f>
        <v>339011754.636729</v>
      </c>
      <c r="D40" s="35" t="n">
        <f aca="false">IFERROR(ABS(C40-B40)+ROW()/1000000000,0)</f>
        <v>1120683133.46704</v>
      </c>
    </row>
    <row r="41" customFormat="false" ht="23.85" hidden="false" customHeight="false" outlineLevel="0" collapsed="false">
      <c r="A41" s="5" t="s">
        <v>620</v>
      </c>
      <c r="B41" s="45" t="n">
        <f aca="false">N19</f>
        <v>-868794325.871929</v>
      </c>
      <c r="C41" s="45" t="n">
        <f aca="false">N20</f>
        <v>382573228.157539</v>
      </c>
      <c r="D41" s="35" t="n">
        <f aca="false">IFERROR(ABS(C41-B41)+ROW()/1000000000,0)</f>
        <v>1251367554.02947</v>
      </c>
    </row>
    <row r="42" customFormat="false" ht="23.85" hidden="false" customHeight="false" outlineLevel="0" collapsed="false">
      <c r="A42" s="5" t="s">
        <v>418</v>
      </c>
      <c r="B42" s="45" t="n">
        <f aca="false">N21</f>
        <v>199970915.300122</v>
      </c>
      <c r="C42" s="45" t="n">
        <f aca="false">N22</f>
        <v>-503589700.157094</v>
      </c>
      <c r="D42" s="35" t="n">
        <f aca="false">IFERROR(ABS(C42-B42)+ROW()/1000000000,0)</f>
        <v>703560615.457216</v>
      </c>
    </row>
    <row r="43" customFormat="false" ht="23.85" hidden="false" customHeight="false" outlineLevel="0" collapsed="false">
      <c r="A43" s="5" t="s">
        <v>442</v>
      </c>
      <c r="B43" s="45" t="n">
        <f aca="false">N23</f>
        <v>19355698.0087049</v>
      </c>
      <c r="C43" s="45" t="n">
        <f aca="false">N24</f>
        <v>-115406771.643765</v>
      </c>
      <c r="D43" s="35" t="n">
        <f aca="false">IFERROR(ABS(C43-B43)+ROW()/1000000000,0)</f>
        <v>134762469.65247</v>
      </c>
    </row>
    <row r="44" customFormat="false" ht="23.85" hidden="false" customHeight="false" outlineLevel="0" collapsed="false">
      <c r="A44" s="5" t="s">
        <v>621</v>
      </c>
      <c r="B44" s="45" t="n">
        <f aca="false">N25</f>
        <v>79266520.0464444</v>
      </c>
      <c r="C44" s="45" t="n">
        <f aca="false">N26</f>
        <v>-603628339.345922</v>
      </c>
      <c r="D44" s="35" t="n">
        <f aca="false">IFERROR(ABS(C44-B44)+ROW()/1000000000,0)</f>
        <v>682894859.392366</v>
      </c>
    </row>
    <row r="45" customFormat="false" ht="23.85" hidden="false" customHeight="false" outlineLevel="0" collapsed="false">
      <c r="A45" s="5" t="s">
        <v>684</v>
      </c>
      <c r="B45" s="45" t="n">
        <f aca="false">N27</f>
        <v>106654059.420693</v>
      </c>
      <c r="C45" s="45" t="n">
        <f aca="false">N28</f>
        <v>-223467472.855195</v>
      </c>
      <c r="D45" s="35" t="n">
        <f aca="false">IFERROR(ABS(C45-B45)+ROW()/1000000000,0)</f>
        <v>330121532.275888</v>
      </c>
    </row>
    <row r="48" customFormat="false" ht="15" hidden="false" customHeight="true" outlineLevel="0" collapsed="false">
      <c r="A48" s="9" t="s">
        <v>720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23.85" hidden="false" customHeight="false" outlineLevel="0" collapsed="false">
      <c r="A49" s="5" t="s">
        <v>721</v>
      </c>
      <c r="B49" s="45" t="n">
        <f aca="false">IFERROR(AVERAGE($N$81:$N$1080),"")</f>
        <v>-525116178.190828</v>
      </c>
    </row>
    <row r="50" customFormat="false" ht="23.85" hidden="false" customHeight="false" outlineLevel="0" collapsed="false">
      <c r="A50" s="20" t="s">
        <v>722</v>
      </c>
      <c r="B50" s="46" t="n">
        <f aca="false">IFERROR(MEDIAN($N$81:$N$1080),"")</f>
        <v>-523467441.769738</v>
      </c>
    </row>
    <row r="51" customFormat="false" ht="23.85" hidden="false" customHeight="false" outlineLevel="0" collapsed="false">
      <c r="A51" s="5" t="s">
        <v>723</v>
      </c>
      <c r="B51" s="45" t="n">
        <f aca="false">IFERROR(PERCENTILE($N$81:$N$1080,0.1),"")</f>
        <v>-1036203210.09799</v>
      </c>
    </row>
    <row r="52" customFormat="false" ht="23.85" hidden="false" customHeight="false" outlineLevel="0" collapsed="false">
      <c r="A52" s="5" t="s">
        <v>724</v>
      </c>
      <c r="B52" s="45" t="n">
        <f aca="false">IFERROR(PERCENTILE($N$81:$N$1080,0.9),"")</f>
        <v>-27944341.1954174</v>
      </c>
    </row>
    <row r="53" customFormat="false" ht="23.85" hidden="false" customHeight="false" outlineLevel="0" collapsed="false">
      <c r="A53" s="5" t="s">
        <v>725</v>
      </c>
      <c r="B53" s="45" t="n">
        <f aca="false">IFERROR(STDEV($N$81:$N$1080),"")</f>
        <v>384079462.173297</v>
      </c>
    </row>
    <row r="54" customFormat="false" ht="15" hidden="false" customHeight="false" outlineLevel="0" collapsed="false">
      <c r="A54" s="20" t="s">
        <v>726</v>
      </c>
      <c r="B54" s="21" t="n">
        <f aca="false">IFERROR(COUNTIF($N$81:$N$1080,"&lt;0")/COUNT($N$81:$N$1080),"")</f>
        <v>0.915</v>
      </c>
    </row>
    <row r="55" customFormat="false" ht="23.85" hidden="false" customHeight="false" outlineLevel="0" collapsed="false">
      <c r="A55" s="5" t="s">
        <v>727</v>
      </c>
      <c r="B55" s="45" t="n">
        <f aca="false">IFERROR(N16,"")</f>
        <v>-34549289.8522835</v>
      </c>
    </row>
    <row r="56" customFormat="false" ht="30" hidden="false" customHeight="true" outlineLevel="0" collapsed="false">
      <c r="A56" s="10" t="s">
        <v>728</v>
      </c>
      <c r="B56" s="10"/>
      <c r="C56" s="10"/>
      <c r="D56" s="10"/>
      <c r="E56" s="10"/>
      <c r="F56" s="10"/>
      <c r="G56" s="10"/>
      <c r="H56" s="10"/>
    </row>
    <row r="58" customFormat="false" ht="30" hidden="false" customHeight="true" outlineLevel="0" collapsed="false">
      <c r="A58" s="12" t="s">
        <v>729</v>
      </c>
      <c r="B58" s="12" t="s">
        <v>730</v>
      </c>
      <c r="C58" s="12" t="s">
        <v>731</v>
      </c>
    </row>
    <row r="59" customFormat="false" ht="15" hidden="false" customHeight="false" outlineLevel="0" collapsed="false">
      <c r="A59" s="49" t="n">
        <f aca="false">MIN($N$81:$N$1080)+(MAX($N$81:$N$1080)-MIN($N$81:$N$1080))*0/20</f>
        <v>-1563788009.09837</v>
      </c>
      <c r="B59" s="49" t="n">
        <f aca="false">MIN($N$81:$N$1080)+(MAX($N$81:$N$1080)-MIN($N$81:$N$1080))*1/20</f>
        <v>-1455942296.03682</v>
      </c>
      <c r="C59" s="26" t="n">
        <f aca="false">COUNTIFS($N$81:$N$1080,"&gt;="&amp;A59,$N$81:$N$1080,"&lt;"&amp;B59)</f>
        <v>7</v>
      </c>
    </row>
    <row r="60" customFormat="false" ht="15" hidden="false" customHeight="false" outlineLevel="0" collapsed="false">
      <c r="A60" s="49" t="n">
        <f aca="false">MIN($N$81:$N$1080)+(MAX($N$81:$N$1080)-MIN($N$81:$N$1080))*1/20</f>
        <v>-1455942296.03682</v>
      </c>
      <c r="B60" s="49" t="n">
        <f aca="false">MIN($N$81:$N$1080)+(MAX($N$81:$N$1080)-MIN($N$81:$N$1080))*2/20</f>
        <v>-1348096582.97527</v>
      </c>
      <c r="C60" s="26" t="n">
        <f aca="false">COUNTIFS($N$81:$N$1080,"&gt;="&amp;A60,$N$81:$N$1080,"&lt;"&amp;B60)</f>
        <v>4</v>
      </c>
    </row>
    <row r="61" customFormat="false" ht="15" hidden="false" customHeight="false" outlineLevel="0" collapsed="false">
      <c r="A61" s="49" t="n">
        <f aca="false">MIN($N$81:$N$1080)+(MAX($N$81:$N$1080)-MIN($N$81:$N$1080))*2/20</f>
        <v>-1348096582.97527</v>
      </c>
      <c r="B61" s="49" t="n">
        <f aca="false">MIN($N$81:$N$1080)+(MAX($N$81:$N$1080)-MIN($N$81:$N$1080))*3/20</f>
        <v>-1240250869.91372</v>
      </c>
      <c r="C61" s="26" t="n">
        <f aca="false">COUNTIFS($N$81:$N$1080,"&gt;="&amp;A61,$N$81:$N$1080,"&lt;"&amp;B61)</f>
        <v>16</v>
      </c>
    </row>
    <row r="62" customFormat="false" ht="15" hidden="false" customHeight="false" outlineLevel="0" collapsed="false">
      <c r="A62" s="49" t="n">
        <f aca="false">MIN($N$81:$N$1080)+(MAX($N$81:$N$1080)-MIN($N$81:$N$1080))*3/20</f>
        <v>-1240250869.91372</v>
      </c>
      <c r="B62" s="49" t="n">
        <f aca="false">MIN($N$81:$N$1080)+(MAX($N$81:$N$1080)-MIN($N$81:$N$1080))*4/20</f>
        <v>-1132405156.85218</v>
      </c>
      <c r="C62" s="26" t="n">
        <f aca="false">COUNTIFS($N$81:$N$1080,"&gt;="&amp;A62,$N$81:$N$1080,"&lt;"&amp;B62)</f>
        <v>34</v>
      </c>
    </row>
    <row r="63" customFormat="false" ht="15" hidden="false" customHeight="false" outlineLevel="0" collapsed="false">
      <c r="A63" s="49" t="n">
        <f aca="false">MIN($N$81:$N$1080)+(MAX($N$81:$N$1080)-MIN($N$81:$N$1080))*4/20</f>
        <v>-1132405156.85218</v>
      </c>
      <c r="B63" s="49" t="n">
        <f aca="false">MIN($N$81:$N$1080)+(MAX($N$81:$N$1080)-MIN($N$81:$N$1080))*5/20</f>
        <v>-1024559443.79063</v>
      </c>
      <c r="C63" s="26" t="n">
        <f aca="false">COUNTIFS($N$81:$N$1080,"&gt;="&amp;A63,$N$81:$N$1080,"&lt;"&amp;B63)</f>
        <v>46</v>
      </c>
    </row>
    <row r="64" customFormat="false" ht="15" hidden="false" customHeight="false" outlineLevel="0" collapsed="false">
      <c r="A64" s="49" t="n">
        <f aca="false">MIN($N$81:$N$1080)+(MAX($N$81:$N$1080)-MIN($N$81:$N$1080))*5/20</f>
        <v>-1024559443.79063</v>
      </c>
      <c r="B64" s="49" t="n">
        <f aca="false">MIN($N$81:$N$1080)+(MAX($N$81:$N$1080)-MIN($N$81:$N$1080))*6/20</f>
        <v>-916713730.729081</v>
      </c>
      <c r="C64" s="26" t="n">
        <f aca="false">COUNTIFS($N$81:$N$1080,"&gt;="&amp;A64,$N$81:$N$1080,"&lt;"&amp;B64)</f>
        <v>68</v>
      </c>
    </row>
    <row r="65" customFormat="false" ht="15" hidden="false" customHeight="false" outlineLevel="0" collapsed="false">
      <c r="A65" s="49" t="n">
        <f aca="false">MIN($N$81:$N$1080)+(MAX($N$81:$N$1080)-MIN($N$81:$N$1080))*6/20</f>
        <v>-916713730.729081</v>
      </c>
      <c r="B65" s="49" t="n">
        <f aca="false">MIN($N$81:$N$1080)+(MAX($N$81:$N$1080)-MIN($N$81:$N$1080))*7/20</f>
        <v>-808868017.667534</v>
      </c>
      <c r="C65" s="26" t="n">
        <f aca="false">COUNTIFS($N$81:$N$1080,"&gt;="&amp;A65,$N$81:$N$1080,"&lt;"&amp;B65)</f>
        <v>67</v>
      </c>
    </row>
    <row r="66" customFormat="false" ht="15" hidden="false" customHeight="false" outlineLevel="0" collapsed="false">
      <c r="A66" s="49" t="n">
        <f aca="false">MIN($N$81:$N$1080)+(MAX($N$81:$N$1080)-MIN($N$81:$N$1080))*7/20</f>
        <v>-808868017.667534</v>
      </c>
      <c r="B66" s="49" t="n">
        <f aca="false">MIN($N$81:$N$1080)+(MAX($N$81:$N$1080)-MIN($N$81:$N$1080))*8/20</f>
        <v>-701022304.605986</v>
      </c>
      <c r="C66" s="26" t="n">
        <f aca="false">COUNTIFS($N$81:$N$1080,"&gt;="&amp;A66,$N$81:$N$1080,"&lt;"&amp;B66)</f>
        <v>80</v>
      </c>
    </row>
    <row r="67" customFormat="false" ht="15" hidden="false" customHeight="false" outlineLevel="0" collapsed="false">
      <c r="A67" s="49" t="n">
        <f aca="false">MIN($N$81:$N$1080)+(MAX($N$81:$N$1080)-MIN($N$81:$N$1080))*8/20</f>
        <v>-701022304.605986</v>
      </c>
      <c r="B67" s="49" t="n">
        <f aca="false">MIN($N$81:$N$1080)+(MAX($N$81:$N$1080)-MIN($N$81:$N$1080))*9/20</f>
        <v>-593176591.544439</v>
      </c>
      <c r="C67" s="26" t="n">
        <f aca="false">COUNTIFS($N$81:$N$1080,"&gt;="&amp;A67,$N$81:$N$1080,"&lt;"&amp;B67)</f>
        <v>102</v>
      </c>
    </row>
    <row r="68" customFormat="false" ht="15" hidden="false" customHeight="false" outlineLevel="0" collapsed="false">
      <c r="A68" s="49" t="n">
        <f aca="false">MIN($N$81:$N$1080)+(MAX($N$81:$N$1080)-MIN($N$81:$N$1080))*9/20</f>
        <v>-593176591.544439</v>
      </c>
      <c r="B68" s="49" t="n">
        <f aca="false">MIN($N$81:$N$1080)+(MAX($N$81:$N$1080)-MIN($N$81:$N$1080))*10/20</f>
        <v>-485330878.482891</v>
      </c>
      <c r="C68" s="26" t="n">
        <f aca="false">COUNTIFS($N$81:$N$1080,"&gt;="&amp;A68,$N$81:$N$1080,"&lt;"&amp;B68)</f>
        <v>120</v>
      </c>
    </row>
    <row r="69" customFormat="false" ht="15" hidden="false" customHeight="false" outlineLevel="0" collapsed="false">
      <c r="A69" s="49" t="n">
        <f aca="false">MIN($N$81:$N$1080)+(MAX($N$81:$N$1080)-MIN($N$81:$N$1080))*10/20</f>
        <v>-485330878.482891</v>
      </c>
      <c r="B69" s="49" t="n">
        <f aca="false">MIN($N$81:$N$1080)+(MAX($N$81:$N$1080)-MIN($N$81:$N$1080))*11/20</f>
        <v>-377485165.421344</v>
      </c>
      <c r="C69" s="26" t="n">
        <f aca="false">COUNTIFS($N$81:$N$1080,"&gt;="&amp;A69,$N$81:$N$1080,"&lt;"&amp;B69)</f>
        <v>105</v>
      </c>
    </row>
    <row r="70" customFormat="false" ht="15" hidden="false" customHeight="false" outlineLevel="0" collapsed="false">
      <c r="A70" s="49" t="n">
        <f aca="false">MIN($N$81:$N$1080)+(MAX($N$81:$N$1080)-MIN($N$81:$N$1080))*11/20</f>
        <v>-377485165.421344</v>
      </c>
      <c r="B70" s="49" t="n">
        <f aca="false">MIN($N$81:$N$1080)+(MAX($N$81:$N$1080)-MIN($N$81:$N$1080))*12/20</f>
        <v>-269639452.359797</v>
      </c>
      <c r="C70" s="26" t="n">
        <f aca="false">COUNTIFS($N$81:$N$1080,"&gt;="&amp;A70,$N$81:$N$1080,"&lt;"&amp;B70)</f>
        <v>84</v>
      </c>
    </row>
    <row r="71" customFormat="false" ht="15" hidden="false" customHeight="false" outlineLevel="0" collapsed="false">
      <c r="A71" s="49" t="n">
        <f aca="false">MIN($N$81:$N$1080)+(MAX($N$81:$N$1080)-MIN($N$81:$N$1080))*12/20</f>
        <v>-269639452.359797</v>
      </c>
      <c r="B71" s="49" t="n">
        <f aca="false">MIN($N$81:$N$1080)+(MAX($N$81:$N$1080)-MIN($N$81:$N$1080))*13/20</f>
        <v>-161793739.298249</v>
      </c>
      <c r="C71" s="26" t="n">
        <f aca="false">COUNTIFS($N$81:$N$1080,"&gt;="&amp;A71,$N$81:$N$1080,"&lt;"&amp;B71)</f>
        <v>87</v>
      </c>
    </row>
    <row r="72" customFormat="false" ht="15" hidden="false" customHeight="false" outlineLevel="0" collapsed="false">
      <c r="A72" s="49" t="n">
        <f aca="false">MIN($N$81:$N$1080)+(MAX($N$81:$N$1080)-MIN($N$81:$N$1080))*13/20</f>
        <v>-161793739.298249</v>
      </c>
      <c r="B72" s="49" t="n">
        <f aca="false">MIN($N$81:$N$1080)+(MAX($N$81:$N$1080)-MIN($N$81:$N$1080))*14/20</f>
        <v>-53948026.2367017</v>
      </c>
      <c r="C72" s="26" t="n">
        <f aca="false">COUNTIFS($N$81:$N$1080,"&gt;="&amp;A72,$N$81:$N$1080,"&lt;"&amp;B72)</f>
        <v>62</v>
      </c>
    </row>
    <row r="73" customFormat="false" ht="15" hidden="false" customHeight="false" outlineLevel="0" collapsed="false">
      <c r="A73" s="49" t="n">
        <f aca="false">MIN($N$81:$N$1080)+(MAX($N$81:$N$1080)-MIN($N$81:$N$1080))*14/20</f>
        <v>-53948026.2367017</v>
      </c>
      <c r="B73" s="49" t="n">
        <f aca="false">MIN($N$81:$N$1080)+(MAX($N$81:$N$1080)-MIN($N$81:$N$1080))*15/20</f>
        <v>53897686.8248456</v>
      </c>
      <c r="C73" s="26" t="n">
        <f aca="false">COUNTIFS($N$81:$N$1080,"&gt;="&amp;A73,$N$81:$N$1080,"&lt;"&amp;B73)</f>
        <v>56</v>
      </c>
    </row>
    <row r="74" customFormat="false" ht="15" hidden="false" customHeight="false" outlineLevel="0" collapsed="false">
      <c r="A74" s="49" t="n">
        <f aca="false">MIN($N$81:$N$1080)+(MAX($N$81:$N$1080)-MIN($N$81:$N$1080))*15/20</f>
        <v>53897686.8248456</v>
      </c>
      <c r="B74" s="49" t="n">
        <f aca="false">MIN($N$81:$N$1080)+(MAX($N$81:$N$1080)-MIN($N$81:$N$1080))*16/20</f>
        <v>161743399.886393</v>
      </c>
      <c r="C74" s="26" t="n">
        <f aca="false">COUNTIFS($N$81:$N$1080,"&gt;="&amp;A74,$N$81:$N$1080,"&lt;"&amp;B74)</f>
        <v>29</v>
      </c>
    </row>
    <row r="75" customFormat="false" ht="15" hidden="false" customHeight="false" outlineLevel="0" collapsed="false">
      <c r="A75" s="49" t="n">
        <f aca="false">MIN($N$81:$N$1080)+(MAX($N$81:$N$1080)-MIN($N$81:$N$1080))*16/20</f>
        <v>161743399.886393</v>
      </c>
      <c r="B75" s="49" t="n">
        <f aca="false">MIN($N$81:$N$1080)+(MAX($N$81:$N$1080)-MIN($N$81:$N$1080))*17/20</f>
        <v>269589112.947941</v>
      </c>
      <c r="C75" s="26" t="n">
        <f aca="false">COUNTIFS($N$81:$N$1080,"&gt;="&amp;A75,$N$81:$N$1080,"&lt;"&amp;B75)</f>
        <v>17</v>
      </c>
    </row>
    <row r="76" customFormat="false" ht="15" hidden="false" customHeight="false" outlineLevel="0" collapsed="false">
      <c r="A76" s="49" t="n">
        <f aca="false">MIN($N$81:$N$1080)+(MAX($N$81:$N$1080)-MIN($N$81:$N$1080))*17/20</f>
        <v>269589112.947941</v>
      </c>
      <c r="B76" s="49" t="n">
        <f aca="false">MIN($N$81:$N$1080)+(MAX($N$81:$N$1080)-MIN($N$81:$N$1080))*18/20</f>
        <v>377434826.009488</v>
      </c>
      <c r="C76" s="26" t="n">
        <f aca="false">COUNTIFS($N$81:$N$1080,"&gt;="&amp;A76,$N$81:$N$1080,"&lt;"&amp;B76)</f>
        <v>7</v>
      </c>
    </row>
    <row r="77" customFormat="false" ht="15" hidden="false" customHeight="false" outlineLevel="0" collapsed="false">
      <c r="A77" s="49" t="n">
        <f aca="false">MIN($N$81:$N$1080)+(MAX($N$81:$N$1080)-MIN($N$81:$N$1080))*18/20</f>
        <v>377434826.009488</v>
      </c>
      <c r="B77" s="49" t="n">
        <f aca="false">MIN($N$81:$N$1080)+(MAX($N$81:$N$1080)-MIN($N$81:$N$1080))*19/20</f>
        <v>485280539.071035</v>
      </c>
      <c r="C77" s="26" t="n">
        <f aca="false">COUNTIFS($N$81:$N$1080,"&gt;="&amp;A77,$N$81:$N$1080,"&lt;"&amp;B77)</f>
        <v>5</v>
      </c>
    </row>
    <row r="78" customFormat="false" ht="15" hidden="false" customHeight="false" outlineLevel="0" collapsed="false">
      <c r="A78" s="49" t="n">
        <f aca="false">MIN($N$81:$N$1080)+(MAX($N$81:$N$1080)-MIN($N$81:$N$1080))*19/20</f>
        <v>485280539.071035</v>
      </c>
      <c r="B78" s="49" t="n">
        <f aca="false">MIN($N$81:$N$1080)+(MAX($N$81:$N$1080)-MIN($N$81:$N$1080))*20/20</f>
        <v>593126252.132583</v>
      </c>
      <c r="C78" s="26" t="n">
        <f aca="false">COUNTIFS($N$81:$N$1080,"&gt;="&amp;A78,$N$81:$N$1080,"&lt;="&amp;B78)</f>
        <v>4</v>
      </c>
    </row>
    <row r="80" customFormat="false" ht="23.85" hidden="false" customHeight="false" outlineLevel="0" collapsed="false">
      <c r="A80" s="12" t="s">
        <v>732</v>
      </c>
      <c r="B80" s="12" t="s">
        <v>687</v>
      </c>
      <c r="C80" s="12" t="s">
        <v>688</v>
      </c>
      <c r="D80" s="12" t="s">
        <v>689</v>
      </c>
      <c r="E80" s="12" t="s">
        <v>690</v>
      </c>
      <c r="F80" s="12" t="s">
        <v>691</v>
      </c>
      <c r="G80" s="12" t="s">
        <v>692</v>
      </c>
      <c r="H80" s="12" t="s">
        <v>693</v>
      </c>
      <c r="I80" s="12" t="s">
        <v>694</v>
      </c>
      <c r="J80" s="12" t="s">
        <v>695</v>
      </c>
      <c r="K80" s="12" t="s">
        <v>696</v>
      </c>
      <c r="L80" s="12" t="s">
        <v>697</v>
      </c>
      <c r="M80" s="12" t="s">
        <v>698</v>
      </c>
      <c r="N80" s="12" t="s">
        <v>630</v>
      </c>
      <c r="P80" s="12" t="s">
        <v>733</v>
      </c>
      <c r="Q80" s="12" t="s">
        <v>734</v>
      </c>
      <c r="R80" s="12" t="s">
        <v>735</v>
      </c>
      <c r="S80" s="12" t="s">
        <v>736</v>
      </c>
      <c r="T80" s="12" t="s">
        <v>737</v>
      </c>
      <c r="U80" s="12" t="s">
        <v>738</v>
      </c>
    </row>
    <row r="81" customFormat="false" ht="15" hidden="false" customHeight="false" outlineLevel="0" collapsed="false">
      <c r="A81" s="50" t="n">
        <v>1</v>
      </c>
      <c r="B81" s="51" t="n">
        <f aca="false">1+IF($G$6=$E$6,$F$6,IF(P81&lt;($F$6-$E$6)/($G$6-$E$6),$E$6+SQRT(P81*($G$6-$E$6)*($F$6-$E$6)),$G$6-SQRT((1-P81)*($G$6-$E$6)*($G$6-$F$6))))</f>
        <v>0.952387655272769</v>
      </c>
      <c r="C81" s="51" t="n">
        <f aca="false">1+IF($G$7=$E$7,$F$7,IF(Q81&lt;($F$7-$E$7)/($G$7-$E$7),$E$7+SQRT(Q81*($G$7-$E$7)*($F$7-$E$7)),$G$7-SQRT((1-Q81)*($G$7-$E$7)*($G$7-$F$7))))</f>
        <v>0.80549720531116</v>
      </c>
      <c r="D81" s="51" t="n">
        <f aca="false">1+IF($G$8=$E$8,$F$8,IF(R81&lt;($F$8-$E$8)/($G$8-$E$8),$E$8+SQRT(R81*($G$8-$E$8)*($F$8-$E$8)),$G$8-SQRT((1-R81)*($G$8-$E$8)*($G$8-$F$8))))</f>
        <v>0.975212430243454</v>
      </c>
      <c r="E81" s="51" t="n">
        <f aca="false">1+IF($G$9=$E$9,$F$9,IF(S81&lt;($F$9-$E$9)/($G$9-$E$9),$E$9+SQRT(S81*($G$9-$E$9)*($F$9-$E$9)),$G$9-SQRT((1-S81)*($G$9-$E$9)*($G$9-$F$9))))</f>
        <v>1.09138946258001</v>
      </c>
      <c r="F81" s="51" t="n">
        <f aca="false">1+IF($G$10=$E$10,$F$10,IF(T81&lt;($F$10-$E$10)/($G$10-$E$10),$E$10+SQRT(T81*($G$10-$E$10)*($F$10-$E$10)),$G$10-SQRT((1-T81)*($G$10-$E$10)*($G$10-$F$10))))</f>
        <v>1.16755837112803</v>
      </c>
      <c r="G81" s="52" t="n">
        <f aca="false">IF($G$11=$E$11,$F$11,IF(U81&lt;($F$11-$E$11)/($G$11-$E$11),$E$11+SQRT(U81*($G$11-$E$11)*($F$11-$E$11)),$G$11-SQRT((1-U81)*($G$11-$E$11)*($G$11-$F$11))))</f>
        <v>0.0958962282686282</v>
      </c>
      <c r="H81" s="53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-2335116742.25606</v>
      </c>
      <c r="I81" s="53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-85501741.5302785</v>
      </c>
      <c r="J81" s="53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140716763.260115</v>
      </c>
      <c r="K81" s="53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425313186.606911</v>
      </c>
      <c r="L81" s="53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527231906.623037</v>
      </c>
      <c r="M81" s="53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673050941.262675</v>
      </c>
      <c r="N81" s="53" t="n">
        <f aca="false">IF(COUNT('Business Case'!B11:G11)=0,"",H81+NPV(G81,I81:M81))</f>
        <v>-1181495908.68936</v>
      </c>
      <c r="P81" s="54" t="n">
        <f aca="true">RAND()</f>
        <v>0.182964428331899</v>
      </c>
      <c r="Q81" s="54" t="n">
        <f aca="true">RAND()</f>
        <v>0.0824419283589996</v>
      </c>
      <c r="R81" s="54" t="n">
        <f aca="true">RAND()</f>
        <v>0.0847555518374703</v>
      </c>
      <c r="S81" s="54" t="n">
        <f aca="true">RAND()</f>
        <v>0.908394797422397</v>
      </c>
      <c r="T81" s="54" t="n">
        <f aca="true">RAND()</f>
        <v>0.909378371052483</v>
      </c>
      <c r="U81" s="54" t="n">
        <f aca="true">RAND()</f>
        <v>0.252690073168335</v>
      </c>
    </row>
    <row r="82" customFormat="false" ht="15" hidden="false" customHeight="false" outlineLevel="0" collapsed="false">
      <c r="A82" s="50" t="n">
        <v>2</v>
      </c>
      <c r="B82" s="51" t="n">
        <f aca="false">1+IF($G$6=$E$6,$F$6,IF(P82&lt;($F$6-$E$6)/($G$6-$E$6),$E$6+SQRT(P82*($G$6-$E$6)*($F$6-$E$6)),$G$6-SQRT((1-P82)*($G$6-$E$6)*($G$6-$F$6))))</f>
        <v>0.950196398968977</v>
      </c>
      <c r="C82" s="51" t="n">
        <f aca="false">1+IF($G$7=$E$7,$F$7,IF(Q82&lt;($F$7-$E$7)/($G$7-$E$7),$E$7+SQRT(Q82*($G$7-$E$7)*($F$7-$E$7)),$G$7-SQRT((1-Q82)*($G$7-$E$7)*($G$7-$F$7))))</f>
        <v>0.851204604663233</v>
      </c>
      <c r="D82" s="51" t="n">
        <f aca="false">1+IF($G$8=$E$8,$F$8,IF(R82&lt;($F$8-$E$8)/($G$8-$E$8),$E$8+SQRT(R82*($G$8-$E$8)*($F$8-$E$8)),$G$8-SQRT((1-R82)*($G$8-$E$8)*($G$8-$F$8))))</f>
        <v>1.05665355694198</v>
      </c>
      <c r="E82" s="51" t="n">
        <f aca="false">1+IF($G$9=$E$9,$F$9,IF(S82&lt;($F$9-$E$9)/($G$9-$E$9),$E$9+SQRT(S82*($G$9-$E$9)*($F$9-$E$9)),$G$9-SQRT((1-S82)*($G$9-$E$9)*($G$9-$F$9))))</f>
        <v>1.01518170057838</v>
      </c>
      <c r="F82" s="51" t="n">
        <f aca="false">1+IF($G$10=$E$10,$F$10,IF(T82&lt;($F$10-$E$10)/($G$10-$E$10),$E$10+SQRT(T82*($G$10-$E$10)*($F$10-$E$10)),$G$10-SQRT((1-T82)*($G$10-$E$10)*($G$10-$F$10))))</f>
        <v>1.06722811128714</v>
      </c>
      <c r="G82" s="52" t="n">
        <f aca="false">IF($G$11=$E$11,$F$11,IF(U82&lt;($F$11-$E$11)/($G$11-$E$11),$E$11+SQRT(U82*($G$11-$E$11)*($F$11-$E$11)),$G$11-SQRT((1-U82)*($G$11-$E$11)*($G$11-$F$11))))</f>
        <v>0.109724466382659</v>
      </c>
      <c r="H82" s="53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-2134456222.57428</v>
      </c>
      <c r="I82" s="53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-90970918.5263675</v>
      </c>
      <c r="J82" s="53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111068602.657317</v>
      </c>
      <c r="K82" s="53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366469529.405359</v>
      </c>
      <c r="L82" s="53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461768563.639315</v>
      </c>
      <c r="M82" s="53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615507463.089321</v>
      </c>
      <c r="N82" s="53" t="n">
        <f aca="false">IF(COUNT('Business Case'!B11:G11)=0,"",H82+NPV(G82,I82:M82))</f>
        <v>-1187871923.17523</v>
      </c>
      <c r="P82" s="54" t="n">
        <f aca="true">RAND()</f>
        <v>0.16797856463018</v>
      </c>
      <c r="Q82" s="54" t="n">
        <f aca="true">RAND()</f>
        <v>0.169354314602701</v>
      </c>
      <c r="R82" s="54" t="n">
        <f aca="true">RAND()</f>
        <v>0.874739058281208</v>
      </c>
      <c r="S82" s="54" t="n">
        <f aca="true">RAND()</f>
        <v>0.515307363761656</v>
      </c>
      <c r="T82" s="54" t="n">
        <f aca="true">RAND()</f>
        <v>0.554592489284447</v>
      </c>
      <c r="U82" s="54" t="n">
        <f aca="true">RAND()</f>
        <v>0.725935157688057</v>
      </c>
    </row>
    <row r="83" customFormat="false" ht="15" hidden="false" customHeight="false" outlineLevel="0" collapsed="false">
      <c r="A83" s="50" t="n">
        <v>3</v>
      </c>
      <c r="B83" s="51" t="n">
        <f aca="false">1+IF($G$6=$E$6,$F$6,IF(P83&lt;($F$6-$E$6)/($G$6-$E$6),$E$6+SQRT(P83*($G$6-$E$6)*($F$6-$E$6)),$G$6-SQRT((1-P83)*($G$6-$E$6)*($G$6-$F$6))))</f>
        <v>0.949757756649407</v>
      </c>
      <c r="C83" s="51" t="n">
        <f aca="false">1+IF($G$7=$E$7,$F$7,IF(Q83&lt;($F$7-$E$7)/($G$7-$E$7),$E$7+SQRT(Q83*($G$7-$E$7)*($F$7-$E$7)),$G$7-SQRT((1-Q83)*($G$7-$E$7)*($G$7-$F$7))))</f>
        <v>0.958079942698906</v>
      </c>
      <c r="D83" s="51" t="n">
        <f aca="false">1+IF($G$8=$E$8,$F$8,IF(R83&lt;($F$8-$E$8)/($G$8-$E$8),$E$8+SQRT(R83*($G$8-$E$8)*($F$8-$E$8)),$G$8-SQRT((1-R83)*($G$8-$E$8)*($G$8-$F$8))))</f>
        <v>1.00868127532797</v>
      </c>
      <c r="E83" s="51" t="n">
        <f aca="false">1+IF($G$9=$E$9,$F$9,IF(S83&lt;($F$9-$E$9)/($G$9-$E$9),$E$9+SQRT(S83*($G$9-$E$9)*($F$9-$E$9)),$G$9-SQRT((1-S83)*($G$9-$E$9)*($G$9-$F$9))))</f>
        <v>1.02169123007361</v>
      </c>
      <c r="F83" s="51" t="n">
        <f aca="false">1+IF($G$10=$E$10,$F$10,IF(T83&lt;($F$10-$E$10)/($G$10-$E$10),$E$10+SQRT(T83*($G$10-$E$10)*($F$10-$E$10)),$G$10-SQRT((1-T83)*($G$10-$E$10)*($G$10-$F$10))))</f>
        <v>1.02831297627173</v>
      </c>
      <c r="G83" s="52" t="n">
        <f aca="false">IF($G$11=$E$11,$F$11,IF(U83&lt;($F$11-$E$11)/($G$11-$E$11),$E$11+SQRT(U83*($G$11-$E$11)*($F$11-$E$11)),$G$11-SQRT((1-U83)*($G$11-$E$11)*($G$11-$F$11))))</f>
        <v>0.122867510156404</v>
      </c>
      <c r="H83" s="53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-2056625952.54346</v>
      </c>
      <c r="I83" s="53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-44695850.2288319</v>
      </c>
      <c r="J83" s="53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205895579.636408</v>
      </c>
      <c r="K83" s="53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507902658.315235</v>
      </c>
      <c r="L83" s="53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622880794.637269</v>
      </c>
      <c r="M83" s="53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795842922.988851</v>
      </c>
      <c r="N83" s="53" t="n">
        <f aca="false">IF(COUNT('Business Case'!B11:G11)=0,"",H83+NPV(G83,I83:M83))</f>
        <v>-736707355.574353</v>
      </c>
      <c r="P83" s="54" t="n">
        <f aca="true">RAND()</f>
        <v>0.165055623118773</v>
      </c>
      <c r="Q83" s="54" t="n">
        <f aca="true">RAND()</f>
        <v>0.49337227276645</v>
      </c>
      <c r="R83" s="54" t="n">
        <f aca="true">RAND()</f>
        <v>0.444059368284921</v>
      </c>
      <c r="S83" s="54" t="n">
        <f aca="true">RAND()</f>
        <v>0.560982921599402</v>
      </c>
      <c r="T83" s="54" t="n">
        <f aca="true">RAND()</f>
        <v>0.344731513473342</v>
      </c>
      <c r="U83" s="54" t="n">
        <f aca="true">RAND()</f>
        <v>0.96608505908733</v>
      </c>
    </row>
    <row r="84" customFormat="false" ht="15" hidden="false" customHeight="false" outlineLevel="0" collapsed="false">
      <c r="A84" s="50" t="n">
        <v>4</v>
      </c>
      <c r="B84" s="51" t="n">
        <f aca="false">1+IF($G$6=$E$6,$F$6,IF(P84&lt;($F$6-$E$6)/($G$6-$E$6),$E$6+SQRT(P84*($G$6-$E$6)*($F$6-$E$6)),$G$6-SQRT((1-P84)*($G$6-$E$6)*($G$6-$F$6))))</f>
        <v>1.02891024711093</v>
      </c>
      <c r="C84" s="51" t="n">
        <f aca="false">1+IF($G$7=$E$7,$F$7,IF(Q84&lt;($F$7-$E$7)/($G$7-$E$7),$E$7+SQRT(Q84*($G$7-$E$7)*($F$7-$E$7)),$G$7-SQRT((1-Q84)*($G$7-$E$7)*($G$7-$F$7))))</f>
        <v>1.01873519172643</v>
      </c>
      <c r="D84" s="51" t="n">
        <f aca="false">1+IF($G$8=$E$8,$F$8,IF(R84&lt;($F$8-$E$8)/($G$8-$E$8),$E$8+SQRT(R84*($G$8-$E$8)*($F$8-$E$8)),$G$8-SQRT((1-R84)*($G$8-$E$8)*($G$8-$F$8))))</f>
        <v>1.05010776388728</v>
      </c>
      <c r="E84" s="51" t="n">
        <f aca="false">1+IF($G$9=$E$9,$F$9,IF(S84&lt;($F$9-$E$9)/($G$9-$E$9),$E$9+SQRT(S84*($G$9-$E$9)*($F$9-$E$9)),$G$9-SQRT((1-S84)*($G$9-$E$9)*($G$9-$F$9))))</f>
        <v>1.09418012151086</v>
      </c>
      <c r="F84" s="51" t="n">
        <f aca="false">1+IF($G$10=$E$10,$F$10,IF(T84&lt;($F$10-$E$10)/($G$10-$E$10),$E$10+SQRT(T84*($G$10-$E$10)*($F$10-$E$10)),$G$10-SQRT((1-T84)*($G$10-$E$10)*($G$10-$F$10))))</f>
        <v>1.12382051021584</v>
      </c>
      <c r="G84" s="52" t="n">
        <f aca="false">IF($G$11=$E$11,$F$11,IF(U84&lt;($F$11-$E$11)/($G$11-$E$11),$E$11+SQRT(U84*($G$11-$E$11)*($F$11-$E$11)),$G$11-SQRT((1-U84)*($G$11-$E$11)*($G$11-$F$11))))</f>
        <v>0.111130412166429</v>
      </c>
      <c r="H84" s="53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-2247641020.43168</v>
      </c>
      <c r="I84" s="53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-11414461.539815</v>
      </c>
      <c r="J84" s="53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299483559.337053</v>
      </c>
      <c r="K84" s="53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666572605.724712</v>
      </c>
      <c r="L84" s="53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806430624.761171</v>
      </c>
      <c r="M84" s="53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1005670024.52077</v>
      </c>
      <c r="N84" s="53" t="n">
        <f aca="false">IF(COUNT('Business Case'!B11:G11)=0,"",H84+NPV(G84,I84:M84))</f>
        <v>-406585606.159776</v>
      </c>
      <c r="P84" s="54" t="n">
        <f aca="true">RAND()</f>
        <v>0.940696309743744</v>
      </c>
      <c r="Q84" s="54" t="n">
        <f aca="true">RAND()</f>
        <v>0.744734075687434</v>
      </c>
      <c r="R84" s="54" t="n">
        <f aca="true">RAND()</f>
        <v>0.834050985044815</v>
      </c>
      <c r="S84" s="54" t="n">
        <f aca="true">RAND()</f>
        <v>0.916910431078869</v>
      </c>
      <c r="T84" s="54" t="n">
        <f aca="true">RAND()</f>
        <v>0.787716484770794</v>
      </c>
      <c r="U84" s="54" t="n">
        <f aca="true">RAND()</f>
        <v>0.762625769994096</v>
      </c>
    </row>
    <row r="85" customFormat="false" ht="15" hidden="false" customHeight="false" outlineLevel="0" collapsed="false">
      <c r="A85" s="50" t="n">
        <v>5</v>
      </c>
      <c r="B85" s="51" t="n">
        <f aca="false">1+IF($G$6=$E$6,$F$6,IF(P85&lt;($F$6-$E$6)/($G$6-$E$6),$E$6+SQRT(P85*($G$6-$E$6)*($F$6-$E$6)),$G$6-SQRT((1-P85)*($G$6-$E$6)*($G$6-$F$6))))</f>
        <v>0.928920975212665</v>
      </c>
      <c r="C85" s="51" t="n">
        <f aca="false">1+IF($G$7=$E$7,$F$7,IF(Q85&lt;($F$7-$E$7)/($G$7-$E$7),$E$7+SQRT(Q85*($G$7-$E$7)*($F$7-$E$7)),$G$7-SQRT((1-Q85)*($G$7-$E$7)*($G$7-$F$7))))</f>
        <v>1.05725585254744</v>
      </c>
      <c r="D85" s="51" t="n">
        <f aca="false">1+IF($G$8=$E$8,$F$8,IF(R85&lt;($F$8-$E$8)/($G$8-$E$8),$E$8+SQRT(R85*($G$8-$E$8)*($F$8-$E$8)),$G$8-SQRT((1-R85)*($G$8-$E$8)*($G$8-$F$8))))</f>
        <v>1.00672892072363</v>
      </c>
      <c r="E85" s="51" t="n">
        <f aca="false">1+IF($G$9=$E$9,$F$9,IF(S85&lt;($F$9-$E$9)/($G$9-$E$9),$E$9+SQRT(S85*($G$9-$E$9)*($F$9-$E$9)),$G$9-SQRT((1-S85)*($G$9-$E$9)*($G$9-$F$9))))</f>
        <v>1.00506501913915</v>
      </c>
      <c r="F85" s="51" t="n">
        <f aca="false">1+IF($G$10=$E$10,$F$10,IF(T85&lt;($F$10-$E$10)/($G$10-$E$10),$E$10+SQRT(T85*($G$10-$E$10)*($F$10-$E$10)),$G$10-SQRT((1-T85)*($G$10-$E$10)*($G$10-$F$10))))</f>
        <v>1.03627487429747</v>
      </c>
      <c r="G85" s="52" t="n">
        <f aca="false">IF($G$11=$E$11,$F$11,IF(U85&lt;($F$11-$E$11)/($G$11-$E$11),$E$11+SQRT(U85*($G$11-$E$11)*($F$11-$E$11)),$G$11-SQRT((1-U85)*($G$11-$E$11)*($G$11-$F$11))))</f>
        <v>0.0949446333993166</v>
      </c>
      <c r="H85" s="53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-2072549748.59494</v>
      </c>
      <c r="I85" s="53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-37916022.3568107</v>
      </c>
      <c r="J85" s="53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221628122.450776</v>
      </c>
      <c r="K85" s="53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532986010.973238</v>
      </c>
      <c r="L85" s="53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653442348.584476</v>
      </c>
      <c r="M85" s="53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840121273.29904</v>
      </c>
      <c r="N85" s="53" t="n">
        <f aca="false">IF(COUNT('Business Case'!B11:G11)=0,"",H85+NPV(G85,I85:M85))</f>
        <v>-527893738.974705</v>
      </c>
      <c r="P85" s="54" t="n">
        <f aca="true">RAND()</f>
        <v>0.0557615204834374</v>
      </c>
      <c r="Q85" s="54" t="n">
        <f aca="true">RAND()</f>
        <v>0.872570712789605</v>
      </c>
      <c r="R85" s="54" t="n">
        <f aca="true">RAND()</f>
        <v>0.420033718041375</v>
      </c>
      <c r="S85" s="54" t="n">
        <f aca="true">RAND()</f>
        <v>0.439836035276421</v>
      </c>
      <c r="T85" s="54" t="n">
        <f aca="true">RAND()</f>
        <v>0.390954275245844</v>
      </c>
      <c r="U85" s="54" t="n">
        <f aca="true">RAND()</f>
        <v>0.223342067439968</v>
      </c>
    </row>
    <row r="86" customFormat="false" ht="15" hidden="false" customHeight="false" outlineLevel="0" collapsed="false">
      <c r="A86" s="50" t="n">
        <v>6</v>
      </c>
      <c r="B86" s="51" t="n">
        <f aca="false">1+IF($G$6=$E$6,$F$6,IF(P86&lt;($F$6-$E$6)/($G$6-$E$6),$E$6+SQRT(P86*($G$6-$E$6)*($F$6-$E$6)),$G$6-SQRT((1-P86)*($G$6-$E$6)*($G$6-$F$6))))</f>
        <v>0.935996751694826</v>
      </c>
      <c r="C86" s="51" t="n">
        <f aca="false">1+IF($G$7=$E$7,$F$7,IF(Q86&lt;($F$7-$E$7)/($G$7-$E$7),$E$7+SQRT(Q86*($G$7-$E$7)*($F$7-$E$7)),$G$7-SQRT((1-Q86)*($G$7-$E$7)*($G$7-$F$7))))</f>
        <v>1.10811218894493</v>
      </c>
      <c r="D86" s="51" t="n">
        <f aca="false">1+IF($G$8=$E$8,$F$8,IF(R86&lt;($F$8-$E$8)/($G$8-$E$8),$E$8+SQRT(R86*($G$8-$E$8)*($F$8-$E$8)),$G$8-SQRT((1-R86)*($G$8-$E$8)*($G$8-$F$8))))</f>
        <v>1.00366863380075</v>
      </c>
      <c r="E86" s="51" t="n">
        <f aca="false">1+IF($G$9=$E$9,$F$9,IF(S86&lt;($F$9-$E$9)/($G$9-$E$9),$E$9+SQRT(S86*($G$9-$E$9)*($F$9-$E$9)),$G$9-SQRT((1-S86)*($G$9-$E$9)*($G$9-$F$9))))</f>
        <v>1.07853728869365</v>
      </c>
      <c r="F86" s="51" t="n">
        <f aca="false">1+IF($G$10=$E$10,$F$10,IF(T86&lt;($F$10-$E$10)/($G$10-$E$10),$E$10+SQRT(T86*($G$10-$E$10)*($F$10-$E$10)),$G$10-SQRT((1-T86)*($G$10-$E$10)*($G$10-$F$10))))</f>
        <v>0.998186644439531</v>
      </c>
      <c r="G86" s="52" t="n">
        <f aca="false">IF($G$11=$E$11,$F$11,IF(U86&lt;($F$11-$E$11)/($G$11-$E$11),$E$11+SQRT(U86*($G$11-$E$11)*($F$11-$E$11)),$G$11-SQRT((1-U86)*($G$11-$E$11)*($G$11-$F$11))))</f>
        <v>0.10445828107849</v>
      </c>
      <c r="H86" s="53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-1996373288.87906</v>
      </c>
      <c r="I86" s="53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-26767640.5233055</v>
      </c>
      <c r="J86" s="53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253419284.831107</v>
      </c>
      <c r="K86" s="53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583515542.407495</v>
      </c>
      <c r="L86" s="53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712756450.179985</v>
      </c>
      <c r="M86" s="53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909905413.112256</v>
      </c>
      <c r="N86" s="53" t="n">
        <f aca="false">IF(COUNT('Business Case'!B11:G11)=0,"",H86+NPV(G86,I86:M86))</f>
        <v>-347065472.662138</v>
      </c>
      <c r="P86" s="54" t="n">
        <f aca="true">RAND()</f>
        <v>0.0863844088385976</v>
      </c>
      <c r="Q86" s="54" t="n">
        <f aca="true">RAND()</f>
        <v>0.974006093111335</v>
      </c>
      <c r="R86" s="54" t="n">
        <f aca="true">RAND()</f>
        <v>0.381351192412434</v>
      </c>
      <c r="S86" s="54" t="n">
        <f aca="true">RAND()</f>
        <v>0.863815490473189</v>
      </c>
      <c r="T86" s="54" t="n">
        <f aca="true">RAND()</f>
        <v>0.154796846822784</v>
      </c>
      <c r="U86" s="54" t="n">
        <f aca="true">RAND()</f>
        <v>0.5650803963564</v>
      </c>
    </row>
    <row r="87" customFormat="false" ht="15" hidden="false" customHeight="false" outlineLevel="0" collapsed="false">
      <c r="A87" s="50" t="n">
        <v>7</v>
      </c>
      <c r="B87" s="51" t="n">
        <f aca="false">1+IF($G$6=$E$6,$F$6,IF(P87&lt;($F$6-$E$6)/($G$6-$E$6),$E$6+SQRT(P87*($G$6-$E$6)*($F$6-$E$6)),$G$6-SQRT((1-P87)*($G$6-$E$6)*($G$6-$F$6))))</f>
        <v>0.954962304929476</v>
      </c>
      <c r="C87" s="51" t="n">
        <f aca="false">1+IF($G$7=$E$7,$F$7,IF(Q87&lt;($F$7-$E$7)/($G$7-$E$7),$E$7+SQRT(Q87*($G$7-$E$7)*($F$7-$E$7)),$G$7-SQRT((1-Q87)*($G$7-$E$7)*($G$7-$F$7))))</f>
        <v>0.862004110271728</v>
      </c>
      <c r="D87" s="51" t="n">
        <f aca="false">1+IF($G$8=$E$8,$F$8,IF(R87&lt;($F$8-$E$8)/($G$8-$E$8),$E$8+SQRT(R87*($G$8-$E$8)*($F$8-$E$8)),$G$8-SQRT((1-R87)*($G$8-$E$8)*($G$8-$F$8))))</f>
        <v>0.981850707283276</v>
      </c>
      <c r="E87" s="51" t="n">
        <f aca="false">1+IF($G$9=$E$9,$F$9,IF(S87&lt;($F$9-$E$9)/($G$9-$E$9),$E$9+SQRT(S87*($G$9-$E$9)*($F$9-$E$9)),$G$9-SQRT((1-S87)*($G$9-$E$9)*($G$9-$F$9))))</f>
        <v>1.0836849792744</v>
      </c>
      <c r="F87" s="51" t="n">
        <f aca="false">1+IF($G$10=$E$10,$F$10,IF(T87&lt;($F$10-$E$10)/($G$10-$E$10),$E$10+SQRT(T87*($G$10-$E$10)*($F$10-$E$10)),$G$10-SQRT((1-T87)*($G$10-$E$10)*($G$10-$F$10))))</f>
        <v>1.0823640763255</v>
      </c>
      <c r="G87" s="52" t="n">
        <f aca="false">IF($G$11=$E$11,$F$11,IF(U87&lt;($F$11-$E$11)/($G$11-$E$11),$E$11+SQRT(U87*($G$11-$E$11)*($F$11-$E$11)),$G$11-SQRT((1-U87)*($G$11-$E$11)*($G$11-$F$11))))</f>
        <v>0.105690444375361</v>
      </c>
      <c r="H87" s="53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-2164728152.651</v>
      </c>
      <c r="I87" s="53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-64033551.3185338</v>
      </c>
      <c r="J87" s="53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176943034.483377</v>
      </c>
      <c r="K87" s="53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472037824.101563</v>
      </c>
      <c r="L87" s="53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580812502.99225</v>
      </c>
      <c r="M87" s="53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737282829.587527</v>
      </c>
      <c r="N87" s="53" t="n">
        <f aca="false">IF(COUNT('Business Case'!B11:G11)=0,"",H87+NPV(G87,I87:M87))</f>
        <v>-893972668.692874</v>
      </c>
      <c r="P87" s="54" t="n">
        <f aca="true">RAND()</f>
        <v>0.201390330877376</v>
      </c>
      <c r="Q87" s="54" t="n">
        <f aca="true">RAND()</f>
        <v>0.194409864777291</v>
      </c>
      <c r="R87" s="54" t="n">
        <f aca="true">RAND()</f>
        <v>0.13526234059266</v>
      </c>
      <c r="S87" s="54" t="n">
        <f aca="true">RAND()</f>
        <v>0.882728480697669</v>
      </c>
      <c r="T87" s="54" t="n">
        <f aca="true">RAND()</f>
        <v>0.625309294583968</v>
      </c>
      <c r="U87" s="54" t="n">
        <f aca="true">RAND()</f>
        <v>0.606030336888376</v>
      </c>
    </row>
    <row r="88" customFormat="false" ht="15" hidden="false" customHeight="false" outlineLevel="0" collapsed="false">
      <c r="A88" s="50" t="n">
        <v>8</v>
      </c>
      <c r="B88" s="51" t="n">
        <f aca="false">1+IF($G$6=$E$6,$F$6,IF(P88&lt;($F$6-$E$6)/($G$6-$E$6),$E$6+SQRT(P88*($G$6-$E$6)*($F$6-$E$6)),$G$6-SQRT((1-P88)*($G$6-$E$6)*($G$6-$F$6))))</f>
        <v>1.01874443111004</v>
      </c>
      <c r="C88" s="51" t="n">
        <f aca="false">1+IF($G$7=$E$7,$F$7,IF(Q88&lt;($F$7-$E$7)/($G$7-$E$7),$E$7+SQRT(Q88*($G$7-$E$7)*($F$7-$E$7)),$G$7-SQRT((1-Q88)*($G$7-$E$7)*($G$7-$F$7))))</f>
        <v>1.0619580420158</v>
      </c>
      <c r="D88" s="51" t="n">
        <f aca="false">1+IF($G$8=$E$8,$F$8,IF(R88&lt;($F$8-$E$8)/($G$8-$E$8),$E$8+SQRT(R88*($G$8-$E$8)*($F$8-$E$8)),$G$8-SQRT((1-R88)*($G$8-$E$8)*($G$8-$F$8))))</f>
        <v>0.976996044738588</v>
      </c>
      <c r="E88" s="51" t="n">
        <f aca="false">1+IF($G$9=$E$9,$F$9,IF(S88&lt;($F$9-$E$9)/($G$9-$E$9),$E$9+SQRT(S88*($G$9-$E$9)*($F$9-$E$9)),$G$9-SQRT((1-S88)*($G$9-$E$9)*($G$9-$F$9))))</f>
        <v>1.00427158133388</v>
      </c>
      <c r="F88" s="51" t="n">
        <f aca="false">1+IF($G$10=$E$10,$F$10,IF(T88&lt;($F$10-$E$10)/($G$10-$E$10),$E$10+SQRT(T88*($G$10-$E$10)*($F$10-$E$10)),$G$10-SQRT((1-T88)*($G$10-$E$10)*($G$10-$F$10))))</f>
        <v>1.02004691861237</v>
      </c>
      <c r="G88" s="52" t="n">
        <f aca="false">IF($G$11=$E$11,$F$11,IF(U88&lt;($F$11-$E$11)/($G$11-$E$11),$E$11+SQRT(U88*($G$11-$E$11)*($F$11-$E$11)),$G$11-SQRT((1-U88)*($G$11-$E$11)*($G$11-$F$11))))</f>
        <v>0.119643749888182</v>
      </c>
      <c r="H88" s="53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-2040093837.22474</v>
      </c>
      <c r="I88" s="53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54096701.2796837</v>
      </c>
      <c r="J88" s="53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409089334.82322</v>
      </c>
      <c r="K88" s="53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815084314.297374</v>
      </c>
      <c r="L88" s="53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970804406.503178</v>
      </c>
      <c r="M88" s="53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1176445085.47195</v>
      </c>
      <c r="N88" s="53" t="n">
        <f aca="false">IF(COUNT('Business Case'!B11:G11)=0,"",H88+NPV(G88,I88:M88))</f>
        <v>201626686.722368</v>
      </c>
      <c r="P88" s="54" t="n">
        <f aca="true">RAND()</f>
        <v>0.869745255115296</v>
      </c>
      <c r="Q88" s="54" t="n">
        <f aca="true">RAND()</f>
        <v>0.885164646434202</v>
      </c>
      <c r="R88" s="54" t="n">
        <f aca="true">RAND()</f>
        <v>0.0971715242037153</v>
      </c>
      <c r="S88" s="54" t="n">
        <f aca="true">RAND()</f>
        <v>0.433686079815227</v>
      </c>
      <c r="T88" s="54" t="n">
        <f aca="true">RAND()</f>
        <v>0.294954404804462</v>
      </c>
      <c r="U88" s="54" t="n">
        <f aca="true">RAND()</f>
        <v>0.92849872241432</v>
      </c>
    </row>
    <row r="89" customFormat="false" ht="15" hidden="false" customHeight="false" outlineLevel="0" collapsed="false">
      <c r="A89" s="50" t="n">
        <v>9</v>
      </c>
      <c r="B89" s="51" t="n">
        <f aca="false">1+IF($G$6=$E$6,$F$6,IF(P89&lt;($F$6-$E$6)/($G$6-$E$6),$E$6+SQRT(P89*($G$6-$E$6)*($F$6-$E$6)),$G$6-SQRT((1-P89)*($G$6-$E$6)*($G$6-$F$6))))</f>
        <v>0.952216639563078</v>
      </c>
      <c r="C89" s="51" t="n">
        <f aca="false">1+IF($G$7=$E$7,$F$7,IF(Q89&lt;($F$7-$E$7)/($G$7-$E$7),$E$7+SQRT(Q89*($G$7-$E$7)*($F$7-$E$7)),$G$7-SQRT((1-Q89)*($G$7-$E$7)*($G$7-$F$7))))</f>
        <v>0.901434366775541</v>
      </c>
      <c r="D89" s="51" t="n">
        <f aca="false">1+IF($G$8=$E$8,$F$8,IF(R89&lt;($F$8-$E$8)/($G$8-$E$8),$E$8+SQRT(R89*($G$8-$E$8)*($F$8-$E$8)),$G$8-SQRT((1-R89)*($G$8-$E$8)*($G$8-$F$8))))</f>
        <v>0.981283731338617</v>
      </c>
      <c r="E89" s="51" t="n">
        <f aca="false">1+IF($G$9=$E$9,$F$9,IF(S89&lt;($F$9-$E$9)/($G$9-$E$9),$E$9+SQRT(S89*($G$9-$E$9)*($F$9-$E$9)),$G$9-SQRT((1-S89)*($G$9-$E$9)*($G$9-$F$9))))</f>
        <v>1.062614650359</v>
      </c>
      <c r="F89" s="51" t="n">
        <f aca="false">1+IF($G$10=$E$10,$F$10,IF(T89&lt;($F$10-$E$10)/($G$10-$E$10),$E$10+SQRT(T89*($G$10-$E$10)*($F$10-$E$10)),$G$10-SQRT((1-T89)*($G$10-$E$10)*($G$10-$F$10))))</f>
        <v>1.10883647825459</v>
      </c>
      <c r="G89" s="52" t="n">
        <f aca="false">IF($G$11=$E$11,$F$11,IF(U89&lt;($F$11-$E$11)/($G$11-$E$11),$E$11+SQRT(U89*($G$11-$E$11)*($F$11-$E$11)),$G$11-SQRT((1-U89)*($G$11-$E$11)*($G$11-$F$11))))</f>
        <v>0.101088722920869</v>
      </c>
      <c r="H89" s="53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-2217672956.50919</v>
      </c>
      <c r="I89" s="53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-56251004.1127358</v>
      </c>
      <c r="J89" s="53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193982866.935394</v>
      </c>
      <c r="K89" s="53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499658561.896253</v>
      </c>
      <c r="L89" s="53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612734801.615201</v>
      </c>
      <c r="M89" s="53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775892023.147841</v>
      </c>
      <c r="N89" s="53" t="n">
        <f aca="false">IF(COUNT('Business Case'!B11:G11)=0,"",H89+NPV(G89,I89:M89))</f>
        <v>-838227544.281546</v>
      </c>
      <c r="P89" s="54" t="n">
        <f aca="true">RAND()</f>
        <v>0.181771829817359</v>
      </c>
      <c r="Q89" s="54" t="n">
        <f aca="true">RAND()</f>
        <v>0.300561511987134</v>
      </c>
      <c r="R89" s="54" t="n">
        <f aca="true">RAND()</f>
        <v>0.130489579528905</v>
      </c>
      <c r="S89" s="54" t="n">
        <f aca="true">RAND()</f>
        <v>0.796368017816531</v>
      </c>
      <c r="T89" s="54" t="n">
        <f aca="true">RAND()</f>
        <v>0.734304801712455</v>
      </c>
      <c r="U89" s="54" t="n">
        <f aca="true">RAND()</f>
        <v>0.442758705102465</v>
      </c>
    </row>
    <row r="90" customFormat="false" ht="15" hidden="false" customHeight="false" outlineLevel="0" collapsed="false">
      <c r="A90" s="50" t="n">
        <v>10</v>
      </c>
      <c r="B90" s="51" t="n">
        <f aca="false">1+IF($G$6=$E$6,$F$6,IF(P90&lt;($F$6-$E$6)/($G$6-$E$6),$E$6+SQRT(P90*($G$6-$E$6)*($F$6-$E$6)),$G$6-SQRT((1-P90)*($G$6-$E$6)*($G$6-$F$6))))</f>
        <v>0.95704982655502</v>
      </c>
      <c r="C90" s="51" t="n">
        <f aca="false">1+IF($G$7=$E$7,$F$7,IF(Q90&lt;($F$7-$E$7)/($G$7-$E$7),$E$7+SQRT(Q90*($G$7-$E$7)*($F$7-$E$7)),$G$7-SQRT((1-Q90)*($G$7-$E$7)*($G$7-$F$7))))</f>
        <v>0.878786969591786</v>
      </c>
      <c r="D90" s="51" t="n">
        <f aca="false">1+IF($G$8=$E$8,$F$8,IF(R90&lt;($F$8-$E$8)/($G$8-$E$8),$E$8+SQRT(R90*($G$8-$E$8)*($F$8-$E$8)),$G$8-SQRT((1-R90)*($G$8-$E$8)*($G$8-$F$8))))</f>
        <v>0.981851992433614</v>
      </c>
      <c r="E90" s="51" t="n">
        <f aca="false">1+IF($G$9=$E$9,$F$9,IF(S90&lt;($F$9-$E$9)/($G$9-$E$9),$E$9+SQRT(S90*($G$9-$E$9)*($F$9-$E$9)),$G$9-SQRT((1-S90)*($G$9-$E$9)*($G$9-$F$9))))</f>
        <v>1.0327230423659</v>
      </c>
      <c r="F90" s="51" t="n">
        <f aca="false">1+IF($G$10=$E$10,$F$10,IF(T90&lt;($F$10-$E$10)/($G$10-$E$10),$E$10+SQRT(T90*($G$10-$E$10)*($F$10-$E$10)),$G$10-SQRT((1-T90)*($G$10-$E$10)*($G$10-$F$10))))</f>
        <v>1.13370897771447</v>
      </c>
      <c r="G90" s="52" t="n">
        <f aca="false">IF($G$11=$E$11,$F$11,IF(U90&lt;($F$11-$E$11)/($G$11-$E$11),$E$11+SQRT(U90*($G$11-$E$11)*($F$11-$E$11)),$G$11-SQRT((1-U90)*($G$11-$E$11)*($G$11-$F$11))))</f>
        <v>0.0968409929377866</v>
      </c>
      <c r="H90" s="53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-2267417955.42894</v>
      </c>
      <c r="I90" s="53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-56653481.4876037</v>
      </c>
      <c r="J90" s="53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190516816.228963</v>
      </c>
      <c r="K90" s="53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494372562.831253</v>
      </c>
      <c r="L90" s="53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605829105.275636</v>
      </c>
      <c r="M90" s="53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765694542.906042</v>
      </c>
      <c r="N90" s="53" t="n">
        <f aca="false">IF(COUNT('Business Case'!B11:G11)=0,"",H90+NPV(G90,I90:M90))</f>
        <v>-885162145.113725</v>
      </c>
      <c r="P90" s="54" t="n">
        <f aca="true">RAND()</f>
        <v>0.216978847330527</v>
      </c>
      <c r="Q90" s="54" t="n">
        <f aca="true">RAND()</f>
        <v>0.236776151820846</v>
      </c>
      <c r="R90" s="54" t="n">
        <f aca="true">RAND()</f>
        <v>0.135273256265467</v>
      </c>
      <c r="S90" s="54" t="n">
        <f aca="true">RAND()</f>
        <v>0.633229738882373</v>
      </c>
      <c r="T90" s="54" t="n">
        <f aca="true">RAND()</f>
        <v>0.819685308477151</v>
      </c>
      <c r="U90" s="54" t="n">
        <f aca="true">RAND()</f>
        <v>0.283619043130578</v>
      </c>
    </row>
    <row r="91" customFormat="false" ht="15" hidden="false" customHeight="false" outlineLevel="0" collapsed="false">
      <c r="A91" s="50" t="n">
        <v>11</v>
      </c>
      <c r="B91" s="51" t="n">
        <f aca="false">1+IF($G$6=$E$6,$F$6,IF(P91&lt;($F$6-$E$6)/($G$6-$E$6),$E$6+SQRT(P91*($G$6-$E$6)*($F$6-$E$6)),$G$6-SQRT((1-P91)*($G$6-$E$6)*($G$6-$F$6))))</f>
        <v>0.947239722268558</v>
      </c>
      <c r="C91" s="51" t="n">
        <f aca="false">1+IF($G$7=$E$7,$F$7,IF(Q91&lt;($F$7-$E$7)/($G$7-$E$7),$E$7+SQRT(Q91*($G$7-$E$7)*($F$7-$E$7)),$G$7-SQRT((1-Q91)*($G$7-$E$7)*($G$7-$F$7))))</f>
        <v>0.950860381048117</v>
      </c>
      <c r="D91" s="51" t="n">
        <f aca="false">1+IF($G$8=$E$8,$F$8,IF(R91&lt;($F$8-$E$8)/($G$8-$E$8),$E$8+SQRT(R91*($G$8-$E$8)*($F$8-$E$8)),$G$8-SQRT((1-R91)*($G$8-$E$8)*($G$8-$F$8))))</f>
        <v>1.02927335634759</v>
      </c>
      <c r="E91" s="51" t="n">
        <f aca="false">1+IF($G$9=$E$9,$F$9,IF(S91&lt;($F$9-$E$9)/($G$9-$E$9),$E$9+SQRT(S91*($G$9-$E$9)*($F$9-$E$9)),$G$9-SQRT((1-S91)*($G$9-$E$9)*($G$9-$F$9))))</f>
        <v>1.06719434644198</v>
      </c>
      <c r="F91" s="51" t="n">
        <f aca="false">1+IF($G$10=$E$10,$F$10,IF(T91&lt;($F$10-$E$10)/($G$10-$E$10),$E$10+SQRT(T91*($G$10-$E$10)*($F$10-$E$10)),$G$10-SQRT((1-T91)*($G$10-$E$10)*($G$10-$F$10))))</f>
        <v>1.08234769611865</v>
      </c>
      <c r="G91" s="52" t="n">
        <f aca="false">IF($G$11=$E$11,$F$11,IF(U91&lt;($F$11-$E$11)/($G$11-$E$11),$E$11+SQRT(U91*($G$11-$E$11)*($F$11-$E$11)),$G$11-SQRT((1-U91)*($G$11-$E$11)*($G$11-$F$11))))</f>
        <v>0.0897387619860536</v>
      </c>
      <c r="H91" s="53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-2164695392.23729</v>
      </c>
      <c r="I91" s="53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-69963201.5825879</v>
      </c>
      <c r="J91" s="53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166755313.284546</v>
      </c>
      <c r="K91" s="53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457591212.957612</v>
      </c>
      <c r="L91" s="53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567625325.095863</v>
      </c>
      <c r="M91" s="53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738828997.93316</v>
      </c>
      <c r="N91" s="53" t="n">
        <f aca="false">IF(COUNT('Business Case'!B11:G11)=0,"",H91+NPV(G91,I91:M91))</f>
        <v>-851606917.449972</v>
      </c>
      <c r="P91" s="54" t="n">
        <f aca="true">RAND()</f>
        <v>0.148772757334035</v>
      </c>
      <c r="Q91" s="54" t="n">
        <f aca="true">RAND()</f>
        <v>0.466155042811898</v>
      </c>
      <c r="R91" s="54" t="n">
        <f aca="true">RAND()</f>
        <v>0.666516125177687</v>
      </c>
      <c r="S91" s="54" t="n">
        <f aca="true">RAND()</f>
        <v>0.817152633035427</v>
      </c>
      <c r="T91" s="54" t="n">
        <f aca="true">RAND()</f>
        <v>0.625236066710318</v>
      </c>
      <c r="U91" s="54" t="n">
        <f aca="true">RAND()</f>
        <v>0.0948434850210021</v>
      </c>
    </row>
    <row r="92" customFormat="false" ht="15" hidden="false" customHeight="false" outlineLevel="0" collapsed="false">
      <c r="A92" s="50" t="n">
        <v>12</v>
      </c>
      <c r="B92" s="51" t="n">
        <f aca="false">1+IF($G$6=$E$6,$F$6,IF(P92&lt;($F$6-$E$6)/($G$6-$E$6),$E$6+SQRT(P92*($G$6-$E$6)*($F$6-$E$6)),$G$6-SQRT((1-P92)*($G$6-$E$6)*($G$6-$F$6))))</f>
        <v>0.94709929444179</v>
      </c>
      <c r="C92" s="51" t="n">
        <f aca="false">1+IF($G$7=$E$7,$F$7,IF(Q92&lt;($F$7-$E$7)/($G$7-$E$7),$E$7+SQRT(Q92*($G$7-$E$7)*($F$7-$E$7)),$G$7-SQRT((1-Q92)*($G$7-$E$7)*($G$7-$F$7))))</f>
        <v>0.907267261691681</v>
      </c>
      <c r="D92" s="51" t="n">
        <f aca="false">1+IF($G$8=$E$8,$F$8,IF(R92&lt;($F$8-$E$8)/($G$8-$E$8),$E$8+SQRT(R92*($G$8-$E$8)*($F$8-$E$8)),$G$8-SQRT((1-R92)*($G$8-$E$8)*($G$8-$F$8))))</f>
        <v>1.05349360220847</v>
      </c>
      <c r="E92" s="51" t="n">
        <f aca="false">1+IF($G$9=$E$9,$F$9,IF(S92&lt;($F$9-$E$9)/($G$9-$E$9),$E$9+SQRT(S92*($G$9-$E$9)*($F$9-$E$9)),$G$9-SQRT((1-S92)*($G$9-$E$9)*($G$9-$F$9))))</f>
        <v>0.982416008743075</v>
      </c>
      <c r="F92" s="51" t="n">
        <f aca="false">1+IF($G$10=$E$10,$F$10,IF(T92&lt;($F$10-$E$10)/($G$10-$E$10),$E$10+SQRT(T92*($G$10-$E$10)*($F$10-$E$10)),$G$10-SQRT((1-T92)*($G$10-$E$10)*($G$10-$F$10))))</f>
        <v>1.02609148577287</v>
      </c>
      <c r="G92" s="52" t="n">
        <f aca="false">IF($G$11=$E$11,$F$11,IF(U92&lt;($F$11-$E$11)/($G$11-$E$11),$E$11+SQRT(U92*($G$11-$E$11)*($F$11-$E$11)),$G$11-SQRT((1-U92)*($G$11-$E$11)*($G$11-$F$11))))</f>
        <v>0.0848476412647695</v>
      </c>
      <c r="H92" s="53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-2052182971.54574</v>
      </c>
      <c r="I92" s="53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-72340856.0826055</v>
      </c>
      <c r="J92" s="53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142171662.843747</v>
      </c>
      <c r="K92" s="53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407988756.058743</v>
      </c>
      <c r="L92" s="53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509189375.693131</v>
      </c>
      <c r="M92" s="53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672519832.317287</v>
      </c>
      <c r="N92" s="53" t="n">
        <f aca="false">IF(COUNT('Business Case'!B11:G11)=0,"",H92+NPV(G92,I92:M92))</f>
        <v>-863316439.820009</v>
      </c>
      <c r="P92" s="54" t="n">
        <f aca="true">RAND()</f>
        <v>0.147889569127626</v>
      </c>
      <c r="Q92" s="54" t="n">
        <f aca="true">RAND()</f>
        <v>0.318220131623466</v>
      </c>
      <c r="R92" s="54" t="n">
        <f aca="true">RAND()</f>
        <v>0.85581033096374</v>
      </c>
      <c r="S92" s="54" t="n">
        <f aca="true">RAND()</f>
        <v>0.271695939885546</v>
      </c>
      <c r="T92" s="54" t="n">
        <f aca="true">RAND()</f>
        <v>0.331533030087975</v>
      </c>
      <c r="U92" s="54" t="n">
        <f aca="true">RAND()</f>
        <v>0.0234996258318961</v>
      </c>
    </row>
    <row r="93" customFormat="false" ht="15" hidden="false" customHeight="false" outlineLevel="0" collapsed="false">
      <c r="A93" s="50" t="n">
        <v>13</v>
      </c>
      <c r="B93" s="51" t="n">
        <f aca="false">1+IF($G$6=$E$6,$F$6,IF(P93&lt;($F$6-$E$6)/($G$6-$E$6),$E$6+SQRT(P93*($G$6-$E$6)*($F$6-$E$6)),$G$6-SQRT((1-P93)*($G$6-$E$6)*($G$6-$F$6))))</f>
        <v>0.993410043203317</v>
      </c>
      <c r="C93" s="51" t="n">
        <f aca="false">1+IF($G$7=$E$7,$F$7,IF(Q93&lt;($F$7-$E$7)/($G$7-$E$7),$E$7+SQRT(Q93*($G$7-$E$7)*($F$7-$E$7)),$G$7-SQRT((1-Q93)*($G$7-$E$7)*($G$7-$F$7))))</f>
        <v>0.797442953519669</v>
      </c>
      <c r="D93" s="51" t="n">
        <f aca="false">1+IF($G$8=$E$8,$F$8,IF(R93&lt;($F$8-$E$8)/($G$8-$E$8),$E$8+SQRT(R93*($G$8-$E$8)*($F$8-$E$8)),$G$8-SQRT((1-R93)*($G$8-$E$8)*($G$8-$F$8))))</f>
        <v>0.964483890137702</v>
      </c>
      <c r="E93" s="51" t="n">
        <f aca="false">1+IF($G$9=$E$9,$F$9,IF(S93&lt;($F$9-$E$9)/($G$9-$E$9),$E$9+SQRT(S93*($G$9-$E$9)*($F$9-$E$9)),$G$9-SQRT((1-S93)*($G$9-$E$9)*($G$9-$F$9))))</f>
        <v>0.912241926681996</v>
      </c>
      <c r="F93" s="51" t="n">
        <f aca="false">1+IF($G$10=$E$10,$F$10,IF(T93&lt;($F$10-$E$10)/($G$10-$E$10),$E$10+SQRT(T93*($G$10-$E$10)*($F$10-$E$10)),$G$10-SQRT((1-T93)*($G$10-$E$10)*($G$10-$F$10))))</f>
        <v>1.09477269394246</v>
      </c>
      <c r="G93" s="52" t="n">
        <f aca="false">IF($G$11=$E$11,$F$11,IF(U93&lt;($F$11-$E$11)/($G$11-$E$11),$E$11+SQRT(U93*($G$11-$E$11)*($F$11-$E$11)),$G$11-SQRT((1-U93)*($G$11-$E$11)*($G$11-$F$11))))</f>
        <v>0.0969653866140895</v>
      </c>
      <c r="H93" s="53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-2189545387.88491</v>
      </c>
      <c r="I93" s="53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-25134573.2471431</v>
      </c>
      <c r="J93" s="53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229995942.443138</v>
      </c>
      <c r="K93" s="53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539865092.830542</v>
      </c>
      <c r="L93" s="53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652286609.773301</v>
      </c>
      <c r="M93" s="53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802865674.192964</v>
      </c>
      <c r="N93" s="53" t="n">
        <f aca="false">IF(COUNT('Business Case'!B11:G11)=0,"",H93+NPV(G93,I93:M93))</f>
        <v>-656420650.83538</v>
      </c>
      <c r="P93" s="54" t="n">
        <f aca="true">RAND()</f>
        <v>0.581695744749698</v>
      </c>
      <c r="Q93" s="54" t="n">
        <f aca="true">RAND()</f>
        <v>0.0703342903010109</v>
      </c>
      <c r="R93" s="54" t="n">
        <f aca="true">RAND()</f>
        <v>0.0279710764694706</v>
      </c>
      <c r="S93" s="54" t="n">
        <f aca="true">RAND()</f>
        <v>0.00599459075549445</v>
      </c>
      <c r="T93" s="54" t="n">
        <f aca="true">RAND()</f>
        <v>0.678726446054897</v>
      </c>
      <c r="U93" s="54" t="n">
        <f aca="true">RAND()</f>
        <v>0.287824342965526</v>
      </c>
    </row>
    <row r="94" customFormat="false" ht="15" hidden="false" customHeight="false" outlineLevel="0" collapsed="false">
      <c r="A94" s="50" t="n">
        <v>14</v>
      </c>
      <c r="B94" s="51" t="n">
        <f aca="false">1+IF($G$6=$E$6,$F$6,IF(P94&lt;($F$6-$E$6)/($G$6-$E$6),$E$6+SQRT(P94*($G$6-$E$6)*($F$6-$E$6)),$G$6-SQRT((1-P94)*($G$6-$E$6)*($G$6-$F$6))))</f>
        <v>1.00980852737294</v>
      </c>
      <c r="C94" s="51" t="n">
        <f aca="false">1+IF($G$7=$E$7,$F$7,IF(Q94&lt;($F$7-$E$7)/($G$7-$E$7),$E$7+SQRT(Q94*($G$7-$E$7)*($F$7-$E$7)),$G$7-SQRT((1-Q94)*($G$7-$E$7)*($G$7-$F$7))))</f>
        <v>0.987779928979326</v>
      </c>
      <c r="D94" s="51" t="n">
        <f aca="false">1+IF($G$8=$E$8,$F$8,IF(R94&lt;($F$8-$E$8)/($G$8-$E$8),$E$8+SQRT(R94*($G$8-$E$8)*($F$8-$E$8)),$G$8-SQRT((1-R94)*($G$8-$E$8)*($G$8-$F$8))))</f>
        <v>1.0719414829442</v>
      </c>
      <c r="E94" s="51" t="n">
        <f aca="false">1+IF($G$9=$E$9,$F$9,IF(S94&lt;($F$9-$E$9)/($G$9-$E$9),$E$9+SQRT(S94*($G$9-$E$9)*($F$9-$E$9)),$G$9-SQRT((1-S94)*($G$9-$E$9)*($G$9-$F$9))))</f>
        <v>1.04728417706545</v>
      </c>
      <c r="F94" s="51" t="n">
        <f aca="false">1+IF($G$10=$E$10,$F$10,IF(T94&lt;($F$10-$E$10)/($G$10-$E$10),$E$10+SQRT(T94*($G$10-$E$10)*($F$10-$E$10)),$G$10-SQRT((1-T94)*($G$10-$E$10)*($G$10-$F$10))))</f>
        <v>1.07232540871775</v>
      </c>
      <c r="G94" s="52" t="n">
        <f aca="false">IF($G$11=$E$11,$F$11,IF(U94&lt;($F$11-$E$11)/($G$11-$E$11),$E$11+SQRT(U94*($G$11-$E$11)*($F$11-$E$11)),$G$11-SQRT((1-U94)*($G$11-$E$11)*($G$11-$F$11))))</f>
        <v>0.115601098030939</v>
      </c>
      <c r="H94" s="53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-2144650817.43551</v>
      </c>
      <c r="I94" s="53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-32909066.3717632</v>
      </c>
      <c r="J94" s="53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242046990.095144</v>
      </c>
      <c r="K94" s="53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570619316.997939</v>
      </c>
      <c r="L94" s="53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696743850.479034</v>
      </c>
      <c r="M94" s="53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886342681.102391</v>
      </c>
      <c r="N94" s="53" t="n">
        <f aca="false">IF(COUNT('Business Case'!B11:G11)=0,"",H94+NPV(G94,I94:M94))</f>
        <v>-605940356.519738</v>
      </c>
      <c r="P94" s="54" t="n">
        <f aca="true">RAND()</f>
        <v>0.784619403742473</v>
      </c>
      <c r="Q94" s="54" t="n">
        <f aca="true">RAND()</f>
        <v>0.613461389061821</v>
      </c>
      <c r="R94" s="54" t="n">
        <f aca="true">RAND()</f>
        <v>0.947514641375296</v>
      </c>
      <c r="S94" s="54" t="n">
        <f aca="true">RAND()</f>
        <v>0.71865225917009</v>
      </c>
      <c r="T94" s="54" t="n">
        <f aca="true">RAND()</f>
        <v>0.579089861502487</v>
      </c>
      <c r="U94" s="54" t="n">
        <f aca="true">RAND()</f>
        <v>0.861781081390246</v>
      </c>
    </row>
    <row r="95" customFormat="false" ht="15" hidden="false" customHeight="false" outlineLevel="0" collapsed="false">
      <c r="A95" s="50" t="n">
        <v>15</v>
      </c>
      <c r="B95" s="51" t="n">
        <f aca="false">1+IF($G$6=$E$6,$F$6,IF(P95&lt;($F$6-$E$6)/($G$6-$E$6),$E$6+SQRT(P95*($G$6-$E$6)*($F$6-$E$6)),$G$6-SQRT((1-P95)*($G$6-$E$6)*($G$6-$F$6))))</f>
        <v>0.982622371093954</v>
      </c>
      <c r="C95" s="51" t="n">
        <f aca="false">1+IF($G$7=$E$7,$F$7,IF(Q95&lt;($F$7-$E$7)/($G$7-$E$7),$E$7+SQRT(Q95*($G$7-$E$7)*($F$7-$E$7)),$G$7-SQRT((1-Q95)*($G$7-$E$7)*($G$7-$F$7))))</f>
        <v>0.961157021358166</v>
      </c>
      <c r="D95" s="51" t="n">
        <f aca="false">1+IF($G$8=$E$8,$F$8,IF(R95&lt;($F$8-$E$8)/($G$8-$E$8),$E$8+SQRT(R95*($G$8-$E$8)*($F$8-$E$8)),$G$8-SQRT((1-R95)*($G$8-$E$8)*($G$8-$F$8))))</f>
        <v>1.0432397243434</v>
      </c>
      <c r="E95" s="51" t="n">
        <f aca="false">1+IF($G$9=$E$9,$F$9,IF(S95&lt;($F$9-$E$9)/($G$9-$E$9),$E$9+SQRT(S95*($G$9-$E$9)*($F$9-$E$9)),$G$9-SQRT((1-S95)*($G$9-$E$9)*($G$9-$F$9))))</f>
        <v>1.0763837064602</v>
      </c>
      <c r="F95" s="51" t="n">
        <f aca="false">1+IF($G$10=$E$10,$F$10,IF(T95&lt;($F$10-$E$10)/($G$10-$E$10),$E$10+SQRT(T95*($G$10-$E$10)*($F$10-$E$10)),$G$10-SQRT((1-T95)*($G$10-$E$10)*($G$10-$F$10))))</f>
        <v>1.02306024511228</v>
      </c>
      <c r="G95" s="52" t="n">
        <f aca="false">IF($G$11=$E$11,$F$11,IF(U95&lt;($F$11-$E$11)/($G$11-$E$11),$E$11+SQRT(U95*($G$11-$E$11)*($F$11-$E$11)),$G$11-SQRT((1-U95)*($G$11-$E$11)*($G$11-$F$11))))</f>
        <v>0.115464847786143</v>
      </c>
      <c r="H95" s="53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-2046120490.22455</v>
      </c>
      <c r="I95" s="53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-44063137.871689</v>
      </c>
      <c r="J95" s="53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216202027.472549</v>
      </c>
      <c r="K95" s="53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527620205.0724</v>
      </c>
      <c r="L95" s="53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647015603.951185</v>
      </c>
      <c r="M95" s="53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826537494.653398</v>
      </c>
      <c r="N95" s="53" t="n">
        <f aca="false">IF(COUNT('Business Case'!B11:G11)=0,"",H95+NPV(G95,I95:M95))</f>
        <v>-635184744.568363</v>
      </c>
      <c r="P95" s="54" t="n">
        <f aca="true">RAND()</f>
        <v>0.455097080345802</v>
      </c>
      <c r="Q95" s="54" t="n">
        <f aca="true">RAND()</f>
        <v>0.505207331886443</v>
      </c>
      <c r="R95" s="54" t="n">
        <f aca="true">RAND()</f>
        <v>0.785218073825822</v>
      </c>
      <c r="S95" s="54" t="n">
        <f aca="true">RAND()</f>
        <v>0.855483768679003</v>
      </c>
      <c r="T95" s="54" t="n">
        <f aca="true">RAND()</f>
        <v>0.313311302020001</v>
      </c>
      <c r="U95" s="54" t="n">
        <f aca="true">RAND()</f>
        <v>0.859152900080003</v>
      </c>
    </row>
    <row r="96" customFormat="false" ht="15" hidden="false" customHeight="false" outlineLevel="0" collapsed="false">
      <c r="A96" s="50" t="n">
        <v>16</v>
      </c>
      <c r="B96" s="51" t="n">
        <f aca="false">1+IF($G$6=$E$6,$F$6,IF(P96&lt;($F$6-$E$6)/($G$6-$E$6),$E$6+SQRT(P96*($G$6-$E$6)*($F$6-$E$6)),$G$6-SQRT((1-P96)*($G$6-$E$6)*($G$6-$F$6))))</f>
        <v>1.00902714159078</v>
      </c>
      <c r="C96" s="51" t="n">
        <f aca="false">1+IF($G$7=$E$7,$F$7,IF(Q96&lt;($F$7-$E$7)/($G$7-$E$7),$E$7+SQRT(Q96*($G$7-$E$7)*($F$7-$E$7)),$G$7-SQRT((1-Q96)*($G$7-$E$7)*($G$7-$F$7))))</f>
        <v>0.981838204973313</v>
      </c>
      <c r="D96" s="51" t="n">
        <f aca="false">1+IF($G$8=$E$8,$F$8,IF(R96&lt;($F$8-$E$8)/($G$8-$E$8),$E$8+SQRT(R96*($G$8-$E$8)*($F$8-$E$8)),$G$8-SQRT((1-R96)*($G$8-$E$8)*($G$8-$F$8))))</f>
        <v>1.00867005289483</v>
      </c>
      <c r="E96" s="51" t="n">
        <f aca="false">1+IF($G$9=$E$9,$F$9,IF(S96&lt;($F$9-$E$9)/($G$9-$E$9),$E$9+SQRT(S96*($G$9-$E$9)*($F$9-$E$9)),$G$9-SQRT((1-S96)*($G$9-$E$9)*($G$9-$F$9))))</f>
        <v>1.06810197214543</v>
      </c>
      <c r="F96" s="51" t="n">
        <f aca="false">1+IF($G$10=$E$10,$F$10,IF(T96&lt;($F$10-$E$10)/($G$10-$E$10),$E$10+SQRT(T96*($G$10-$E$10)*($F$10-$E$10)),$G$10-SQRT((1-T96)*($G$10-$E$10)*($G$10-$F$10))))</f>
        <v>1.0235007109873</v>
      </c>
      <c r="G96" s="52" t="n">
        <f aca="false">IF($G$11=$E$11,$F$11,IF(U96&lt;($F$11-$E$11)/($G$11-$E$11),$E$11+SQRT(U96*($G$11-$E$11)*($F$11-$E$11)),$G$11-SQRT((1-U96)*($G$11-$E$11)*($G$11-$F$11))))</f>
        <v>0.0920012937337622</v>
      </c>
      <c r="H96" s="53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-2047001421.97459</v>
      </c>
      <c r="I96" s="53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-1116735.49349125</v>
      </c>
      <c r="J96" s="53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303358660.995612</v>
      </c>
      <c r="K96" s="53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659009093.034079</v>
      </c>
      <c r="L96" s="53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794739532.160304</v>
      </c>
      <c r="M96" s="53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983052053.791182</v>
      </c>
      <c r="N96" s="53" t="n">
        <f aca="false">IF(COUNT('Business Case'!B11:G11)=0,"",H96+NPV(G96,I96:M96))</f>
        <v>-95564256.1391192</v>
      </c>
      <c r="P96" s="54" t="n">
        <f aca="true">RAND()</f>
        <v>0.77616331650376</v>
      </c>
      <c r="Q96" s="54" t="n">
        <f aca="true">RAND()</f>
        <v>0.588390916907994</v>
      </c>
      <c r="R96" s="54" t="n">
        <f aca="true">RAND()</f>
        <v>0.443922717451086</v>
      </c>
      <c r="S96" s="54" t="n">
        <f aca="true">RAND()</f>
        <v>0.821139014227504</v>
      </c>
      <c r="T96" s="54" t="n">
        <f aca="true">RAND()</f>
        <v>0.315974294356525</v>
      </c>
      <c r="U96" s="54" t="n">
        <f aca="true">RAND()</f>
        <v>0.14403105128404</v>
      </c>
    </row>
    <row r="97" customFormat="false" ht="15" hidden="false" customHeight="false" outlineLevel="0" collapsed="false">
      <c r="A97" s="50" t="n">
        <v>17</v>
      </c>
      <c r="B97" s="51" t="n">
        <f aca="false">1+IF($G$6=$E$6,$F$6,IF(P97&lt;($F$6-$E$6)/($G$6-$E$6),$E$6+SQRT(P97*($G$6-$E$6)*($F$6-$E$6)),$G$6-SQRT((1-P97)*($G$6-$E$6)*($G$6-$F$6))))</f>
        <v>0.999856737176755</v>
      </c>
      <c r="C97" s="51" t="n">
        <f aca="false">1+IF($G$7=$E$7,$F$7,IF(Q97&lt;($F$7-$E$7)/($G$7-$E$7),$E$7+SQRT(Q97*($G$7-$E$7)*($F$7-$E$7)),$G$7-SQRT((1-Q97)*($G$7-$E$7)*($G$7-$F$7))))</f>
        <v>1.10091788931817</v>
      </c>
      <c r="D97" s="51" t="n">
        <f aca="false">1+IF($G$8=$E$8,$F$8,IF(R97&lt;($F$8-$E$8)/($G$8-$E$8),$E$8+SQRT(R97*($G$8-$E$8)*($F$8-$E$8)),$G$8-SQRT((1-R97)*($G$8-$E$8)*($G$8-$F$8))))</f>
        <v>1.04635834923475</v>
      </c>
      <c r="E97" s="51" t="n">
        <f aca="false">1+IF($G$9=$E$9,$F$9,IF(S97&lt;($F$9-$E$9)/($G$9-$E$9),$E$9+SQRT(S97*($G$9-$E$9)*($F$9-$E$9)),$G$9-SQRT((1-S97)*($G$9-$E$9)*($G$9-$F$9))))</f>
        <v>1.13394110404915</v>
      </c>
      <c r="F97" s="51" t="n">
        <f aca="false">1+IF($G$10=$E$10,$F$10,IF(T97&lt;($F$10-$E$10)/($G$10-$E$10),$E$10+SQRT(T97*($G$10-$E$10)*($F$10-$E$10)),$G$10-SQRT((1-T97)*($G$10-$E$10)*($G$10-$F$10))))</f>
        <v>0.992162234456912</v>
      </c>
      <c r="G97" s="52" t="n">
        <f aca="false">IF($G$11=$E$11,$F$11,IF(U97&lt;($F$11-$E$11)/($G$11-$E$11),$E$11+SQRT(U97*($G$11-$E$11)*($F$11-$E$11)),$G$11-SQRT((1-U97)*($G$11-$E$11)*($G$11-$F$11))))</f>
        <v>0.111068693918216</v>
      </c>
      <c r="H97" s="53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-1984324468.91382</v>
      </c>
      <c r="I97" s="53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-5632834.46800163</v>
      </c>
      <c r="J97" s="53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306260386.651569</v>
      </c>
      <c r="K97" s="53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667761719.493985</v>
      </c>
      <c r="L97" s="53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809768397.96457</v>
      </c>
      <c r="M97" s="53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1019000890.83357</v>
      </c>
      <c r="N97" s="53" t="n">
        <f aca="false">IF(COUNT('Business Case'!B11:G11)=0,"",H97+NPV(G97,I97:M97))</f>
        <v>-121255425.254293</v>
      </c>
      <c r="P97" s="54" t="n">
        <f aca="true">RAND()</f>
        <v>0.664757863972497</v>
      </c>
      <c r="Q97" s="54" t="n">
        <f aca="true">RAND()</f>
        <v>0.964310317200253</v>
      </c>
      <c r="R97" s="54" t="n">
        <f aca="true">RAND()</f>
        <v>0.808171553545252</v>
      </c>
      <c r="S97" s="54" t="n">
        <f aca="true">RAND()</f>
        <v>0.993122982955727</v>
      </c>
      <c r="T97" s="54" t="n">
        <f aca="true">RAND()</f>
        <v>0.118510267626643</v>
      </c>
      <c r="U97" s="54" t="n">
        <f aca="true">RAND()</f>
        <v>0.761070433358542</v>
      </c>
    </row>
    <row r="98" customFormat="false" ht="15" hidden="false" customHeight="false" outlineLevel="0" collapsed="false">
      <c r="A98" s="50" t="n">
        <v>18</v>
      </c>
      <c r="B98" s="51" t="n">
        <f aca="false">1+IF($G$6=$E$6,$F$6,IF(P98&lt;($F$6-$E$6)/($G$6-$E$6),$E$6+SQRT(P98*($G$6-$E$6)*($F$6-$E$6)),$G$6-SQRT((1-P98)*($G$6-$E$6)*($G$6-$F$6))))</f>
        <v>1.01827381182807</v>
      </c>
      <c r="C98" s="51" t="n">
        <f aca="false">1+IF($G$7=$E$7,$F$7,IF(Q98&lt;($F$7-$E$7)/($G$7-$E$7),$E$7+SQRT(Q98*($G$7-$E$7)*($F$7-$E$7)),$G$7-SQRT((1-Q98)*($G$7-$E$7)*($G$7-$F$7))))</f>
        <v>0.926982768974435</v>
      </c>
      <c r="D98" s="51" t="n">
        <f aca="false">1+IF($G$8=$E$8,$F$8,IF(R98&lt;($F$8-$E$8)/($G$8-$E$8),$E$8+SQRT(R98*($G$8-$E$8)*($F$8-$E$8)),$G$8-SQRT((1-R98)*($G$8-$E$8)*($G$8-$F$8))))</f>
        <v>1.06059058909802</v>
      </c>
      <c r="E98" s="51" t="n">
        <f aca="false">1+IF($G$9=$E$9,$F$9,IF(S98&lt;($F$9-$E$9)/($G$9-$E$9),$E$9+SQRT(S98*($G$9-$E$9)*($F$9-$E$9)),$G$9-SQRT((1-S98)*($G$9-$E$9)*($G$9-$F$9))))</f>
        <v>0.956628421151602</v>
      </c>
      <c r="F98" s="51" t="n">
        <f aca="false">1+IF($G$10=$E$10,$F$10,IF(T98&lt;($F$10-$E$10)/($G$10-$E$10),$E$10+SQRT(T98*($G$10-$E$10)*($F$10-$E$10)),$G$10-SQRT((1-T98)*($G$10-$E$10)*($G$10-$F$10))))</f>
        <v>1.04017525956854</v>
      </c>
      <c r="G98" s="52" t="n">
        <f aca="false">IF($G$11=$E$11,$F$11,IF(U98&lt;($F$11-$E$11)/($G$11-$E$11),$E$11+SQRT(U98*($G$11-$E$11)*($F$11-$E$11)),$G$11-SQRT((1-U98)*($G$11-$E$11)*($G$11-$F$11))))</f>
        <v>0.12364128619288</v>
      </c>
      <c r="H98" s="53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-2080350519.13708</v>
      </c>
      <c r="I98" s="53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-19136449.500461</v>
      </c>
      <c r="J98" s="53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250710119.317716</v>
      </c>
      <c r="K98" s="53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572565451.114319</v>
      </c>
      <c r="L98" s="53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695136261.303062</v>
      </c>
      <c r="M98" s="53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874557007.841157</v>
      </c>
      <c r="N98" s="53" t="n">
        <f aca="false">IF(COUNT('Business Case'!B11:G11)=0,"",H98+NPV(G98,I98:M98))</f>
        <v>-570887054.902371</v>
      </c>
      <c r="P98" s="54" t="n">
        <f aca="true">RAND()</f>
        <v>0.865793197877262</v>
      </c>
      <c r="Q98" s="54" t="n">
        <f aca="true">RAND()</f>
        <v>0.381638351194827</v>
      </c>
      <c r="R98" s="54" t="n">
        <f aca="true">RAND()</f>
        <v>0.896459888823915</v>
      </c>
      <c r="S98" s="54" t="n">
        <f aca="true">RAND()</f>
        <v>0.128271123284927</v>
      </c>
      <c r="T98" s="54" t="n">
        <f aca="true">RAND()</f>
        <v>0.412981044038259</v>
      </c>
      <c r="U98" s="54" t="n">
        <f aca="true">RAND()</f>
        <v>0.973044505812761</v>
      </c>
    </row>
    <row r="99" customFormat="false" ht="15" hidden="false" customHeight="false" outlineLevel="0" collapsed="false">
      <c r="A99" s="50" t="n">
        <v>19</v>
      </c>
      <c r="B99" s="51" t="n">
        <f aca="false">1+IF($G$6=$E$6,$F$6,IF(P99&lt;($F$6-$E$6)/($G$6-$E$6),$E$6+SQRT(P99*($G$6-$E$6)*($F$6-$E$6)),$G$6-SQRT((1-P99)*($G$6-$E$6)*($G$6-$F$6))))</f>
        <v>0.961348572856566</v>
      </c>
      <c r="C99" s="51" t="n">
        <f aca="false">1+IF($G$7=$E$7,$F$7,IF(Q99&lt;($F$7-$E$7)/($G$7-$E$7),$E$7+SQRT(Q99*($G$7-$E$7)*($F$7-$E$7)),$G$7-SQRT((1-Q99)*($G$7-$E$7)*($G$7-$F$7))))</f>
        <v>1.02361899199573</v>
      </c>
      <c r="D99" s="51" t="n">
        <f aca="false">1+IF($G$8=$E$8,$F$8,IF(R99&lt;($F$8-$E$8)/($G$8-$E$8),$E$8+SQRT(R99*($G$8-$E$8)*($F$8-$E$8)),$G$8-SQRT((1-R99)*($G$8-$E$8)*($G$8-$F$8))))</f>
        <v>0.981573631132301</v>
      </c>
      <c r="E99" s="51" t="n">
        <f aca="false">1+IF($G$9=$E$9,$F$9,IF(S99&lt;($F$9-$E$9)/($G$9-$E$9),$E$9+SQRT(S99*($G$9-$E$9)*($F$9-$E$9)),$G$9-SQRT((1-S99)*($G$9-$E$9)*($G$9-$F$9))))</f>
        <v>1.00470745617197</v>
      </c>
      <c r="F99" s="51" t="n">
        <f aca="false">1+IF($G$10=$E$10,$F$10,IF(T99&lt;($F$10-$E$10)/($G$10-$E$10),$E$10+SQRT(T99*($G$10-$E$10)*($F$10-$E$10)),$G$10-SQRT((1-T99)*($G$10-$E$10)*($G$10-$F$10))))</f>
        <v>1.07027713045865</v>
      </c>
      <c r="G99" s="52" t="n">
        <f aca="false">IF($G$11=$E$11,$F$11,IF(U99&lt;($F$11-$E$11)/($G$11-$E$11),$E$11+SQRT(U99*($G$11-$E$11)*($F$11-$E$11)),$G$11-SQRT((1-U99)*($G$11-$E$11)*($G$11-$F$11))))</f>
        <v>0.121441899750163</v>
      </c>
      <c r="H99" s="53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-2140554260.91731</v>
      </c>
      <c r="I99" s="53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-9254304.40650275</v>
      </c>
      <c r="J99" s="53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282401897.924783</v>
      </c>
      <c r="K99" s="53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627571956.779002</v>
      </c>
      <c r="L99" s="53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758799619.838944</v>
      </c>
      <c r="M99" s="53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945848729.061268</v>
      </c>
      <c r="N99" s="53" t="n">
        <f aca="false">IF(COUNT('Business Case'!B11:G11)=0,"",H99+NPV(G99,I99:M99))</f>
        <v>-466269332.162215</v>
      </c>
      <c r="P99" s="54" t="n">
        <f aca="true">RAND()</f>
        <v>0.25090982610249</v>
      </c>
      <c r="Q99" s="54" t="n">
        <f aca="true">RAND()</f>
        <v>0.763375419493709</v>
      </c>
      <c r="R99" s="54" t="n">
        <f aca="true">RAND()</f>
        <v>0.132919224383816</v>
      </c>
      <c r="S99" s="54" t="n">
        <f aca="true">RAND()</f>
        <v>0.437068712212768</v>
      </c>
      <c r="T99" s="54" t="n">
        <f aca="true">RAND()</f>
        <v>0.569329202184325</v>
      </c>
      <c r="U99" s="54" t="n">
        <f aca="true">RAND()</f>
        <v>0.95117261340916</v>
      </c>
    </row>
    <row r="100" customFormat="false" ht="15" hidden="false" customHeight="false" outlineLevel="0" collapsed="false">
      <c r="A100" s="50" t="n">
        <v>20</v>
      </c>
      <c r="B100" s="51" t="n">
        <f aca="false">1+IF($G$6=$E$6,$F$6,IF(P100&lt;($F$6-$E$6)/($G$6-$E$6),$E$6+SQRT(P100*($G$6-$E$6)*($F$6-$E$6)),$G$6-SQRT((1-P100)*($G$6-$E$6)*($G$6-$F$6))))</f>
        <v>0.99677320248347</v>
      </c>
      <c r="C100" s="51" t="n">
        <f aca="false">1+IF($G$7=$E$7,$F$7,IF(Q100&lt;($F$7-$E$7)/($G$7-$E$7),$E$7+SQRT(Q100*($G$7-$E$7)*($F$7-$E$7)),$G$7-SQRT((1-Q100)*($G$7-$E$7)*($G$7-$F$7))))</f>
        <v>1.00823929851408</v>
      </c>
      <c r="D100" s="51" t="n">
        <f aca="false">1+IF($G$8=$E$8,$F$8,IF(R100&lt;($F$8-$E$8)/($G$8-$E$8),$E$8+SQRT(R100*($G$8-$E$8)*($F$8-$E$8)),$G$8-SQRT((1-R100)*($G$8-$E$8)*($G$8-$F$8))))</f>
        <v>1.04150024360838</v>
      </c>
      <c r="E100" s="51" t="n">
        <f aca="false">1+IF($G$9=$E$9,$F$9,IF(S100&lt;($F$9-$E$9)/($G$9-$E$9),$E$9+SQRT(S100*($G$9-$E$9)*($F$9-$E$9)),$G$9-SQRT((1-S100)*($G$9-$E$9)*($G$9-$F$9))))</f>
        <v>1.03421464886837</v>
      </c>
      <c r="F100" s="51" t="n">
        <f aca="false">1+IF($G$10=$E$10,$F$10,IF(T100&lt;($F$10-$E$10)/($G$10-$E$10),$E$10+SQRT(T100*($G$10-$E$10)*($F$10-$E$10)),$G$10-SQRT((1-T100)*($G$10-$E$10)*($G$10-$F$10))))</f>
        <v>1.07963594507575</v>
      </c>
      <c r="G100" s="52" t="n">
        <f aca="false">IF($G$11=$E$11,$F$11,IF(U100&lt;($F$11-$E$11)/($G$11-$E$11),$E$11+SQRT(U100*($G$11-$E$11)*($F$11-$E$11)),$G$11-SQRT((1-U100)*($G$11-$E$11)*($G$11-$F$11))))</f>
        <v>0.0957165862918293</v>
      </c>
      <c r="H100" s="53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-2159271890.15151</v>
      </c>
      <c r="I100" s="53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-21529273.1528778</v>
      </c>
      <c r="J100" s="53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264068841.075967</v>
      </c>
      <c r="K100" s="53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603648752.5586</v>
      </c>
      <c r="L100" s="53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733580437.171591</v>
      </c>
      <c r="M100" s="53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924608159.790166</v>
      </c>
      <c r="N100" s="53" t="n">
        <f aca="false">IF(COUNT('Business Case'!B11:G11)=0,"",H100+NPV(G100,I100:M100))</f>
        <v>-405757375.666941</v>
      </c>
      <c r="P100" s="54" t="n">
        <f aca="true">RAND()</f>
        <v>0.624336847927105</v>
      </c>
      <c r="Q100" s="54" t="n">
        <f aca="true">RAND()</f>
        <v>0.702280052062531</v>
      </c>
      <c r="R100" s="54" t="n">
        <f aca="true">RAND()</f>
        <v>0.771851900141393</v>
      </c>
      <c r="S100" s="54" t="n">
        <f aca="true">RAND()</f>
        <v>0.642500065688647</v>
      </c>
      <c r="T100" s="54" t="n">
        <f aca="true">RAND()</f>
        <v>0.613014517196907</v>
      </c>
      <c r="U100" s="54" t="n">
        <f aca="true">RAND()</f>
        <v>0.247011084668518</v>
      </c>
    </row>
    <row r="101" customFormat="false" ht="15" hidden="false" customHeight="false" outlineLevel="0" collapsed="false">
      <c r="A101" s="50" t="n">
        <v>21</v>
      </c>
      <c r="B101" s="51" t="n">
        <f aca="false">1+IF($G$6=$E$6,$F$6,IF(P101&lt;($F$6-$E$6)/($G$6-$E$6),$E$6+SQRT(P101*($G$6-$E$6)*($F$6-$E$6)),$G$6-SQRT((1-P101)*($G$6-$E$6)*($G$6-$F$6))))</f>
        <v>0.955451126668717</v>
      </c>
      <c r="C101" s="51" t="n">
        <f aca="false">1+IF($G$7=$E$7,$F$7,IF(Q101&lt;($F$7-$E$7)/($G$7-$E$7),$E$7+SQRT(Q101*($G$7-$E$7)*($F$7-$E$7)),$G$7-SQRT((1-Q101)*($G$7-$E$7)*($G$7-$F$7))))</f>
        <v>0.939741354614831</v>
      </c>
      <c r="D101" s="51" t="n">
        <f aca="false">1+IF($G$8=$E$8,$F$8,IF(R101&lt;($F$8-$E$8)/($G$8-$E$8),$E$8+SQRT(R101*($G$8-$E$8)*($F$8-$E$8)),$G$8-SQRT((1-R101)*($G$8-$E$8)*($G$8-$F$8))))</f>
        <v>0.984085750110628</v>
      </c>
      <c r="E101" s="51" t="n">
        <f aca="false">1+IF($G$9=$E$9,$F$9,IF(S101&lt;($F$9-$E$9)/($G$9-$E$9),$E$9+SQRT(S101*($G$9-$E$9)*($F$9-$E$9)),$G$9-SQRT((1-S101)*($G$9-$E$9)*($G$9-$F$9))))</f>
        <v>1.03896649809038</v>
      </c>
      <c r="F101" s="51" t="n">
        <f aca="false">1+IF($G$10=$E$10,$F$10,IF(T101&lt;($F$10-$E$10)/($G$10-$E$10),$E$10+SQRT(T101*($G$10-$E$10)*($F$10-$E$10)),$G$10-SQRT((1-T101)*($G$10-$E$10)*($G$10-$F$10))))</f>
        <v>1.0689604388011</v>
      </c>
      <c r="G101" s="52" t="n">
        <f aca="false">IF($G$11=$E$11,$F$11,IF(U101&lt;($F$11-$E$11)/($G$11-$E$11),$E$11+SQRT(U101*($G$11-$E$11)*($F$11-$E$11)),$G$11-SQRT((1-U101)*($G$11-$E$11)*($G$11-$F$11))))</f>
        <v>0.102548192079048</v>
      </c>
      <c r="H101" s="53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-2137920877.60219</v>
      </c>
      <c r="I101" s="53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-39173650.4710888</v>
      </c>
      <c r="J101" s="53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222835719.330901</v>
      </c>
      <c r="K101" s="53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538293111.072946</v>
      </c>
      <c r="L101" s="53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656660194.583288</v>
      </c>
      <c r="M101" s="53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827328642.586518</v>
      </c>
      <c r="N101" s="53" t="n">
        <f aca="false">IF(COUNT('Business Case'!B11:G11)=0,"",H101+NPV(G101,I101:M101))</f>
        <v>-636336780.84448</v>
      </c>
      <c r="P101" s="54" t="n">
        <f aca="true">RAND()</f>
        <v>0.204988496588673</v>
      </c>
      <c r="Q101" s="54" t="n">
        <f aca="true">RAND()</f>
        <v>0.425747534167068</v>
      </c>
      <c r="R101" s="54" t="n">
        <f aca="true">RAND()</f>
        <v>0.154911781413889</v>
      </c>
      <c r="S101" s="54" t="n">
        <f aca="true">RAND()</f>
        <v>0.671241638764982</v>
      </c>
      <c r="T101" s="54" t="n">
        <f aca="true">RAND()</f>
        <v>0.562995697078775</v>
      </c>
      <c r="U101" s="54" t="n">
        <f aca="true">RAND()</f>
        <v>0.497598827914105</v>
      </c>
    </row>
    <row r="102" customFormat="false" ht="15" hidden="false" customHeight="false" outlineLevel="0" collapsed="false">
      <c r="A102" s="50" t="n">
        <v>22</v>
      </c>
      <c r="B102" s="51" t="n">
        <f aca="false">1+IF($G$6=$E$6,$F$6,IF(P102&lt;($F$6-$E$6)/($G$6-$E$6),$E$6+SQRT(P102*($G$6-$E$6)*($F$6-$E$6)),$G$6-SQRT((1-P102)*($G$6-$E$6)*($G$6-$F$6))))</f>
        <v>1.00274533949714</v>
      </c>
      <c r="C102" s="51" t="n">
        <f aca="false">1+IF($G$7=$E$7,$F$7,IF(Q102&lt;($F$7-$E$7)/($G$7-$E$7),$E$7+SQRT(Q102*($G$7-$E$7)*($F$7-$E$7)),$G$7-SQRT((1-Q102)*($G$7-$E$7)*($G$7-$F$7))))</f>
        <v>0.915439158019771</v>
      </c>
      <c r="D102" s="51" t="n">
        <f aca="false">1+IF($G$8=$E$8,$F$8,IF(R102&lt;($F$8-$E$8)/($G$8-$E$8),$E$8+SQRT(R102*($G$8-$E$8)*($F$8-$E$8)),$G$8-SQRT((1-R102)*($G$8-$E$8)*($G$8-$F$8))))</f>
        <v>1.00880503544814</v>
      </c>
      <c r="E102" s="51" t="n">
        <f aca="false">1+IF($G$9=$E$9,$F$9,IF(S102&lt;($F$9-$E$9)/($G$9-$E$9),$E$9+SQRT(S102*($G$9-$E$9)*($F$9-$E$9)),$G$9-SQRT((1-S102)*($G$9-$E$9)*($G$9-$F$9))))</f>
        <v>0.949908636840338</v>
      </c>
      <c r="F102" s="51" t="n">
        <f aca="false">1+IF($G$10=$E$10,$F$10,IF(T102&lt;($F$10-$E$10)/($G$10-$E$10),$E$10+SQRT(T102*($G$10-$E$10)*($F$10-$E$10)),$G$10-SQRT((1-T102)*($G$10-$E$10)*($G$10-$F$10))))</f>
        <v>1.04515266757533</v>
      </c>
      <c r="G102" s="52" t="n">
        <f aca="false">IF($G$11=$E$11,$F$11,IF(U102&lt;($F$11-$E$11)/($G$11-$E$11),$E$11+SQRT(U102*($G$11-$E$11)*($F$11-$E$11)),$G$11-SQRT((1-U102)*($G$11-$E$11)*($G$11-$F$11))))</f>
        <v>0.0991225232263344</v>
      </c>
      <c r="H102" s="53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-2090305335.15067</v>
      </c>
      <c r="I102" s="53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-8067789.80487639</v>
      </c>
      <c r="J102" s="53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271043345.09406</v>
      </c>
      <c r="K102" s="53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602412113.371762</v>
      </c>
      <c r="L102" s="53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727173591.529796</v>
      </c>
      <c r="M102" s="53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901657974.084267</v>
      </c>
      <c r="N102" s="53" t="n">
        <f aca="false">IF(COUNT('Business Case'!B11:G11)=0,"",H102+NPV(G102,I102:M102))</f>
        <v>-359244652.689882</v>
      </c>
      <c r="P102" s="54" t="n">
        <f aca="true">RAND()</f>
        <v>0.702266274767911</v>
      </c>
      <c r="Q102" s="54" t="n">
        <f aca="true">RAND()</f>
        <v>0.343807635616799</v>
      </c>
      <c r="R102" s="54" t="n">
        <f aca="true">RAND()</f>
        <v>0.445565229358964</v>
      </c>
      <c r="S102" s="54" t="n">
        <f aca="true">RAND()</f>
        <v>0.0996348812504289</v>
      </c>
      <c r="T102" s="54" t="n">
        <f aca="true">RAND()</f>
        <v>0.440500938646644</v>
      </c>
      <c r="U102" s="54" t="n">
        <f aca="true">RAND()</f>
        <v>0.3656708945417</v>
      </c>
    </row>
    <row r="103" customFormat="false" ht="15" hidden="false" customHeight="false" outlineLevel="0" collapsed="false">
      <c r="A103" s="50" t="n">
        <v>23</v>
      </c>
      <c r="B103" s="51" t="n">
        <f aca="false">1+IF($G$6=$E$6,$F$6,IF(P103&lt;($F$6-$E$6)/($G$6-$E$6),$E$6+SQRT(P103*($G$6-$E$6)*($F$6-$E$6)),$G$6-SQRT((1-P103)*($G$6-$E$6)*($G$6-$F$6))))</f>
        <v>0.919027628092814</v>
      </c>
      <c r="C103" s="51" t="n">
        <f aca="false">1+IF($G$7=$E$7,$F$7,IF(Q103&lt;($F$7-$E$7)/($G$7-$E$7),$E$7+SQRT(Q103*($G$7-$E$7)*($F$7-$E$7)),$G$7-SQRT((1-Q103)*($G$7-$E$7)*($G$7-$F$7))))</f>
        <v>0.990235353850457</v>
      </c>
      <c r="D103" s="51" t="n">
        <f aca="false">1+IF($G$8=$E$8,$F$8,IF(R103&lt;($F$8-$E$8)/($G$8-$E$8),$E$8+SQRT(R103*($G$8-$E$8)*($F$8-$E$8)),$G$8-SQRT((1-R103)*($G$8-$E$8)*($G$8-$F$8))))</f>
        <v>1.01591108710511</v>
      </c>
      <c r="E103" s="51" t="n">
        <f aca="false">1+IF($G$9=$E$9,$F$9,IF(S103&lt;($F$9-$E$9)/($G$9-$E$9),$E$9+SQRT(S103*($G$9-$E$9)*($F$9-$E$9)),$G$9-SQRT((1-S103)*($G$9-$E$9)*($G$9-$F$9))))</f>
        <v>1.10804948252085</v>
      </c>
      <c r="F103" s="51" t="n">
        <f aca="false">1+IF($G$10=$E$10,$F$10,IF(T103&lt;($F$10-$E$10)/($G$10-$E$10),$E$10+SQRT(T103*($G$10-$E$10)*($F$10-$E$10)),$G$10-SQRT((1-T103)*($G$10-$E$10)*($G$10-$F$10))))</f>
        <v>1.16622946142267</v>
      </c>
      <c r="G103" s="52" t="n">
        <f aca="false">IF($G$11=$E$11,$F$11,IF(U103&lt;($F$11-$E$11)/($G$11-$E$11),$E$11+SQRT(U103*($G$11-$E$11)*($F$11-$E$11)),$G$11-SQRT((1-U103)*($G$11-$E$11)*($G$11-$F$11))))</f>
        <v>0.104482182420203</v>
      </c>
      <c r="H103" s="53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-2332458922.84533</v>
      </c>
      <c r="I103" s="53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-90952252.7305284</v>
      </c>
      <c r="J103" s="53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139460258.234062</v>
      </c>
      <c r="K103" s="53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428184242.269786</v>
      </c>
      <c r="L103" s="53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536439866.683574</v>
      </c>
      <c r="M103" s="53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709422864.190993</v>
      </c>
      <c r="N103" s="53" t="n">
        <f aca="false">IF(COUNT('Business Case'!B11:G11)=0,"",H103+NPV(G103,I103:M103))</f>
        <v>-1190569772.13508</v>
      </c>
      <c r="P103" s="54" t="n">
        <f aca="true">RAND()</f>
        <v>0.0241367087225638</v>
      </c>
      <c r="Q103" s="54" t="n">
        <f aca="true">RAND()</f>
        <v>0.623974523145925</v>
      </c>
      <c r="R103" s="54" t="n">
        <f aca="true">RAND()</f>
        <v>0.528603648543742</v>
      </c>
      <c r="S103" s="54" t="n">
        <f aca="true">RAND()</f>
        <v>0.953070775552847</v>
      </c>
      <c r="T103" s="54" t="n">
        <f aca="true">RAND()</f>
        <v>0.906433291552844</v>
      </c>
      <c r="U103" s="54" t="n">
        <f aca="true">RAND()</f>
        <v>0.565893990642807</v>
      </c>
    </row>
    <row r="104" customFormat="false" ht="15" hidden="false" customHeight="false" outlineLevel="0" collapsed="false">
      <c r="A104" s="50" t="n">
        <v>24</v>
      </c>
      <c r="B104" s="51" t="n">
        <f aca="false">1+IF($G$6=$E$6,$F$6,IF(P104&lt;($F$6-$E$6)/($G$6-$E$6),$E$6+SQRT(P104*($G$6-$E$6)*($F$6-$E$6)),$G$6-SQRT((1-P104)*($G$6-$E$6)*($G$6-$F$6))))</f>
        <v>1.00052367821901</v>
      </c>
      <c r="C104" s="51" t="n">
        <f aca="false">1+IF($G$7=$E$7,$F$7,IF(Q104&lt;($F$7-$E$7)/($G$7-$E$7),$E$7+SQRT(Q104*($G$7-$E$7)*($F$7-$E$7)),$G$7-SQRT((1-Q104)*($G$7-$E$7)*($G$7-$F$7))))</f>
        <v>1.09667752635886</v>
      </c>
      <c r="D104" s="51" t="n">
        <f aca="false">1+IF($G$8=$E$8,$F$8,IF(R104&lt;($F$8-$E$8)/($G$8-$E$8),$E$8+SQRT(R104*($G$8-$E$8)*($F$8-$E$8)),$G$8-SQRT((1-R104)*($G$8-$E$8)*($G$8-$F$8))))</f>
        <v>1.05975896663745</v>
      </c>
      <c r="E104" s="51" t="n">
        <f aca="false">1+IF($G$9=$E$9,$F$9,IF(S104&lt;($F$9-$E$9)/($G$9-$E$9),$E$9+SQRT(S104*($G$9-$E$9)*($F$9-$E$9)),$G$9-SQRT((1-S104)*($G$9-$E$9)*($G$9-$F$9))))</f>
        <v>1.01243075216375</v>
      </c>
      <c r="F104" s="51" t="n">
        <f aca="false">1+IF($G$10=$E$10,$F$10,IF(T104&lt;($F$10-$E$10)/($G$10-$E$10),$E$10+SQRT(T104*($G$10-$E$10)*($F$10-$E$10)),$G$10-SQRT((1-T104)*($G$10-$E$10)*($G$10-$F$10))))</f>
        <v>1.03748537947204</v>
      </c>
      <c r="G104" s="52" t="n">
        <f aca="false">IF($G$11=$E$11,$F$11,IF(U104&lt;($F$11-$E$11)/($G$11-$E$11),$E$11+SQRT(U104*($G$11-$E$11)*($F$11-$E$11)),$G$11-SQRT((1-U104)*($G$11-$E$11)*($G$11-$F$11))))</f>
        <v>0.0870069098836356</v>
      </c>
      <c r="H104" s="53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-2074970758.94408</v>
      </c>
      <c r="I104" s="53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-829982.989606187</v>
      </c>
      <c r="J104" s="53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302937759.922098</v>
      </c>
      <c r="K104" s="53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658579771.807405</v>
      </c>
      <c r="L104" s="53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797756709.442253</v>
      </c>
      <c r="M104" s="53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1006322337.76246</v>
      </c>
      <c r="N104" s="53" t="n">
        <f aca="false">IF(COUNT('Business Case'!B11:G11)=0,"",H104+NPV(G104,I104:M104))</f>
        <v>-72098628.1982126</v>
      </c>
      <c r="P104" s="54" t="n">
        <f aca="true">RAND()</f>
        <v>0.67361247773652</v>
      </c>
      <c r="Q104" s="54" t="n">
        <f aca="true">RAND()</f>
        <v>0.957877241552442</v>
      </c>
      <c r="R104" s="54" t="n">
        <f aca="true">RAND()</f>
        <v>0.892043948927626</v>
      </c>
      <c r="S104" s="54" t="n">
        <f aca="true">RAND()</f>
        <v>0.495325387993811</v>
      </c>
      <c r="T104" s="54" t="n">
        <f aca="true">RAND()</f>
        <v>0.397833814158108</v>
      </c>
      <c r="U104" s="54" t="n">
        <f aca="true">RAND()</f>
        <v>0.0490967861173904</v>
      </c>
    </row>
    <row r="105" customFormat="false" ht="15" hidden="false" customHeight="false" outlineLevel="0" collapsed="false">
      <c r="A105" s="50" t="n">
        <v>25</v>
      </c>
      <c r="B105" s="51" t="n">
        <f aca="false">1+IF($G$6=$E$6,$F$6,IF(P105&lt;($F$6-$E$6)/($G$6-$E$6),$E$6+SQRT(P105*($G$6-$E$6)*($F$6-$E$6)),$G$6-SQRT((1-P105)*($G$6-$E$6)*($G$6-$F$6))))</f>
        <v>0.928932346112029</v>
      </c>
      <c r="C105" s="51" t="n">
        <f aca="false">1+IF($G$7=$E$7,$F$7,IF(Q105&lt;($F$7-$E$7)/($G$7-$E$7),$E$7+SQRT(Q105*($G$7-$E$7)*($F$7-$E$7)),$G$7-SQRT((1-Q105)*($G$7-$E$7)*($G$7-$F$7))))</f>
        <v>0.990278131836508</v>
      </c>
      <c r="D105" s="51" t="n">
        <f aca="false">1+IF($G$8=$E$8,$F$8,IF(R105&lt;($F$8-$E$8)/($G$8-$E$8),$E$8+SQRT(R105*($G$8-$E$8)*($F$8-$E$8)),$G$8-SQRT((1-R105)*($G$8-$E$8)*($G$8-$F$8))))</f>
        <v>0.987635171186884</v>
      </c>
      <c r="E105" s="51" t="n">
        <f aca="false">1+IF($G$9=$E$9,$F$9,IF(S105&lt;($F$9-$E$9)/($G$9-$E$9),$E$9+SQRT(S105*($G$9-$E$9)*($F$9-$E$9)),$G$9-SQRT((1-S105)*($G$9-$E$9)*($G$9-$F$9))))</f>
        <v>0.9956020190121</v>
      </c>
      <c r="F105" s="51" t="n">
        <f aca="false">1+IF($G$10=$E$10,$F$10,IF(T105&lt;($F$10-$E$10)/($G$10-$E$10),$E$10+SQRT(T105*($G$10-$E$10)*($F$10-$E$10)),$G$10-SQRT((1-T105)*($G$10-$E$10)*($G$10-$F$10))))</f>
        <v>1.20422047916174</v>
      </c>
      <c r="G105" s="52" t="n">
        <f aca="false">IF($G$11=$E$11,$F$11,IF(U105&lt;($F$11-$E$11)/($G$11-$E$11),$E$11+SQRT(U105*($G$11-$E$11)*($F$11-$E$11)),$G$11-SQRT((1-U105)*($G$11-$E$11)*($G$11-$F$11))))</f>
        <v>0.109029835044429</v>
      </c>
      <c r="H105" s="53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-2408440958.32348</v>
      </c>
      <c r="I105" s="53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-56893788.6592034</v>
      </c>
      <c r="J105" s="53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195896765.671295</v>
      </c>
      <c r="K105" s="53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508898343.95988</v>
      </c>
      <c r="L105" s="53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624953654.050051</v>
      </c>
      <c r="M105" s="53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799808509.940078</v>
      </c>
      <c r="N105" s="53" t="n">
        <f aca="false">IF(COUNT('Business Case'!B11:G11)=0,"",H105+NPV(G105,I105:M105))</f>
        <v>-1037543618.15618</v>
      </c>
      <c r="P105" s="54" t="n">
        <f aca="true">RAND()</f>
        <v>0.0558053767697496</v>
      </c>
      <c r="Q105" s="54" t="n">
        <f aca="true">RAND()</f>
        <v>0.624158472759208</v>
      </c>
      <c r="R105" s="54" t="n">
        <f aca="true">RAND()</f>
        <v>0.188854148035477</v>
      </c>
      <c r="S105" s="54" t="n">
        <f aca="true">RAND()</f>
        <v>0.365589841567597</v>
      </c>
      <c r="T105" s="54" t="n">
        <f aca="true">RAND()</f>
        <v>0.972056472957592</v>
      </c>
      <c r="U105" s="54" t="n">
        <f aca="true">RAND()</f>
        <v>0.706834787824097</v>
      </c>
    </row>
    <row r="106" customFormat="false" ht="15" hidden="false" customHeight="false" outlineLevel="0" collapsed="false">
      <c r="A106" s="50" t="n">
        <v>26</v>
      </c>
      <c r="B106" s="51" t="n">
        <f aca="false">1+IF($G$6=$E$6,$F$6,IF(P106&lt;($F$6-$E$6)/($G$6-$E$6),$E$6+SQRT(P106*($G$6-$E$6)*($F$6-$E$6)),$G$6-SQRT((1-P106)*($G$6-$E$6)*($G$6-$F$6))))</f>
        <v>1.00054323639986</v>
      </c>
      <c r="C106" s="51" t="n">
        <f aca="false">1+IF($G$7=$E$7,$F$7,IF(Q106&lt;($F$7-$E$7)/($G$7-$E$7),$E$7+SQRT(Q106*($G$7-$E$7)*($F$7-$E$7)),$G$7-SQRT((1-Q106)*($G$7-$E$7)*($G$7-$F$7))))</f>
        <v>0.798740453767562</v>
      </c>
      <c r="D106" s="51" t="n">
        <f aca="false">1+IF($G$8=$E$8,$F$8,IF(R106&lt;($F$8-$E$8)/($G$8-$E$8),$E$8+SQRT(R106*($G$8-$E$8)*($F$8-$E$8)),$G$8-SQRT((1-R106)*($G$8-$E$8)*($G$8-$F$8))))</f>
        <v>0.992165290287887</v>
      </c>
      <c r="E106" s="51" t="n">
        <f aca="false">1+IF($G$9=$E$9,$F$9,IF(S106&lt;($F$9-$E$9)/($G$9-$E$9),$E$9+SQRT(S106*($G$9-$E$9)*($F$9-$E$9)),$G$9-SQRT((1-S106)*($G$9-$E$9)*($G$9-$F$9))))</f>
        <v>0.988252514119554</v>
      </c>
      <c r="F106" s="51" t="n">
        <f aca="false">1+IF($G$10=$E$10,$F$10,IF(T106&lt;($F$10-$E$10)/($G$10-$E$10),$E$10+SQRT(T106*($G$10-$E$10)*($F$10-$E$10)),$G$10-SQRT((1-T106)*($G$10-$E$10)*($G$10-$F$10))))</f>
        <v>1.21339929941703</v>
      </c>
      <c r="G106" s="52" t="n">
        <f aca="false">IF($G$11=$E$11,$F$11,IF(U106&lt;($F$11-$E$11)/($G$11-$E$11),$E$11+SQRT(U106*($G$11-$E$11)*($F$11-$E$11)),$G$11-SQRT((1-U106)*($G$11-$E$11)*($G$11-$F$11))))</f>
        <v>0.116366772188962</v>
      </c>
      <c r="H106" s="53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-2426798598.83406</v>
      </c>
      <c r="I106" s="53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-54404965.0433496</v>
      </c>
      <c r="J106" s="53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194488706.115536</v>
      </c>
      <c r="K106" s="53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504052342.245273</v>
      </c>
      <c r="L106" s="53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614636365.133389</v>
      </c>
      <c r="M106" s="53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766543427.226739</v>
      </c>
      <c r="N106" s="53" t="n">
        <f aca="false">IF(COUNT('Business Case'!B11:G11)=0,"",H106+NPV(G106,I106:M106))</f>
        <v>-1119383866.44314</v>
      </c>
      <c r="P106" s="54" t="n">
        <f aca="true">RAND()</f>
        <v>0.67387047122666</v>
      </c>
      <c r="Q106" s="54" t="n">
        <f aca="true">RAND()</f>
        <v>0.072219831186844</v>
      </c>
      <c r="R106" s="54" t="n">
        <f aca="true">RAND()</f>
        <v>0.237054894008232</v>
      </c>
      <c r="S106" s="54" t="n">
        <f aca="true">RAND()</f>
        <v>0.311540249936884</v>
      </c>
      <c r="T106" s="54" t="n">
        <f aca="true">RAND()</f>
        <v>0.982138516224476</v>
      </c>
      <c r="U106" s="54" t="n">
        <f aca="true">RAND()</f>
        <v>0.876090066301564</v>
      </c>
    </row>
    <row r="107" customFormat="false" ht="15" hidden="false" customHeight="false" outlineLevel="0" collapsed="false">
      <c r="A107" s="50" t="n">
        <v>27</v>
      </c>
      <c r="B107" s="51" t="n">
        <f aca="false">1+IF($G$6=$E$6,$F$6,IF(P107&lt;($F$6-$E$6)/($G$6-$E$6),$E$6+SQRT(P107*($G$6-$E$6)*($F$6-$E$6)),$G$6-SQRT((1-P107)*($G$6-$E$6)*($G$6-$F$6))))</f>
        <v>0.950908161535222</v>
      </c>
      <c r="C107" s="51" t="n">
        <f aca="false">1+IF($G$7=$E$7,$F$7,IF(Q107&lt;($F$7-$E$7)/($G$7-$E$7),$E$7+SQRT(Q107*($G$7-$E$7)*($F$7-$E$7)),$G$7-SQRT((1-Q107)*($G$7-$E$7)*($G$7-$F$7))))</f>
        <v>0.796203630859015</v>
      </c>
      <c r="D107" s="51" t="n">
        <f aca="false">1+IF($G$8=$E$8,$F$8,IF(R107&lt;($F$8-$E$8)/($G$8-$E$8),$E$8+SQRT(R107*($G$8-$E$8)*($F$8-$E$8)),$G$8-SQRT((1-R107)*($G$8-$E$8)*($G$8-$F$8))))</f>
        <v>1.00444491613565</v>
      </c>
      <c r="E107" s="51" t="n">
        <f aca="false">1+IF($G$9=$E$9,$F$9,IF(S107&lt;($F$9-$E$9)/($G$9-$E$9),$E$9+SQRT(S107*($G$9-$E$9)*($F$9-$E$9)),$G$9-SQRT((1-S107)*($G$9-$E$9)*($G$9-$F$9))))</f>
        <v>1.02594460160492</v>
      </c>
      <c r="F107" s="51" t="n">
        <f aca="false">1+IF($G$10=$E$10,$F$10,IF(T107&lt;($F$10-$E$10)/($G$10-$E$10),$E$10+SQRT(T107*($G$10-$E$10)*($F$10-$E$10)),$G$10-SQRT((1-T107)*($G$10-$E$10)*($G$10-$F$10))))</f>
        <v>1.12346409036606</v>
      </c>
      <c r="G107" s="52" t="n">
        <f aca="false">IF($G$11=$E$11,$F$11,IF(U107&lt;($F$11-$E$11)/($G$11-$E$11),$E$11+SQRT(U107*($G$11-$E$11)*($F$11-$E$11)),$G$11-SQRT((1-U107)*($G$11-$E$11)*($G$11-$F$11))))</f>
        <v>0.113536001836685</v>
      </c>
      <c r="H107" s="53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-2246928180.73213</v>
      </c>
      <c r="I107" s="53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-86755978.6728446</v>
      </c>
      <c r="J107" s="53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123972694.99725</v>
      </c>
      <c r="K107" s="53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390874573.185649</v>
      </c>
      <c r="L107" s="53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487283411.714423</v>
      </c>
      <c r="M107" s="53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631196121.894174</v>
      </c>
      <c r="N107" s="53" t="n">
        <f aca="false">IF(COUNT('Business Case'!B11:G11)=0,"",H107+NPV(G107,I107:M107))</f>
        <v>-1256162137.30317</v>
      </c>
      <c r="P107" s="54" t="n">
        <f aca="true">RAND()</f>
        <v>0.172776060726415</v>
      </c>
      <c r="Q107" s="54" t="n">
        <f aca="true">RAND()</f>
        <v>0.0685565821515384</v>
      </c>
      <c r="R107" s="54" t="n">
        <f aca="true">RAND()</f>
        <v>0.391281729845131</v>
      </c>
      <c r="S107" s="54" t="n">
        <f aca="true">RAND()</f>
        <v>0.589606883440996</v>
      </c>
      <c r="T107" s="54" t="n">
        <f aca="true">RAND()</f>
        <v>0.786515514308167</v>
      </c>
      <c r="U107" s="54" t="n">
        <f aca="true">RAND()</f>
        <v>0.819291176318908</v>
      </c>
    </row>
    <row r="108" customFormat="false" ht="15" hidden="false" customHeight="false" outlineLevel="0" collapsed="false">
      <c r="A108" s="50" t="n">
        <v>28</v>
      </c>
      <c r="B108" s="51" t="n">
        <f aca="false">1+IF($G$6=$E$6,$F$6,IF(P108&lt;($F$6-$E$6)/($G$6-$E$6),$E$6+SQRT(P108*($G$6-$E$6)*($F$6-$E$6)),$G$6-SQRT((1-P108)*($G$6-$E$6)*($G$6-$F$6))))</f>
        <v>1.02890308771857</v>
      </c>
      <c r="C108" s="51" t="n">
        <f aca="false">1+IF($G$7=$E$7,$F$7,IF(Q108&lt;($F$7-$E$7)/($G$7-$E$7),$E$7+SQRT(Q108*($G$7-$E$7)*($F$7-$E$7)),$G$7-SQRT((1-Q108)*($G$7-$E$7)*($G$7-$F$7))))</f>
        <v>1.11563963618759</v>
      </c>
      <c r="D108" s="51" t="n">
        <f aca="false">1+IF($G$8=$E$8,$F$8,IF(R108&lt;($F$8-$E$8)/($G$8-$E$8),$E$8+SQRT(R108*($G$8-$E$8)*($F$8-$E$8)),$G$8-SQRT((1-R108)*($G$8-$E$8)*($G$8-$F$8))))</f>
        <v>1.03628047646134</v>
      </c>
      <c r="E108" s="51" t="n">
        <f aca="false">1+IF($G$9=$E$9,$F$9,IF(S108&lt;($F$9-$E$9)/($G$9-$E$9),$E$9+SQRT(S108*($G$9-$E$9)*($F$9-$E$9)),$G$9-SQRT((1-S108)*($G$9-$E$9)*($G$9-$F$9))))</f>
        <v>0.951258689582593</v>
      </c>
      <c r="F108" s="51" t="n">
        <f aca="false">1+IF($G$10=$E$10,$F$10,IF(T108&lt;($F$10-$E$10)/($G$10-$E$10),$E$10+SQRT(T108*($G$10-$E$10)*($F$10-$E$10)),$G$10-SQRT((1-T108)*($G$10-$E$10)*($G$10-$F$10))))</f>
        <v>1.07838497063226</v>
      </c>
      <c r="G108" s="52" t="n">
        <f aca="false">IF($G$11=$E$11,$F$11,IF(U108&lt;($F$11-$E$11)/($G$11-$E$11),$E$11+SQRT(U108*($G$11-$E$11)*($F$11-$E$11)),$G$11-SQRT((1-U108)*($G$11-$E$11)*($G$11-$F$11))))</f>
        <v>0.106228547497767</v>
      </c>
      <c r="H108" s="53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-2156769941.26451</v>
      </c>
      <c r="I108" s="53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45747988.0713644</v>
      </c>
      <c r="J108" s="53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394109820.709608</v>
      </c>
      <c r="K108" s="53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796390901.879463</v>
      </c>
      <c r="L108" s="53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952182420.65555</v>
      </c>
      <c r="M108" s="53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1170372414.08725</v>
      </c>
      <c r="N108" s="53" t="n">
        <f aca="false">IF(COUNT('Business Case'!B11:G11)=0,"",H108+NPV(G108,I108:M108))</f>
        <v>137237822.06775</v>
      </c>
      <c r="P108" s="54" t="n">
        <f aca="true">RAND()</f>
        <v>0.940656038958632</v>
      </c>
      <c r="Q108" s="54" t="n">
        <f aca="true">RAND()</f>
        <v>0.982509117017467</v>
      </c>
      <c r="R108" s="54" t="n">
        <f aca="true">RAND()</f>
        <v>0.729321488000438</v>
      </c>
      <c r="S108" s="54" t="n">
        <f aca="true">RAND()</f>
        <v>0.105098130308985</v>
      </c>
      <c r="T108" s="54" t="n">
        <f aca="true">RAND()</f>
        <v>0.607310422601441</v>
      </c>
      <c r="U108" s="54" t="n">
        <f aca="true">RAND()</f>
        <v>0.623278697289385</v>
      </c>
    </row>
    <row r="109" customFormat="false" ht="15" hidden="false" customHeight="false" outlineLevel="0" collapsed="false">
      <c r="A109" s="50" t="n">
        <v>29</v>
      </c>
      <c r="B109" s="51" t="n">
        <f aca="false">1+IF($G$6=$E$6,$F$6,IF(P109&lt;($F$6-$E$6)/($G$6-$E$6),$E$6+SQRT(P109*($G$6-$E$6)*($F$6-$E$6)),$G$6-SQRT((1-P109)*($G$6-$E$6)*($G$6-$F$6))))</f>
        <v>0.924011805170342</v>
      </c>
      <c r="C109" s="51" t="n">
        <f aca="false">1+IF($G$7=$E$7,$F$7,IF(Q109&lt;($F$7-$E$7)/($G$7-$E$7),$E$7+SQRT(Q109*($G$7-$E$7)*($F$7-$E$7)),$G$7-SQRT((1-Q109)*($G$7-$E$7)*($G$7-$F$7))))</f>
        <v>0.862052782740299</v>
      </c>
      <c r="D109" s="51" t="n">
        <f aca="false">1+IF($G$8=$E$8,$F$8,IF(R109&lt;($F$8-$E$8)/($G$8-$E$8),$E$8+SQRT(R109*($G$8-$E$8)*($F$8-$E$8)),$G$8-SQRT((1-R109)*($G$8-$E$8)*($G$8-$F$8))))</f>
        <v>1.01080227493324</v>
      </c>
      <c r="E109" s="51" t="n">
        <f aca="false">1+IF($G$9=$E$9,$F$9,IF(S109&lt;($F$9-$E$9)/($G$9-$E$9),$E$9+SQRT(S109*($G$9-$E$9)*($F$9-$E$9)),$G$9-SQRT((1-S109)*($G$9-$E$9)*($G$9-$F$9))))</f>
        <v>1.06464160548206</v>
      </c>
      <c r="F109" s="51" t="n">
        <f aca="false">1+IF($G$10=$E$10,$F$10,IF(T109&lt;($F$10-$E$10)/($G$10-$E$10),$E$10+SQRT(T109*($G$10-$E$10)*($F$10-$E$10)),$G$10-SQRT((1-T109)*($G$10-$E$10)*($G$10-$F$10))))</f>
        <v>1.03229755534505</v>
      </c>
      <c r="G109" s="52" t="n">
        <f aca="false">IF($G$11=$E$11,$F$11,IF(U109&lt;($F$11-$E$11)/($G$11-$E$11),$E$11+SQRT(U109*($G$11-$E$11)*($F$11-$E$11)),$G$11-SQRT((1-U109)*($G$11-$E$11)*($G$11-$F$11))))</f>
        <v>0.1010150887512</v>
      </c>
      <c r="H109" s="53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-2064595110.69009</v>
      </c>
      <c r="I109" s="53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-89554610.6052811</v>
      </c>
      <c r="J109" s="53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116805564.404286</v>
      </c>
      <c r="K109" s="53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374780617.181106</v>
      </c>
      <c r="L109" s="53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471096004.704824</v>
      </c>
      <c r="M109" s="53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622503648.567735</v>
      </c>
      <c r="N109" s="53" t="n">
        <f aca="false">IF(COUNT('Business Case'!B11:G11)=0,"",H109+NPV(G109,I109:M109))</f>
        <v>-1063450386.7338</v>
      </c>
      <c r="P109" s="54" t="n">
        <f aca="true">RAND()</f>
        <v>0.0384377858358981</v>
      </c>
      <c r="Q109" s="54" t="n">
        <f aca="true">RAND()</f>
        <v>0.194526699213885</v>
      </c>
      <c r="R109" s="54" t="n">
        <f aca="true">RAND()</f>
        <v>0.469584389527627</v>
      </c>
      <c r="S109" s="54" t="n">
        <f aca="true">RAND()</f>
        <v>0.805705186275215</v>
      </c>
      <c r="T109" s="54" t="n">
        <f aca="true">RAND()</f>
        <v>0.368075274550096</v>
      </c>
      <c r="U109" s="54" t="n">
        <f aca="true">RAND()</f>
        <v>0.439916613266137</v>
      </c>
    </row>
    <row r="110" customFormat="false" ht="15" hidden="false" customHeight="false" outlineLevel="0" collapsed="false">
      <c r="A110" s="50" t="n">
        <v>30</v>
      </c>
      <c r="B110" s="51" t="n">
        <f aca="false">1+IF($G$6=$E$6,$F$6,IF(P110&lt;($F$6-$E$6)/($G$6-$E$6),$E$6+SQRT(P110*($G$6-$E$6)*($F$6-$E$6)),$G$6-SQRT((1-P110)*($G$6-$E$6)*($G$6-$F$6))))</f>
        <v>0.965401684889064</v>
      </c>
      <c r="C110" s="51" t="n">
        <f aca="false">1+IF($G$7=$E$7,$F$7,IF(Q110&lt;($F$7-$E$7)/($G$7-$E$7),$E$7+SQRT(Q110*($G$7-$E$7)*($F$7-$E$7)),$G$7-SQRT((1-Q110)*($G$7-$E$7)*($G$7-$F$7))))</f>
        <v>0.98273714295858</v>
      </c>
      <c r="D110" s="51" t="n">
        <f aca="false">1+IF($G$8=$E$8,$F$8,IF(R110&lt;($F$8-$E$8)/($G$8-$E$8),$E$8+SQRT(R110*($G$8-$E$8)*($F$8-$E$8)),$G$8-SQRT((1-R110)*($G$8-$E$8)*($G$8-$F$8))))</f>
        <v>1.0292926075066</v>
      </c>
      <c r="E110" s="51" t="n">
        <f aca="false">1+IF($G$9=$E$9,$F$9,IF(S110&lt;($F$9-$E$9)/($G$9-$E$9),$E$9+SQRT(S110*($G$9-$E$9)*($F$9-$E$9)),$G$9-SQRT((1-S110)*($G$9-$E$9)*($G$9-$F$9))))</f>
        <v>1.06366258536852</v>
      </c>
      <c r="F110" s="51" t="n">
        <f aca="false">1+IF($G$10=$E$10,$F$10,IF(T110&lt;($F$10-$E$10)/($G$10-$E$10),$E$10+SQRT(T110*($G$10-$E$10)*($F$10-$E$10)),$G$10-SQRT((1-T110)*($G$10-$E$10)*($G$10-$F$10))))</f>
        <v>1.02936774725127</v>
      </c>
      <c r="G110" s="52" t="n">
        <f aca="false">IF($G$11=$E$11,$F$11,IF(U110&lt;($F$11-$E$11)/($G$11-$E$11),$E$11+SQRT(U110*($G$11-$E$11)*($F$11-$E$11)),$G$11-SQRT((1-U110)*($G$11-$E$11)*($G$11-$F$11))))</f>
        <v>0.0984790323412496</v>
      </c>
      <c r="H110" s="53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-2058735494.50255</v>
      </c>
      <c r="I110" s="53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-44108308.9629318</v>
      </c>
      <c r="J110" s="53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215155455.531683</v>
      </c>
      <c r="K110" s="53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525887607.388862</v>
      </c>
      <c r="L110" s="53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645097181.615744</v>
      </c>
      <c r="M110" s="53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825432938.290136</v>
      </c>
      <c r="N110" s="53" t="n">
        <f aca="false">IF(COUNT('Business Case'!B11:G11)=0,"",H110+NPV(G110,I110:M110))</f>
        <v>-564689230.064668</v>
      </c>
      <c r="P110" s="54" t="n">
        <f aca="true">RAND()</f>
        <v>0.28515869242189</v>
      </c>
      <c r="Q110" s="54" t="n">
        <f aca="true">RAND()</f>
        <v>0.592150311173188</v>
      </c>
      <c r="R110" s="54" t="n">
        <f aca="true">RAND()</f>
        <v>0.666697643118997</v>
      </c>
      <c r="S110" s="54" t="n">
        <f aca="true">RAND()</f>
        <v>0.801222688926723</v>
      </c>
      <c r="T110" s="54" t="n">
        <f aca="true">RAND()</f>
        <v>0.350952120626963</v>
      </c>
      <c r="U110" s="54" t="n">
        <f aca="true">RAND()</f>
        <v>0.34147463626895</v>
      </c>
    </row>
    <row r="111" customFormat="false" ht="15" hidden="false" customHeight="false" outlineLevel="0" collapsed="false">
      <c r="A111" s="50" t="n">
        <v>31</v>
      </c>
      <c r="B111" s="51" t="n">
        <f aca="false">1+IF($G$6=$E$6,$F$6,IF(P111&lt;($F$6-$E$6)/($G$6-$E$6),$E$6+SQRT(P111*($G$6-$E$6)*($F$6-$E$6)),$G$6-SQRT((1-P111)*($G$6-$E$6)*($G$6-$F$6))))</f>
        <v>0.993278437990171</v>
      </c>
      <c r="C111" s="51" t="n">
        <f aca="false">1+IF($G$7=$E$7,$F$7,IF(Q111&lt;($F$7-$E$7)/($G$7-$E$7),$E$7+SQRT(Q111*($G$7-$E$7)*($F$7-$E$7)),$G$7-SQRT((1-Q111)*($G$7-$E$7)*($G$7-$F$7))))</f>
        <v>0.969141945203235</v>
      </c>
      <c r="D111" s="51" t="n">
        <f aca="false">1+IF($G$8=$E$8,$F$8,IF(R111&lt;($F$8-$E$8)/($G$8-$E$8),$E$8+SQRT(R111*($G$8-$E$8)*($F$8-$E$8)),$G$8-SQRT((1-R111)*($G$8-$E$8)*($G$8-$F$8))))</f>
        <v>1.03133815867427</v>
      </c>
      <c r="E111" s="51" t="n">
        <f aca="false">1+IF($G$9=$E$9,$F$9,IF(S111&lt;($F$9-$E$9)/($G$9-$E$9),$E$9+SQRT(S111*($G$9-$E$9)*($F$9-$E$9)),$G$9-SQRT((1-S111)*($G$9-$E$9)*($G$9-$F$9))))</f>
        <v>0.999735678599777</v>
      </c>
      <c r="F111" s="51" t="n">
        <f aca="false">1+IF($G$10=$E$10,$F$10,IF(T111&lt;($F$10-$E$10)/($G$10-$E$10),$E$10+SQRT(T111*($G$10-$E$10)*($F$10-$E$10)),$G$10-SQRT((1-T111)*($G$10-$E$10)*($G$10-$F$10))))</f>
        <v>1.05520157849122</v>
      </c>
      <c r="G111" s="52" t="n">
        <f aca="false">IF($G$11=$E$11,$F$11,IF(U111&lt;($F$11-$E$11)/($G$11-$E$11),$E$11+SQRT(U111*($G$11-$E$11)*($F$11-$E$11)),$G$11-SQRT((1-U111)*($G$11-$E$11)*($G$11-$F$11))))</f>
        <v>0.101236099964017</v>
      </c>
      <c r="H111" s="53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-2110403156.98244</v>
      </c>
      <c r="I111" s="53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-20794451.4129667</v>
      </c>
      <c r="J111" s="53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255996293.543629</v>
      </c>
      <c r="K111" s="53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585547117.424786</v>
      </c>
      <c r="L111" s="53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711079115.759352</v>
      </c>
      <c r="M111" s="53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894055407.512376</v>
      </c>
      <c r="N111" s="53" t="n">
        <f aca="false">IF(COUNT('Business Case'!B11:G11)=0,"",H111+NPV(G111,I111:M111))</f>
        <v>-444213942.734855</v>
      </c>
      <c r="P111" s="54" t="n">
        <f aca="true">RAND()</f>
        <v>0.580057799592409</v>
      </c>
      <c r="Q111" s="54" t="n">
        <f aca="true">RAND()</f>
        <v>0.536573234576156</v>
      </c>
      <c r="R111" s="54" t="n">
        <f aca="true">RAND()</f>
        <v>0.685703436383977</v>
      </c>
      <c r="S111" s="54" t="n">
        <f aca="true">RAND()</f>
        <v>0.397888223430317</v>
      </c>
      <c r="T111" s="54" t="n">
        <f aca="true">RAND()</f>
        <v>0.494047666369168</v>
      </c>
      <c r="U111" s="54" t="n">
        <f aca="true">RAND()</f>
        <v>0.448425369813313</v>
      </c>
    </row>
    <row r="112" customFormat="false" ht="15" hidden="false" customHeight="false" outlineLevel="0" collapsed="false">
      <c r="A112" s="50" t="n">
        <v>32</v>
      </c>
      <c r="B112" s="51" t="n">
        <f aca="false">1+IF($G$6=$E$6,$F$6,IF(P112&lt;($F$6-$E$6)/($G$6-$E$6),$E$6+SQRT(P112*($G$6-$E$6)*($F$6-$E$6)),$G$6-SQRT((1-P112)*($G$6-$E$6)*($G$6-$F$6))))</f>
        <v>0.960114105872858</v>
      </c>
      <c r="C112" s="51" t="n">
        <f aca="false">1+IF($G$7=$E$7,$F$7,IF(Q112&lt;($F$7-$E$7)/($G$7-$E$7),$E$7+SQRT(Q112*($G$7-$E$7)*($F$7-$E$7)),$G$7-SQRT((1-Q112)*($G$7-$E$7)*($G$7-$F$7))))</f>
        <v>0.982765479018206</v>
      </c>
      <c r="D112" s="51" t="n">
        <f aca="false">1+IF($G$8=$E$8,$F$8,IF(R112&lt;($F$8-$E$8)/($G$8-$E$8),$E$8+SQRT(R112*($G$8-$E$8)*($F$8-$E$8)),$G$8-SQRT((1-R112)*($G$8-$E$8)*($G$8-$F$8))))</f>
        <v>0.984465676916063</v>
      </c>
      <c r="E112" s="51" t="n">
        <f aca="false">1+IF($G$9=$E$9,$F$9,IF(S112&lt;($F$9-$E$9)/($G$9-$E$9),$E$9+SQRT(S112*($G$9-$E$9)*($F$9-$E$9)),$G$9-SQRT((1-S112)*($G$9-$E$9)*($G$9-$F$9))))</f>
        <v>0.972633763084224</v>
      </c>
      <c r="F112" s="51" t="n">
        <f aca="false">1+IF($G$10=$E$10,$F$10,IF(T112&lt;($F$10-$E$10)/($G$10-$E$10),$E$10+SQRT(T112*($G$10-$E$10)*($F$10-$E$10)),$G$10-SQRT((1-T112)*($G$10-$E$10)*($G$10-$F$10))))</f>
        <v>0.999754102053249</v>
      </c>
      <c r="G112" s="52" t="n">
        <f aca="false">IF($G$11=$E$11,$F$11,IF(U112&lt;($F$11-$E$11)/($G$11-$E$11),$E$11+SQRT(U112*($G$11-$E$11)*($F$11-$E$11)),$G$11-SQRT((1-U112)*($G$11-$E$11)*($G$11-$F$11))))</f>
        <v>0.0961905909778981</v>
      </c>
      <c r="H112" s="53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-1999508204.1065</v>
      </c>
      <c r="I112" s="53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-9631163.36420365</v>
      </c>
      <c r="J112" s="53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267936117.824481</v>
      </c>
      <c r="K112" s="53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595491104.115829</v>
      </c>
      <c r="L112" s="53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720623206.670048</v>
      </c>
      <c r="M112" s="53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899976421.872334</v>
      </c>
      <c r="N112" s="53" t="n">
        <f aca="false">IF(COUNT('Business Case'!B11:G11)=0,"",H112+NPV(G112,I112:M112))</f>
        <v>-265570954.355368</v>
      </c>
      <c r="P112" s="54" t="n">
        <f aca="true">RAND()</f>
        <v>0.240913714992879</v>
      </c>
      <c r="Q112" s="54" t="n">
        <f aca="true">RAND()</f>
        <v>0.592269008328854</v>
      </c>
      <c r="R112" s="54" t="n">
        <f aca="true">RAND()</f>
        <v>0.158384384704325</v>
      </c>
      <c r="S112" s="54" t="n">
        <f aca="true">RAND()</f>
        <v>0.211026541591007</v>
      </c>
      <c r="T112" s="54" t="n">
        <f aca="true">RAND()</f>
        <v>0.165031378075006</v>
      </c>
      <c r="U112" s="54" t="n">
        <f aca="true">RAND()</f>
        <v>0.262135236213597</v>
      </c>
    </row>
    <row r="113" customFormat="false" ht="15" hidden="false" customHeight="false" outlineLevel="0" collapsed="false">
      <c r="A113" s="50" t="n">
        <v>33</v>
      </c>
      <c r="B113" s="51" t="n">
        <f aca="false">1+IF($G$6=$E$6,$F$6,IF(P113&lt;($F$6-$E$6)/($G$6-$E$6),$E$6+SQRT(P113*($G$6-$E$6)*($F$6-$E$6)),$G$6-SQRT((1-P113)*($G$6-$E$6)*($G$6-$F$6))))</f>
        <v>0.948876485477055</v>
      </c>
      <c r="C113" s="51" t="n">
        <f aca="false">1+IF($G$7=$E$7,$F$7,IF(Q113&lt;($F$7-$E$7)/($G$7-$E$7),$E$7+SQRT(Q113*($G$7-$E$7)*($F$7-$E$7)),$G$7-SQRT((1-Q113)*($G$7-$E$7)*($G$7-$F$7))))</f>
        <v>0.839508409640289</v>
      </c>
      <c r="D113" s="51" t="n">
        <f aca="false">1+IF($G$8=$E$8,$F$8,IF(R113&lt;($F$8-$E$8)/($G$8-$E$8),$E$8+SQRT(R113*($G$8-$E$8)*($F$8-$E$8)),$G$8-SQRT((1-R113)*($G$8-$E$8)*($G$8-$F$8))))</f>
        <v>1.0166928638313</v>
      </c>
      <c r="E113" s="51" t="n">
        <f aca="false">1+IF($G$9=$E$9,$F$9,IF(S113&lt;($F$9-$E$9)/($G$9-$E$9),$E$9+SQRT(S113*($G$9-$E$9)*($F$9-$E$9)),$G$9-SQRT((1-S113)*($G$9-$E$9)*($G$9-$F$9))))</f>
        <v>1.02931784912168</v>
      </c>
      <c r="F113" s="51" t="n">
        <f aca="false">1+IF($G$10=$E$10,$F$10,IF(T113&lt;($F$10-$E$10)/($G$10-$E$10),$E$10+SQRT(T113*($G$10-$E$10)*($F$10-$E$10)),$G$10-SQRT((1-T113)*($G$10-$E$10)*($G$10-$F$10))))</f>
        <v>1.05569706776868</v>
      </c>
      <c r="G113" s="52" t="n">
        <f aca="false">IF($G$11=$E$11,$F$11,IF(U113&lt;($F$11-$E$11)/($G$11-$E$11),$E$11+SQRT(U113*($G$11-$E$11)*($F$11-$E$11)),$G$11-SQRT((1-U113)*($G$11-$E$11)*($G$11-$F$11))))</f>
        <v>0.0998309489870375</v>
      </c>
      <c r="H113" s="53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-2111394135.53735</v>
      </c>
      <c r="I113" s="53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-77704617.0599525</v>
      </c>
      <c r="J113" s="53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137824685.477713</v>
      </c>
      <c r="K113" s="53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406138841.403813</v>
      </c>
      <c r="L113" s="53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505512085.366801</v>
      </c>
      <c r="M113" s="53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656927872.510845</v>
      </c>
      <c r="N113" s="53" t="n">
        <f aca="false">IF(COUNT('Business Case'!B11:G11)=0,"",H113+NPV(G113,I113:M113))</f>
        <v>-1009128996.3051</v>
      </c>
      <c r="P113" s="54" t="n">
        <f aca="true">RAND()</f>
        <v>0.159260722172582</v>
      </c>
      <c r="Q113" s="54" t="n">
        <f aca="true">RAND()</f>
        <v>0.14416738044713</v>
      </c>
      <c r="R113" s="54" t="n">
        <f aca="true">RAND()</f>
        <v>0.537328070891328</v>
      </c>
      <c r="S113" s="54" t="n">
        <f aca="true">RAND()</f>
        <v>0.611621825583512</v>
      </c>
      <c r="T113" s="54" t="n">
        <f aca="true">RAND()</f>
        <v>0.496618273684122</v>
      </c>
      <c r="U113" s="54" t="n">
        <f aca="true">RAND()</f>
        <v>0.393266537726484</v>
      </c>
    </row>
    <row r="114" customFormat="false" ht="15" hidden="false" customHeight="false" outlineLevel="0" collapsed="false">
      <c r="A114" s="50" t="n">
        <v>34</v>
      </c>
      <c r="B114" s="51" t="n">
        <f aca="false">1+IF($G$6=$E$6,$F$6,IF(P114&lt;($F$6-$E$6)/($G$6-$E$6),$E$6+SQRT(P114*($G$6-$E$6)*($F$6-$E$6)),$G$6-SQRT((1-P114)*($G$6-$E$6)*($G$6-$F$6))))</f>
        <v>1.00970765124157</v>
      </c>
      <c r="C114" s="51" t="n">
        <f aca="false">1+IF($G$7=$E$7,$F$7,IF(Q114&lt;($F$7-$E$7)/($G$7-$E$7),$E$7+SQRT(Q114*($G$7-$E$7)*($F$7-$E$7)),$G$7-SQRT((1-Q114)*($G$7-$E$7)*($G$7-$F$7))))</f>
        <v>1.00802290325739</v>
      </c>
      <c r="D114" s="51" t="n">
        <f aca="false">1+IF($G$8=$E$8,$F$8,IF(R114&lt;($F$8-$E$8)/($G$8-$E$8),$E$8+SQRT(R114*($G$8-$E$8)*($F$8-$E$8)),$G$8-SQRT((1-R114)*($G$8-$E$8)*($G$8-$F$8))))</f>
        <v>1.04128297887491</v>
      </c>
      <c r="E114" s="51" t="n">
        <f aca="false">1+IF($G$9=$E$9,$F$9,IF(S114&lt;($F$9-$E$9)/($G$9-$E$9),$E$9+SQRT(S114*($G$9-$E$9)*($F$9-$E$9)),$G$9-SQRT((1-S114)*($G$9-$E$9)*($G$9-$F$9))))</f>
        <v>0.96444781256225</v>
      </c>
      <c r="F114" s="51" t="n">
        <f aca="false">1+IF($G$10=$E$10,$F$10,IF(T114&lt;($F$10-$E$10)/($G$10-$E$10),$E$10+SQRT(T114*($G$10-$E$10)*($F$10-$E$10)),$G$10-SQRT((1-T114)*($G$10-$E$10)*($G$10-$F$10))))</f>
        <v>0.994614761664802</v>
      </c>
      <c r="G114" s="52" t="n">
        <f aca="false">IF($G$11=$E$11,$F$11,IF(U114&lt;($F$11-$E$11)/($G$11-$E$11),$E$11+SQRT(U114*($G$11-$E$11)*($F$11-$E$11)),$G$11-SQRT((1-U114)*($G$11-$E$11)*($G$11-$F$11))))</f>
        <v>0.105861860230551</v>
      </c>
      <c r="H114" s="53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-1989229523.3296</v>
      </c>
      <c r="I114" s="53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6959028.55645558</v>
      </c>
      <c r="J114" s="53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303287201.654034</v>
      </c>
      <c r="K114" s="53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649346112.834852</v>
      </c>
      <c r="L114" s="53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783297630.152906</v>
      </c>
      <c r="M114" s="53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976762658.056638</v>
      </c>
      <c r="N114" s="53" t="n">
        <f aca="false">IF(COUNT('Business Case'!B11:G11)=0,"",H114+NPV(G114,I114:M114))</f>
        <v>-140452837.45009</v>
      </c>
      <c r="P114" s="54" t="n">
        <f aca="true">RAND()</f>
        <v>0.783536884203916</v>
      </c>
      <c r="Q114" s="54" t="n">
        <f aca="true">RAND()</f>
        <v>0.701370429637621</v>
      </c>
      <c r="R114" s="54" t="n">
        <f aca="true">RAND()</f>
        <v>0.770154095346418</v>
      </c>
      <c r="S114" s="54" t="n">
        <f aca="true">RAND()</f>
        <v>0.166140821762355</v>
      </c>
      <c r="T114" s="54" t="n">
        <f aca="true">RAND()</f>
        <v>0.132698463893806</v>
      </c>
      <c r="U114" s="54" t="n">
        <f aca="true">RAND()</f>
        <v>0.611566805647045</v>
      </c>
    </row>
    <row r="115" customFormat="false" ht="15" hidden="false" customHeight="false" outlineLevel="0" collapsed="false">
      <c r="A115" s="50" t="n">
        <v>35</v>
      </c>
      <c r="B115" s="51" t="n">
        <f aca="false">1+IF($G$6=$E$6,$F$6,IF(P115&lt;($F$6-$E$6)/($G$6-$E$6),$E$6+SQRT(P115*($G$6-$E$6)*($F$6-$E$6)),$G$6-SQRT((1-P115)*($G$6-$E$6)*($G$6-$F$6))))</f>
        <v>0.973489534362899</v>
      </c>
      <c r="C115" s="51" t="n">
        <f aca="false">1+IF($G$7=$E$7,$F$7,IF(Q115&lt;($F$7-$E$7)/($G$7-$E$7),$E$7+SQRT(Q115*($G$7-$E$7)*($F$7-$E$7)),$G$7-SQRT((1-Q115)*($G$7-$E$7)*($G$7-$F$7))))</f>
        <v>1.00233211388242</v>
      </c>
      <c r="D115" s="51" t="n">
        <f aca="false">1+IF($G$8=$E$8,$F$8,IF(R115&lt;($F$8-$E$8)/($G$8-$E$8),$E$8+SQRT(R115*($G$8-$E$8)*($F$8-$E$8)),$G$8-SQRT((1-R115)*($G$8-$E$8)*($G$8-$F$8))))</f>
        <v>1.06327457188317</v>
      </c>
      <c r="E115" s="51" t="n">
        <f aca="false">1+IF($G$9=$E$9,$F$9,IF(S115&lt;($F$9-$E$9)/($G$9-$E$9),$E$9+SQRT(S115*($G$9-$E$9)*($F$9-$E$9)),$G$9-SQRT((1-S115)*($G$9-$E$9)*($G$9-$F$9))))</f>
        <v>1.05087396836603</v>
      </c>
      <c r="F115" s="51" t="n">
        <f aca="false">1+IF($G$10=$E$10,$F$10,IF(T115&lt;($F$10-$E$10)/($G$10-$E$10),$E$10+SQRT(T115*($G$10-$E$10)*($F$10-$E$10)),$G$10-SQRT((1-T115)*($G$10-$E$10)*($G$10-$F$10))))</f>
        <v>1.03976011654968</v>
      </c>
      <c r="G115" s="52" t="n">
        <f aca="false">IF($G$11=$E$11,$F$11,IF(U115&lt;($F$11-$E$11)/($G$11-$E$11),$E$11+SQRT(U115*($G$11-$E$11)*($F$11-$E$11)),$G$11-SQRT((1-U115)*($G$11-$E$11)*($G$11-$F$11))))</f>
        <v>0.0958037688714841</v>
      </c>
      <c r="H115" s="53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-2079520233.09937</v>
      </c>
      <c r="I115" s="53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-50357044.862371</v>
      </c>
      <c r="J115" s="53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203279589.446884</v>
      </c>
      <c r="K115" s="53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508904229.583624</v>
      </c>
      <c r="L115" s="53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627172033.830048</v>
      </c>
      <c r="M115" s="53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812644460.951745</v>
      </c>
      <c r="N115" s="53" t="n">
        <f aca="false">IF(COUNT('Business Case'!B11:G11)=0,"",H115+NPV(G115,I115:M115))</f>
        <v>-620139294.318284</v>
      </c>
      <c r="P115" s="54" t="n">
        <f aca="true">RAND()</f>
        <v>0.360047444058385</v>
      </c>
      <c r="Q115" s="54" t="n">
        <f aca="true">RAND()</f>
        <v>0.676951043104672</v>
      </c>
      <c r="R115" s="54" t="n">
        <f aca="true">RAND()</f>
        <v>0.910082861975711</v>
      </c>
      <c r="S115" s="54" t="n">
        <f aca="true">RAND()</f>
        <v>0.737974129400026</v>
      </c>
      <c r="T115" s="54" t="n">
        <f aca="true">RAND()</f>
        <v>0.410655885423962</v>
      </c>
      <c r="U115" s="54" t="n">
        <f aca="true">RAND()</f>
        <v>0.24975911054329</v>
      </c>
    </row>
    <row r="116" customFormat="false" ht="15" hidden="false" customHeight="false" outlineLevel="0" collapsed="false">
      <c r="A116" s="50" t="n">
        <v>36</v>
      </c>
      <c r="B116" s="51" t="n">
        <f aca="false">1+IF($G$6=$E$6,$F$6,IF(P116&lt;($F$6-$E$6)/($G$6-$E$6),$E$6+SQRT(P116*($G$6-$E$6)*($F$6-$E$6)),$G$6-SQRT((1-P116)*($G$6-$E$6)*($G$6-$F$6))))</f>
        <v>0.922032200718764</v>
      </c>
      <c r="C116" s="51" t="n">
        <f aca="false">1+IF($G$7=$E$7,$F$7,IF(Q116&lt;($F$7-$E$7)/($G$7-$E$7),$E$7+SQRT(Q116*($G$7-$E$7)*($F$7-$E$7)),$G$7-SQRT((1-Q116)*($G$7-$E$7)*($G$7-$F$7))))</f>
        <v>0.824064016525245</v>
      </c>
      <c r="D116" s="51" t="n">
        <f aca="false">1+IF($G$8=$E$8,$F$8,IF(R116&lt;($F$8-$E$8)/($G$8-$E$8),$E$8+SQRT(R116*($G$8-$E$8)*($F$8-$E$8)),$G$8-SQRT((1-R116)*($G$8-$E$8)*($G$8-$F$8))))</f>
        <v>1.00849693264383</v>
      </c>
      <c r="E116" s="51" t="n">
        <f aca="false">1+IF($G$9=$E$9,$F$9,IF(S116&lt;($F$9-$E$9)/($G$9-$E$9),$E$9+SQRT(S116*($G$9-$E$9)*($F$9-$E$9)),$G$9-SQRT((1-S116)*($G$9-$E$9)*($G$9-$F$9))))</f>
        <v>1.08839041068385</v>
      </c>
      <c r="F116" s="51" t="n">
        <f aca="false">1+IF($G$10=$E$10,$F$10,IF(T116&lt;($F$10-$E$10)/($G$10-$E$10),$E$10+SQRT(T116*($G$10-$E$10)*($F$10-$E$10)),$G$10-SQRT((1-T116)*($G$10-$E$10)*($G$10-$F$10))))</f>
        <v>1.05937800354719</v>
      </c>
      <c r="G116" s="52" t="n">
        <f aca="false">IF($G$11=$E$11,$F$11,IF(U116&lt;($F$11-$E$11)/($G$11-$E$11),$E$11+SQRT(U116*($G$11-$E$11)*($F$11-$E$11)),$G$11-SQRT((1-U116)*($G$11-$E$11)*($G$11-$F$11))))</f>
        <v>0.114425123726615</v>
      </c>
      <c r="H116" s="53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-2118756007.09438</v>
      </c>
      <c r="I116" s="53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-103192964.090089</v>
      </c>
      <c r="J116" s="53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93709723.4562702</v>
      </c>
      <c r="K116" s="53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343581311.179988</v>
      </c>
      <c r="L116" s="53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435474696.950432</v>
      </c>
      <c r="M116" s="53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579900058.186211</v>
      </c>
      <c r="N116" s="53" t="n">
        <f aca="false">IF(COUNT('Business Case'!B11:G11)=0,"",H116+NPV(G116,I116:M116))</f>
        <v>-1267961015.96551</v>
      </c>
      <c r="P116" s="54" t="n">
        <f aca="true">RAND()</f>
        <v>0.0323611912341277</v>
      </c>
      <c r="Q116" s="54" t="n">
        <f aca="true">RAND()</f>
        <v>0.114013927380565</v>
      </c>
      <c r="R116" s="54" t="n">
        <f aca="true">RAND()</f>
        <v>0.441812577627451</v>
      </c>
      <c r="S116" s="54" t="n">
        <f aca="true">RAND()</f>
        <v>0.898780226781202</v>
      </c>
      <c r="T116" s="54" t="n">
        <f aca="true">RAND()</f>
        <v>0.515510059577934</v>
      </c>
      <c r="U116" s="54" t="n">
        <f aca="true">RAND()</f>
        <v>0.83828215271249</v>
      </c>
    </row>
    <row r="117" customFormat="false" ht="15" hidden="false" customHeight="false" outlineLevel="0" collapsed="false">
      <c r="A117" s="50" t="n">
        <v>37</v>
      </c>
      <c r="B117" s="51" t="n">
        <f aca="false">1+IF($G$6=$E$6,$F$6,IF(P117&lt;($F$6-$E$6)/($G$6-$E$6),$E$6+SQRT(P117*($G$6-$E$6)*($F$6-$E$6)),$G$6-SQRT((1-P117)*($G$6-$E$6)*($G$6-$F$6))))</f>
        <v>0.94917783019201</v>
      </c>
      <c r="C117" s="51" t="n">
        <f aca="false">1+IF($G$7=$E$7,$F$7,IF(Q117&lt;($F$7-$E$7)/($G$7-$E$7),$E$7+SQRT(Q117*($G$7-$E$7)*($F$7-$E$7)),$G$7-SQRT((1-Q117)*($G$7-$E$7)*($G$7-$F$7))))</f>
        <v>0.942056681495682</v>
      </c>
      <c r="D117" s="51" t="n">
        <f aca="false">1+IF($G$8=$E$8,$F$8,IF(R117&lt;($F$8-$E$8)/($G$8-$E$8),$E$8+SQRT(R117*($G$8-$E$8)*($F$8-$E$8)),$G$8-SQRT((1-R117)*($G$8-$E$8)*($G$8-$F$8))))</f>
        <v>0.989271263695403</v>
      </c>
      <c r="E117" s="51" t="n">
        <f aca="false">1+IF($G$9=$E$9,$F$9,IF(S117&lt;($F$9-$E$9)/($G$9-$E$9),$E$9+SQRT(S117*($G$9-$E$9)*($F$9-$E$9)),$G$9-SQRT((1-S117)*($G$9-$E$9)*($G$9-$F$9))))</f>
        <v>1.04277003608016</v>
      </c>
      <c r="F117" s="51" t="n">
        <f aca="false">1+IF($G$10=$E$10,$F$10,IF(T117&lt;($F$10-$E$10)/($G$10-$E$10),$E$10+SQRT(T117*($G$10-$E$10)*($F$10-$E$10)),$G$10-SQRT((1-T117)*($G$10-$E$10)*($G$10-$F$10))))</f>
        <v>1.0668676664874</v>
      </c>
      <c r="G117" s="52" t="n">
        <f aca="false">IF($G$11=$E$11,$F$11,IF(U117&lt;($F$11-$E$11)/($G$11-$E$11),$E$11+SQRT(U117*($G$11-$E$11)*($F$11-$E$11)),$G$11-SQRT((1-U117)*($G$11-$E$11)*($G$11-$F$11))))</f>
        <v>0.0936022778303695</v>
      </c>
      <c r="H117" s="53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-2133735332.97481</v>
      </c>
      <c r="I117" s="53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-46009321.3112148</v>
      </c>
      <c r="J117" s="53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209304278.942929</v>
      </c>
      <c r="K117" s="53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517961262.521444</v>
      </c>
      <c r="L117" s="53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633968633.130172</v>
      </c>
      <c r="M117" s="53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803934237.678913</v>
      </c>
      <c r="N117" s="53" t="n">
        <f aca="false">IF(COUNT('Business Case'!B11:G11)=0,"",H117+NPV(G117,I117:M117))</f>
        <v>-647592223.644145</v>
      </c>
      <c r="P117" s="54" t="n">
        <f aca="true">RAND()</f>
        <v>0.161230598826279</v>
      </c>
      <c r="Q117" s="54" t="n">
        <f aca="true">RAND()</f>
        <v>0.434010644864459</v>
      </c>
      <c r="R117" s="54" t="n">
        <f aca="true">RAND()</f>
        <v>0.205630953631182</v>
      </c>
      <c r="S117" s="54" t="n">
        <f aca="true">RAND()</f>
        <v>0.693379595673308</v>
      </c>
      <c r="T117" s="54" t="n">
        <f aca="true">RAND()</f>
        <v>0.552833978963084</v>
      </c>
      <c r="U117" s="54" t="n">
        <f aca="true">RAND()</f>
        <v>0.185021962174561</v>
      </c>
    </row>
    <row r="118" customFormat="false" ht="15" hidden="false" customHeight="false" outlineLevel="0" collapsed="false">
      <c r="A118" s="50" t="n">
        <v>38</v>
      </c>
      <c r="B118" s="51" t="n">
        <f aca="false">1+IF($G$6=$E$6,$F$6,IF(P118&lt;($F$6-$E$6)/($G$6-$E$6),$E$6+SQRT(P118*($G$6-$E$6)*($F$6-$E$6)),$G$6-SQRT((1-P118)*($G$6-$E$6)*($G$6-$F$6))))</f>
        <v>0.998998001609648</v>
      </c>
      <c r="C118" s="51" t="n">
        <f aca="false">1+IF($G$7=$E$7,$F$7,IF(Q118&lt;($F$7-$E$7)/($G$7-$E$7),$E$7+SQRT(Q118*($G$7-$E$7)*($F$7-$E$7)),$G$7-SQRT((1-Q118)*($G$7-$E$7)*($G$7-$F$7))))</f>
        <v>1.11871319176657</v>
      </c>
      <c r="D118" s="51" t="n">
        <f aca="false">1+IF($G$8=$E$8,$F$8,IF(R118&lt;($F$8-$E$8)/($G$8-$E$8),$E$8+SQRT(R118*($G$8-$E$8)*($F$8-$E$8)),$G$8-SQRT((1-R118)*($G$8-$E$8)*($G$8-$F$8))))</f>
        <v>0.988376114912538</v>
      </c>
      <c r="E118" s="51" t="n">
        <f aca="false">1+IF($G$9=$E$9,$F$9,IF(S118&lt;($F$9-$E$9)/($G$9-$E$9),$E$9+SQRT(S118*($G$9-$E$9)*($F$9-$E$9)),$G$9-SQRT((1-S118)*($G$9-$E$9)*($G$9-$F$9))))</f>
        <v>1.02841514505437</v>
      </c>
      <c r="F118" s="51" t="n">
        <f aca="false">1+IF($G$10=$E$10,$F$10,IF(T118&lt;($F$10-$E$10)/($G$10-$E$10),$E$10+SQRT(T118*($G$10-$E$10)*($F$10-$E$10)),$G$10-SQRT((1-T118)*($G$10-$E$10)*($G$10-$F$10))))</f>
        <v>1.02409642434434</v>
      </c>
      <c r="G118" s="52" t="n">
        <f aca="false">IF($G$11=$E$11,$F$11,IF(U118&lt;($F$11-$E$11)/($G$11-$E$11),$E$11+SQRT(U118*($G$11-$E$11)*($F$11-$E$11)),$G$11-SQRT((1-U118)*($G$11-$E$11)*($G$11-$F$11))))</f>
        <v>0.121205903510378</v>
      </c>
      <c r="H118" s="53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-2048192848.68868</v>
      </c>
      <c r="I118" s="53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42767500.5650747</v>
      </c>
      <c r="J118" s="53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392121259.065799</v>
      </c>
      <c r="K118" s="53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792679838.78374</v>
      </c>
      <c r="L118" s="53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947755079.533638</v>
      </c>
      <c r="M118" s="53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1160187013.07341</v>
      </c>
      <c r="N118" s="53" t="n">
        <f aca="false">IF(COUNT('Business Case'!B11:G11)=0,"",H118+NPV(G118,I118:M118))</f>
        <v>118788280.107482</v>
      </c>
      <c r="P118" s="54" t="n">
        <f aca="true">RAND()</f>
        <v>0.653373621513585</v>
      </c>
      <c r="Q118" s="54" t="n">
        <f aca="true">RAND()</f>
        <v>0.985498305637993</v>
      </c>
      <c r="R118" s="54" t="n">
        <f aca="true">RAND()</f>
        <v>0.196363492770706</v>
      </c>
      <c r="S118" s="54" t="n">
        <f aca="true">RAND()</f>
        <v>0.605789947942652</v>
      </c>
      <c r="T118" s="54" t="n">
        <f aca="true">RAND()</f>
        <v>0.319567660079845</v>
      </c>
      <c r="U118" s="54" t="n">
        <f aca="true">RAND()</f>
        <v>0.948442577954141</v>
      </c>
    </row>
    <row r="119" customFormat="false" ht="15" hidden="false" customHeight="false" outlineLevel="0" collapsed="false">
      <c r="A119" s="50" t="n">
        <v>39</v>
      </c>
      <c r="B119" s="51" t="n">
        <f aca="false">1+IF($G$6=$E$6,$F$6,IF(P119&lt;($F$6-$E$6)/($G$6-$E$6),$E$6+SQRT(P119*($G$6-$E$6)*($F$6-$E$6)),$G$6-SQRT((1-P119)*($G$6-$E$6)*($G$6-$F$6))))</f>
        <v>1.04177847813394</v>
      </c>
      <c r="C119" s="51" t="n">
        <f aca="false">1+IF($G$7=$E$7,$F$7,IF(Q119&lt;($F$7-$E$7)/($G$7-$E$7),$E$7+SQRT(Q119*($G$7-$E$7)*($F$7-$E$7)),$G$7-SQRT((1-Q119)*($G$7-$E$7)*($G$7-$F$7))))</f>
        <v>0.996117162732072</v>
      </c>
      <c r="D119" s="51" t="n">
        <f aca="false">1+IF($G$8=$E$8,$F$8,IF(R119&lt;($F$8-$E$8)/($G$8-$E$8),$E$8+SQRT(R119*($G$8-$E$8)*($F$8-$E$8)),$G$8-SQRT((1-R119)*($G$8-$E$8)*($G$8-$F$8))))</f>
        <v>1.06130834079667</v>
      </c>
      <c r="E119" s="51" t="n">
        <f aca="false">1+IF($G$9=$E$9,$F$9,IF(S119&lt;($F$9-$E$9)/($G$9-$E$9),$E$9+SQRT(S119*($G$9-$E$9)*($F$9-$E$9)),$G$9-SQRT((1-S119)*($G$9-$E$9)*($G$9-$F$9))))</f>
        <v>0.998200399807045</v>
      </c>
      <c r="F119" s="51" t="n">
        <f aca="false">1+IF($G$10=$E$10,$F$10,IF(T119&lt;($F$10-$E$10)/($G$10-$E$10),$E$10+SQRT(T119*($G$10-$E$10)*($F$10-$E$10)),$G$10-SQRT((1-T119)*($G$10-$E$10)*($G$10-$F$10))))</f>
        <v>1.06886147085409</v>
      </c>
      <c r="G119" s="52" t="n">
        <f aca="false">IF($G$11=$E$11,$F$11,IF(U119&lt;($F$11-$E$11)/($G$11-$E$11),$E$11+SQRT(U119*($G$11-$E$11)*($F$11-$E$11)),$G$11-SQRT((1-U119)*($G$11-$E$11)*($G$11-$F$11))))</f>
        <v>0.106873502217245</v>
      </c>
      <c r="H119" s="53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-2137722941.70817</v>
      </c>
      <c r="I119" s="53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6156643.71116966</v>
      </c>
      <c r="J119" s="53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314939631.94819</v>
      </c>
      <c r="K119" s="53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677165693.727916</v>
      </c>
      <c r="L119" s="53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815957423.532176</v>
      </c>
      <c r="M119" s="53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1013209792.3544</v>
      </c>
      <c r="N119" s="53" t="n">
        <f aca="false">IF(COUNT('Business Case'!B11:G11)=0,"",H119+NPV(G119,I119:M119))</f>
        <v>-222331316.127342</v>
      </c>
      <c r="P119" s="54" t="n">
        <f aca="true">RAND()</f>
        <v>0.990987543760781</v>
      </c>
      <c r="Q119" s="54" t="n">
        <f aca="true">RAND()</f>
        <v>0.649521289366612</v>
      </c>
      <c r="R119" s="54" t="n">
        <f aca="true">RAND()</f>
        <v>0.900197033872872</v>
      </c>
      <c r="S119" s="54" t="n">
        <f aca="true">RAND()</f>
        <v>0.385732740890543</v>
      </c>
      <c r="T119" s="54" t="n">
        <f aca="true">RAND()</f>
        <v>0.562517776784736</v>
      </c>
      <c r="U119" s="54" t="n">
        <f aca="true">RAND()</f>
        <v>0.643443400202828</v>
      </c>
    </row>
    <row r="120" customFormat="false" ht="15" hidden="false" customHeight="false" outlineLevel="0" collapsed="false">
      <c r="A120" s="50" t="n">
        <v>40</v>
      </c>
      <c r="B120" s="51" t="n">
        <f aca="false">1+IF($G$6=$E$6,$F$6,IF(P120&lt;($F$6-$E$6)/($G$6-$E$6),$E$6+SQRT(P120*($G$6-$E$6)*($F$6-$E$6)),$G$6-SQRT((1-P120)*($G$6-$E$6)*($G$6-$F$6))))</f>
        <v>0.962627427539631</v>
      </c>
      <c r="C120" s="51" t="n">
        <f aca="false">1+IF($G$7=$E$7,$F$7,IF(Q120&lt;($F$7-$E$7)/($G$7-$E$7),$E$7+SQRT(Q120*($G$7-$E$7)*($F$7-$E$7)),$G$7-SQRT((1-Q120)*($G$7-$E$7)*($G$7-$F$7))))</f>
        <v>0.887532436356543</v>
      </c>
      <c r="D120" s="51" t="n">
        <f aca="false">1+IF($G$8=$E$8,$F$8,IF(R120&lt;($F$8-$E$8)/($G$8-$E$8),$E$8+SQRT(R120*($G$8-$E$8)*($F$8-$E$8)),$G$8-SQRT((1-R120)*($G$8-$E$8)*($G$8-$F$8))))</f>
        <v>1.00958306582931</v>
      </c>
      <c r="E120" s="51" t="n">
        <f aca="false">1+IF($G$9=$E$9,$F$9,IF(S120&lt;($F$9-$E$9)/($G$9-$E$9),$E$9+SQRT(S120*($G$9-$E$9)*($F$9-$E$9)),$G$9-SQRT((1-S120)*($G$9-$E$9)*($G$9-$F$9))))</f>
        <v>1.08962746169906</v>
      </c>
      <c r="F120" s="51" t="n">
        <f aca="false">1+IF($G$10=$E$10,$F$10,IF(T120&lt;($F$10-$E$10)/($G$10-$E$10),$E$10+SQRT(T120*($G$10-$E$10)*($F$10-$E$10)),$G$10-SQRT((1-T120)*($G$10-$E$10)*($G$10-$F$10))))</f>
        <v>0.954966676477493</v>
      </c>
      <c r="G120" s="52" t="n">
        <f aca="false">IF($G$11=$E$11,$F$11,IF(U120&lt;($F$11-$E$11)/($G$11-$E$11),$E$11+SQRT(U120*($G$11-$E$11)*($F$11-$E$11)),$G$11-SQRT((1-U120)*($G$11-$E$11)*($G$11-$F$11))))</f>
        <v>0.11241718465141</v>
      </c>
      <c r="H120" s="53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-1909933352.95499</v>
      </c>
      <c r="I120" s="53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-53646637.4558498</v>
      </c>
      <c r="J120" s="53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187438599.134615</v>
      </c>
      <c r="K120" s="53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476272169.548954</v>
      </c>
      <c r="L120" s="53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586160702.642415</v>
      </c>
      <c r="M120" s="53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748558034.240597</v>
      </c>
      <c r="N120" s="53" t="n">
        <f aca="false">IF(COUNT('Business Case'!B11:G11)=0,"",H120+NPV(G120,I120:M120))</f>
        <v>-638504376.192924</v>
      </c>
      <c r="P120" s="54" t="n">
        <f aca="true">RAND()</f>
        <v>0.261479645348778</v>
      </c>
      <c r="Q120" s="54" t="n">
        <f aca="true">RAND()</f>
        <v>0.260506775450525</v>
      </c>
      <c r="R120" s="54" t="n">
        <f aca="true">RAND()</f>
        <v>0.454985201011544</v>
      </c>
      <c r="S120" s="54" t="n">
        <f aca="true">RAND()</f>
        <v>0.902804176509371</v>
      </c>
      <c r="T120" s="54" t="n">
        <f aca="true">RAND()</f>
        <v>0.0016445250154723</v>
      </c>
      <c r="U120" s="54" t="n">
        <f aca="true">RAND()</f>
        <v>0.793896402944934</v>
      </c>
    </row>
    <row r="121" customFormat="false" ht="15" hidden="false" customHeight="false" outlineLevel="0" collapsed="false">
      <c r="A121" s="50" t="n">
        <v>41</v>
      </c>
      <c r="B121" s="51" t="n">
        <f aca="false">1+IF($G$6=$E$6,$F$6,IF(P121&lt;($F$6-$E$6)/($G$6-$E$6),$E$6+SQRT(P121*($G$6-$E$6)*($F$6-$E$6)),$G$6-SQRT((1-P121)*($G$6-$E$6)*($G$6-$F$6))))</f>
        <v>0.973657224016749</v>
      </c>
      <c r="C121" s="51" t="n">
        <f aca="false">1+IF($G$7=$E$7,$F$7,IF(Q121&lt;($F$7-$E$7)/($G$7-$E$7),$E$7+SQRT(Q121*($G$7-$E$7)*($F$7-$E$7)),$G$7-SQRT((1-Q121)*($G$7-$E$7)*($G$7-$F$7))))</f>
        <v>0.921478815210821</v>
      </c>
      <c r="D121" s="51" t="n">
        <f aca="false">1+IF($G$8=$E$8,$F$8,IF(R121&lt;($F$8-$E$8)/($G$8-$E$8),$E$8+SQRT(R121*($G$8-$E$8)*($F$8-$E$8)),$G$8-SQRT((1-R121)*($G$8-$E$8)*($G$8-$F$8))))</f>
        <v>1.01462055948125</v>
      </c>
      <c r="E121" s="51" t="n">
        <f aca="false">1+IF($G$9=$E$9,$F$9,IF(S121&lt;($F$9-$E$9)/($G$9-$E$9),$E$9+SQRT(S121*($G$9-$E$9)*($F$9-$E$9)),$G$9-SQRT((1-S121)*($G$9-$E$9)*($G$9-$F$9))))</f>
        <v>0.983742219432258</v>
      </c>
      <c r="F121" s="51" t="n">
        <f aca="false">1+IF($G$10=$E$10,$F$10,IF(T121&lt;($F$10-$E$10)/($G$10-$E$10),$E$10+SQRT(T121*($G$10-$E$10)*($F$10-$E$10)),$G$10-SQRT((1-T121)*($G$10-$E$10)*($G$10-$F$10))))</f>
        <v>1.04024429268158</v>
      </c>
      <c r="G121" s="52" t="n">
        <f aca="false">IF($G$11=$E$11,$F$11,IF(U121&lt;($F$11-$E$11)/($G$11-$E$11),$E$11+SQRT(U121*($G$11-$E$11)*($F$11-$E$11)),$G$11-SQRT((1-U121)*($G$11-$E$11)*($G$11-$F$11))))</f>
        <v>0.106411783646155</v>
      </c>
      <c r="H121" s="53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-2080488585.36316</v>
      </c>
      <c r="I121" s="53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-34168861.5554171</v>
      </c>
      <c r="J121" s="53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222085931.310595</v>
      </c>
      <c r="K121" s="53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530352938.810686</v>
      </c>
      <c r="L121" s="53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646778590.799359</v>
      </c>
      <c r="M121" s="53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817319223.149373</v>
      </c>
      <c r="N121" s="53" t="n">
        <f aca="false">IF(COUNT('Business Case'!B11:G11)=0,"",H121+NPV(G121,I121:M121))</f>
        <v>-613813008.720876</v>
      </c>
      <c r="P121" s="54" t="n">
        <f aca="true">RAND()</f>
        <v>0.361692443323565</v>
      </c>
      <c r="Q121" s="54" t="n">
        <f aca="true">RAND()</f>
        <v>0.363354559905103</v>
      </c>
      <c r="R121" s="54" t="n">
        <f aca="true">RAND()</f>
        <v>0.514023409113711</v>
      </c>
      <c r="S121" s="54" t="n">
        <f aca="true">RAND()</f>
        <v>0.280510372617615</v>
      </c>
      <c r="T121" s="54" t="n">
        <f aca="true">RAND()</f>
        <v>0.413367243297985</v>
      </c>
      <c r="U121" s="54" t="n">
        <f aca="true">RAND()</f>
        <v>0.629064032829464</v>
      </c>
    </row>
    <row r="122" customFormat="false" ht="15" hidden="false" customHeight="false" outlineLevel="0" collapsed="false">
      <c r="A122" s="50" t="n">
        <v>42</v>
      </c>
      <c r="B122" s="51" t="n">
        <f aca="false">1+IF($G$6=$E$6,$F$6,IF(P122&lt;($F$6-$E$6)/($G$6-$E$6),$E$6+SQRT(P122*($G$6-$E$6)*($F$6-$E$6)),$G$6-SQRT((1-P122)*($G$6-$E$6)*($G$6-$F$6))))</f>
        <v>0.97491665680624</v>
      </c>
      <c r="C122" s="51" t="n">
        <f aca="false">1+IF($G$7=$E$7,$F$7,IF(Q122&lt;($F$7-$E$7)/($G$7-$E$7),$E$7+SQRT(Q122*($G$7-$E$7)*($F$7-$E$7)),$G$7-SQRT((1-Q122)*($G$7-$E$7)*($G$7-$F$7))))</f>
        <v>0.831098590491639</v>
      </c>
      <c r="D122" s="51" t="n">
        <f aca="false">1+IF($G$8=$E$8,$F$8,IF(R122&lt;($F$8-$E$8)/($G$8-$E$8),$E$8+SQRT(R122*($G$8-$E$8)*($F$8-$E$8)),$G$8-SQRT((1-R122)*($G$8-$E$8)*($G$8-$F$8))))</f>
        <v>1.04645699243743</v>
      </c>
      <c r="E122" s="51" t="n">
        <f aca="false">1+IF($G$9=$E$9,$F$9,IF(S122&lt;($F$9-$E$9)/($G$9-$E$9),$E$9+SQRT(S122*($G$9-$E$9)*($F$9-$E$9)),$G$9-SQRT((1-S122)*($G$9-$E$9)*($G$9-$F$9))))</f>
        <v>0.990492580580412</v>
      </c>
      <c r="F122" s="51" t="n">
        <f aca="false">1+IF($G$10=$E$10,$F$10,IF(T122&lt;($F$10-$E$10)/($G$10-$E$10),$E$10+SQRT(T122*($G$10-$E$10)*($F$10-$E$10)),$G$10-SQRT((1-T122)*($G$10-$E$10)*($G$10-$F$10))))</f>
        <v>0.973476559309375</v>
      </c>
      <c r="G122" s="52" t="n">
        <f aca="false">IF($G$11=$E$11,$F$11,IF(U122&lt;($F$11-$E$11)/($G$11-$E$11),$E$11+SQRT(U122*($G$11-$E$11)*($F$11-$E$11)),$G$11-SQRT((1-U122)*($G$11-$E$11)*($G$11-$F$11))))</f>
        <v>0.0975968690053087</v>
      </c>
      <c r="H122" s="53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-1946953118.61875</v>
      </c>
      <c r="I122" s="53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-61765942.5358477</v>
      </c>
      <c r="J122" s="53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156667272.204847</v>
      </c>
      <c r="K122" s="53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423774314.911011</v>
      </c>
      <c r="L122" s="53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524587690.749289</v>
      </c>
      <c r="M122" s="53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678600364.168547</v>
      </c>
      <c r="N122" s="53" t="n">
        <f aca="false">IF(COUNT('Business Case'!B11:G11)=0,"",H122+NPV(G122,I122:M122))</f>
        <v>-765259393.346527</v>
      </c>
      <c r="P122" s="54" t="n">
        <f aca="true">RAND()</f>
        <v>0.374167031134931</v>
      </c>
      <c r="Q122" s="54" t="n">
        <f aca="true">RAND()</f>
        <v>0.127309929102922</v>
      </c>
      <c r="R122" s="54" t="n">
        <f aca="true">RAND()</f>
        <v>0.808876422743618</v>
      </c>
      <c r="S122" s="54" t="n">
        <f aca="true">RAND()</f>
        <v>0.327556285604097</v>
      </c>
      <c r="T122" s="54" t="n">
        <f aca="true">RAND()</f>
        <v>0.0367432558004405</v>
      </c>
      <c r="U122" s="54" t="n">
        <f aca="true">RAND()</f>
        <v>0.309649798789992</v>
      </c>
    </row>
    <row r="123" customFormat="false" ht="15" hidden="false" customHeight="false" outlineLevel="0" collapsed="false">
      <c r="A123" s="50" t="n">
        <v>43</v>
      </c>
      <c r="B123" s="51" t="n">
        <f aca="false">1+IF($G$6=$E$6,$F$6,IF(P123&lt;($F$6-$E$6)/($G$6-$E$6),$E$6+SQRT(P123*($G$6-$E$6)*($F$6-$E$6)),$G$6-SQRT((1-P123)*($G$6-$E$6)*($G$6-$F$6))))</f>
        <v>0.966162220860857</v>
      </c>
      <c r="C123" s="51" t="n">
        <f aca="false">1+IF($G$7=$E$7,$F$7,IF(Q123&lt;($F$7-$E$7)/($G$7-$E$7),$E$7+SQRT(Q123*($G$7-$E$7)*($F$7-$E$7)),$G$7-SQRT((1-Q123)*($G$7-$E$7)*($G$7-$F$7))))</f>
        <v>1.06010445237323</v>
      </c>
      <c r="D123" s="51" t="n">
        <f aca="false">1+IF($G$8=$E$8,$F$8,IF(R123&lt;($F$8-$E$8)/($G$8-$E$8),$E$8+SQRT(R123*($G$8-$E$8)*($F$8-$E$8)),$G$8-SQRT((1-R123)*($G$8-$E$8)*($G$8-$F$8))))</f>
        <v>0.999578251007013</v>
      </c>
      <c r="E123" s="51" t="n">
        <f aca="false">1+IF($G$9=$E$9,$F$9,IF(S123&lt;($F$9-$E$9)/($G$9-$E$9),$E$9+SQRT(S123*($G$9-$E$9)*($F$9-$E$9)),$G$9-SQRT((1-S123)*($G$9-$E$9)*($G$9-$F$9))))</f>
        <v>0.964282705140954</v>
      </c>
      <c r="F123" s="51" t="n">
        <f aca="false">1+IF($G$10=$E$10,$F$10,IF(T123&lt;($F$10-$E$10)/($G$10-$E$10),$E$10+SQRT(T123*($G$10-$E$10)*($F$10-$E$10)),$G$10-SQRT((1-T123)*($G$10-$E$10)*($G$10-$F$10))))</f>
        <v>0.969606765769433</v>
      </c>
      <c r="G123" s="52" t="n">
        <f aca="false">IF($G$11=$E$11,$F$11,IF(U123&lt;($F$11-$E$11)/($G$11-$E$11),$E$11+SQRT(U123*($G$11-$E$11)*($F$11-$E$11)),$G$11-SQRT((1-U123)*($G$11-$E$11)*($G$11-$F$11))))</f>
        <v>0.11763766536455</v>
      </c>
      <c r="H123" s="53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-1939213531.53887</v>
      </c>
      <c r="I123" s="53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9282764.78192461</v>
      </c>
      <c r="J123" s="53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305743438.898877</v>
      </c>
      <c r="K123" s="53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650684451.304301</v>
      </c>
      <c r="L123" s="53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784902164.067979</v>
      </c>
      <c r="M123" s="53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979588348.387129</v>
      </c>
      <c r="N123" s="53" t="n">
        <f aca="false">IF(COUNT('Business Case'!B11:G11)=0,"",H123+NPV(G123,I123:M123))</f>
        <v>-155257878.109362</v>
      </c>
      <c r="P123" s="54" t="n">
        <f aca="true">RAND()</f>
        <v>0.291829297949385</v>
      </c>
      <c r="Q123" s="54" t="n">
        <f aca="true">RAND()</f>
        <v>0.880278378027891</v>
      </c>
      <c r="R123" s="54" t="n">
        <f aca="true">RAND()</f>
        <v>0.327733729721912</v>
      </c>
      <c r="S123" s="54" t="n">
        <f aca="true">RAND()</f>
        <v>0.165290647209553</v>
      </c>
      <c r="T123" s="54" t="n">
        <f aca="true">RAND()</f>
        <v>0.0256283509291612</v>
      </c>
      <c r="U123" s="54" t="n">
        <f aca="true">RAND()</f>
        <v>0.898115121574103</v>
      </c>
    </row>
    <row r="124" customFormat="false" ht="15" hidden="false" customHeight="false" outlineLevel="0" collapsed="false">
      <c r="A124" s="50" t="n">
        <v>44</v>
      </c>
      <c r="B124" s="51" t="n">
        <f aca="false">1+IF($G$6=$E$6,$F$6,IF(P124&lt;($F$6-$E$6)/($G$6-$E$6),$E$6+SQRT(P124*($G$6-$E$6)*($F$6-$E$6)),$G$6-SQRT((1-P124)*($G$6-$E$6)*($G$6-$F$6))))</f>
        <v>1.01712310951013</v>
      </c>
      <c r="C124" s="51" t="n">
        <f aca="false">1+IF($G$7=$E$7,$F$7,IF(Q124&lt;($F$7-$E$7)/($G$7-$E$7),$E$7+SQRT(Q124*($G$7-$E$7)*($F$7-$E$7)),$G$7-SQRT((1-Q124)*($G$7-$E$7)*($G$7-$F$7))))</f>
        <v>1.08033868722108</v>
      </c>
      <c r="D124" s="51" t="n">
        <f aca="false">1+IF($G$8=$E$8,$F$8,IF(R124&lt;($F$8-$E$8)/($G$8-$E$8),$E$8+SQRT(R124*($G$8-$E$8)*($F$8-$E$8)),$G$8-SQRT((1-R124)*($G$8-$E$8)*($G$8-$F$8))))</f>
        <v>0.997559498627534</v>
      </c>
      <c r="E124" s="51" t="n">
        <f aca="false">1+IF($G$9=$E$9,$F$9,IF(S124&lt;($F$9-$E$9)/($G$9-$E$9),$E$9+SQRT(S124*($G$9-$E$9)*($F$9-$E$9)),$G$9-SQRT((1-S124)*($G$9-$E$9)*($G$9-$F$9))))</f>
        <v>0.966506445824843</v>
      </c>
      <c r="F124" s="51" t="n">
        <f aca="false">1+IF($G$10=$E$10,$F$10,IF(T124&lt;($F$10-$E$10)/($G$10-$E$10),$E$10+SQRT(T124*($G$10-$E$10)*($F$10-$E$10)),$G$10-SQRT((1-T124)*($G$10-$E$10)*($G$10-$F$10))))</f>
        <v>0.994917307765527</v>
      </c>
      <c r="G124" s="52" t="n">
        <f aca="false">IF($G$11=$E$11,$F$11,IF(U124&lt;($F$11-$E$11)/($G$11-$E$11),$E$11+SQRT(U124*($G$11-$E$11)*($F$11-$E$11)),$G$11-SQRT((1-U124)*($G$11-$E$11)*($G$11-$F$11))))</f>
        <v>0.093120140866719</v>
      </c>
      <c r="H124" s="53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-1989834615.53105</v>
      </c>
      <c r="I124" s="53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54437034.2833291</v>
      </c>
      <c r="J124" s="53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402766749.081585</v>
      </c>
      <c r="K124" s="53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800842329.268117</v>
      </c>
      <c r="L124" s="53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954928056.29559</v>
      </c>
      <c r="M124" s="53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1163795077.81655</v>
      </c>
      <c r="N124" s="53" t="n">
        <f aca="false">IF(COUNT('Business Case'!B11:G11)=0,"",H124+NPV(G124,I124:M124))</f>
        <v>424608027.497333</v>
      </c>
      <c r="P124" s="54" t="n">
        <f aca="true">RAND()</f>
        <v>0.855881342895572</v>
      </c>
      <c r="Q124" s="54" t="n">
        <f aca="true">RAND()</f>
        <v>0.928108170398785</v>
      </c>
      <c r="R124" s="54" t="n">
        <f aca="true">RAND()</f>
        <v>0.301587454626989</v>
      </c>
      <c r="S124" s="54" t="n">
        <f aca="true">RAND()</f>
        <v>0.176924293450109</v>
      </c>
      <c r="T124" s="54" t="n">
        <f aca="true">RAND()</f>
        <v>0.134504302460203</v>
      </c>
      <c r="U124" s="54" t="n">
        <f aca="true">RAND()</f>
        <v>0.172138096362549</v>
      </c>
    </row>
    <row r="125" customFormat="false" ht="15" hidden="false" customHeight="false" outlineLevel="0" collapsed="false">
      <c r="A125" s="50" t="n">
        <v>45</v>
      </c>
      <c r="B125" s="51" t="n">
        <f aca="false">1+IF($G$6=$E$6,$F$6,IF(P125&lt;($F$6-$E$6)/($G$6-$E$6),$E$6+SQRT(P125*($G$6-$E$6)*($F$6-$E$6)),$G$6-SQRT((1-P125)*($G$6-$E$6)*($G$6-$F$6))))</f>
        <v>1.00262477591312</v>
      </c>
      <c r="C125" s="51" t="n">
        <f aca="false">1+IF($G$7=$E$7,$F$7,IF(Q125&lt;($F$7-$E$7)/($G$7-$E$7),$E$7+SQRT(Q125*($G$7-$E$7)*($F$7-$E$7)),$G$7-SQRT((1-Q125)*($G$7-$E$7)*($G$7-$F$7))))</f>
        <v>1.05205778596512</v>
      </c>
      <c r="D125" s="51" t="n">
        <f aca="false">1+IF($G$8=$E$8,$F$8,IF(R125&lt;($F$8-$E$8)/($G$8-$E$8),$E$8+SQRT(R125*($G$8-$E$8)*($F$8-$E$8)),$G$8-SQRT((1-R125)*($G$8-$E$8)*($G$8-$F$8))))</f>
        <v>1.03697035770131</v>
      </c>
      <c r="E125" s="51" t="n">
        <f aca="false">1+IF($G$9=$E$9,$F$9,IF(S125&lt;($F$9-$E$9)/($G$9-$E$9),$E$9+SQRT(S125*($G$9-$E$9)*($F$9-$E$9)),$G$9-SQRT((1-S125)*($G$9-$E$9)*($G$9-$F$9))))</f>
        <v>0.990041645330896</v>
      </c>
      <c r="F125" s="51" t="n">
        <f aca="false">1+IF($G$10=$E$10,$F$10,IF(T125&lt;($F$10-$E$10)/($G$10-$E$10),$E$10+SQRT(T125*($G$10-$E$10)*($F$10-$E$10)),$G$10-SQRT((1-T125)*($G$10-$E$10)*($G$10-$F$10))))</f>
        <v>1.21273079578374</v>
      </c>
      <c r="G125" s="52" t="n">
        <f aca="false">IF($G$11=$E$11,$F$11,IF(U125&lt;($F$11-$E$11)/($G$11-$E$11),$E$11+SQRT(U125*($G$11-$E$11)*($F$11-$E$11)),$G$11-SQRT((1-U125)*($G$11-$E$11)*($G$11-$F$11))))</f>
        <v>0.0957252109094137</v>
      </c>
      <c r="H125" s="53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-2425461591.56748</v>
      </c>
      <c r="I125" s="53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-11246481.5934458</v>
      </c>
      <c r="J125" s="53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294245865.78408</v>
      </c>
      <c r="K125" s="53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660374752.950793</v>
      </c>
      <c r="L125" s="53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798660087.027664</v>
      </c>
      <c r="M125" s="53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999160120.924993</v>
      </c>
      <c r="N125" s="53" t="n">
        <f aca="false">IF(COUNT('Business Case'!B11:G11)=0,"",H125+NPV(G125,I125:M125))</f>
        <v>-502012344.783354</v>
      </c>
      <c r="P125" s="54" t="n">
        <f aca="true">RAND()</f>
        <v>0.700745085695748</v>
      </c>
      <c r="Q125" s="54" t="n">
        <f aca="true">RAND()</f>
        <v>0.857886262369558</v>
      </c>
      <c r="R125" s="54" t="n">
        <f aca="true">RAND()</f>
        <v>0.735150946113282</v>
      </c>
      <c r="S125" s="54" t="n">
        <f aca="true">RAND()</f>
        <v>0.324299915755795</v>
      </c>
      <c r="T125" s="54" t="n">
        <f aca="true">RAND()</f>
        <v>0.981480085561155</v>
      </c>
      <c r="U125" s="54" t="n">
        <f aca="true">RAND()</f>
        <v>0.247282258145542</v>
      </c>
    </row>
    <row r="126" customFormat="false" ht="15" hidden="false" customHeight="false" outlineLevel="0" collapsed="false">
      <c r="A126" s="50" t="n">
        <v>46</v>
      </c>
      <c r="B126" s="51" t="n">
        <f aca="false">1+IF($G$6=$E$6,$F$6,IF(P126&lt;($F$6-$E$6)/($G$6-$E$6),$E$6+SQRT(P126*($G$6-$E$6)*($F$6-$E$6)),$G$6-SQRT((1-P126)*($G$6-$E$6)*($G$6-$F$6))))</f>
        <v>1.00752518179803</v>
      </c>
      <c r="C126" s="51" t="n">
        <f aca="false">1+IF($G$7=$E$7,$F$7,IF(Q126&lt;($F$7-$E$7)/($G$7-$E$7),$E$7+SQRT(Q126*($G$7-$E$7)*($F$7-$E$7)),$G$7-SQRT((1-Q126)*($G$7-$E$7)*($G$7-$F$7))))</f>
        <v>0.835333068192955</v>
      </c>
      <c r="D126" s="51" t="n">
        <f aca="false">1+IF($G$8=$E$8,$F$8,IF(R126&lt;($F$8-$E$8)/($G$8-$E$8),$E$8+SQRT(R126*($G$8-$E$8)*($F$8-$E$8)),$G$8-SQRT((1-R126)*($G$8-$E$8)*($G$8-$F$8))))</f>
        <v>1.03127698071968</v>
      </c>
      <c r="E126" s="51" t="n">
        <f aca="false">1+IF($G$9=$E$9,$F$9,IF(S126&lt;($F$9-$E$9)/($G$9-$E$9),$E$9+SQRT(S126*($G$9-$E$9)*($F$9-$E$9)),$G$9-SQRT((1-S126)*($G$9-$E$9)*($G$9-$F$9))))</f>
        <v>1.14614893188018</v>
      </c>
      <c r="F126" s="51" t="n">
        <f aca="false">1+IF($G$10=$E$10,$F$10,IF(T126&lt;($F$10-$E$10)/($G$10-$E$10),$E$10+SQRT(T126*($G$10-$E$10)*($F$10-$E$10)),$G$10-SQRT((1-T126)*($G$10-$E$10)*($G$10-$F$10))))</f>
        <v>0.964116936225411</v>
      </c>
      <c r="G126" s="52" t="n">
        <f aca="false">IF($G$11=$E$11,$F$11,IF(U126&lt;($F$11-$E$11)/($G$11-$E$11),$E$11+SQRT(U126*($G$11-$E$11)*($F$11-$E$11)),$G$11-SQRT((1-U126)*($G$11-$E$11)*($G$11-$F$11))))</f>
        <v>0.123799631354228</v>
      </c>
      <c r="H126" s="53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-1928233872.45082</v>
      </c>
      <c r="I126" s="53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-54675447.9589886</v>
      </c>
      <c r="J126" s="53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193672710.03414</v>
      </c>
      <c r="K126" s="53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490226714.838539</v>
      </c>
      <c r="L126" s="53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602095790.313724</v>
      </c>
      <c r="M126" s="53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762070749.106507</v>
      </c>
      <c r="N126" s="53" t="n">
        <f aca="false">IF(COUNT('Business Case'!B11:G11)=0,"",H126+NPV(G126,I126:M126))</f>
        <v>-675474906.188387</v>
      </c>
      <c r="P126" s="54" t="n">
        <f aca="true">RAND()</f>
        <v>0.759451975827902</v>
      </c>
      <c r="Q126" s="54" t="n">
        <f aca="true">RAND()</f>
        <v>0.135666958122363</v>
      </c>
      <c r="R126" s="54" t="n">
        <f aca="true">RAND()</f>
        <v>0.685143108066439</v>
      </c>
      <c r="S126" s="54" t="n">
        <f aca="true">RAND()</f>
        <v>0.999604513982307</v>
      </c>
      <c r="T126" s="54" t="n">
        <f aca="true">RAND()</f>
        <v>0.0132858592261551</v>
      </c>
      <c r="U126" s="54" t="n">
        <f aca="true">RAND()</f>
        <v>0.974370285771016</v>
      </c>
    </row>
    <row r="127" customFormat="false" ht="15" hidden="false" customHeight="false" outlineLevel="0" collapsed="false">
      <c r="A127" s="50" t="n">
        <v>47</v>
      </c>
      <c r="B127" s="51" t="n">
        <f aca="false">1+IF($G$6=$E$6,$F$6,IF(P127&lt;($F$6-$E$6)/($G$6-$E$6),$E$6+SQRT(P127*($G$6-$E$6)*($F$6-$E$6)),$G$6-SQRT((1-P127)*($G$6-$E$6)*($G$6-$F$6))))</f>
        <v>1.03659172011351</v>
      </c>
      <c r="C127" s="51" t="n">
        <f aca="false">1+IF($G$7=$E$7,$F$7,IF(Q127&lt;($F$7-$E$7)/($G$7-$E$7),$E$7+SQRT(Q127*($G$7-$E$7)*($F$7-$E$7)),$G$7-SQRT((1-Q127)*($G$7-$E$7)*($G$7-$F$7))))</f>
        <v>0.854786688649978</v>
      </c>
      <c r="D127" s="51" t="n">
        <f aca="false">1+IF($G$8=$E$8,$F$8,IF(R127&lt;($F$8-$E$8)/($G$8-$E$8),$E$8+SQRT(R127*($G$8-$E$8)*($F$8-$E$8)),$G$8-SQRT((1-R127)*($G$8-$E$8)*($G$8-$F$8))))</f>
        <v>1.01668835124846</v>
      </c>
      <c r="E127" s="51" t="n">
        <f aca="false">1+IF($G$9=$E$9,$F$9,IF(S127&lt;($F$9-$E$9)/($G$9-$E$9),$E$9+SQRT(S127*($G$9-$E$9)*($F$9-$E$9)),$G$9-SQRT((1-S127)*($G$9-$E$9)*($G$9-$F$9))))</f>
        <v>0.982291101617096</v>
      </c>
      <c r="F127" s="51" t="n">
        <f aca="false">1+IF($G$10=$E$10,$F$10,IF(T127&lt;($F$10-$E$10)/($G$10-$E$10),$E$10+SQRT(T127*($G$10-$E$10)*($F$10-$E$10)),$G$10-SQRT((1-T127)*($G$10-$E$10)*($G$10-$F$10))))</f>
        <v>1.11976977460849</v>
      </c>
      <c r="G127" s="52" t="n">
        <f aca="false">IF($G$11=$E$11,$F$11,IF(U127&lt;($F$11-$E$11)/($G$11-$E$11),$E$11+SQRT(U127*($G$11-$E$11)*($F$11-$E$11)),$G$11-SQRT((1-U127)*($G$11-$E$11)*($G$11-$F$11))))</f>
        <v>0.0871208304431016</v>
      </c>
      <c r="H127" s="53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-2239539549.21698</v>
      </c>
      <c r="I127" s="53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-16726430.9439688</v>
      </c>
      <c r="J127" s="53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264139509.657962</v>
      </c>
      <c r="K127" s="53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600993938.990317</v>
      </c>
      <c r="L127" s="53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725238318.81436</v>
      </c>
      <c r="M127" s="53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893661516.743057</v>
      </c>
      <c r="N127" s="53" t="n">
        <f aca="false">IF(COUNT('Business Case'!B11:G11)=0,"",H127+NPV(G127,I127:M127))</f>
        <v>-455858417.275944</v>
      </c>
      <c r="P127" s="54" t="n">
        <f aca="true">RAND()</f>
        <v>0.976029070731399</v>
      </c>
      <c r="Q127" s="54" t="n">
        <f aca="true">RAND()</f>
        <v>0.177473473949817</v>
      </c>
      <c r="R127" s="54" t="n">
        <f aca="true">RAND()</f>
        <v>0.537277945486667</v>
      </c>
      <c r="S127" s="54" t="n">
        <f aca="true">RAND()</f>
        <v>0.270873016214207</v>
      </c>
      <c r="T127" s="54" t="n">
        <f aca="true">RAND()</f>
        <v>0.773867845259683</v>
      </c>
      <c r="U127" s="54" t="n">
        <f aca="true">RAND()</f>
        <v>0.0507062261994018</v>
      </c>
    </row>
    <row r="128" customFormat="false" ht="15" hidden="false" customHeight="false" outlineLevel="0" collapsed="false">
      <c r="A128" s="50" t="n">
        <v>48</v>
      </c>
      <c r="B128" s="51" t="n">
        <f aca="false">1+IF($G$6=$E$6,$F$6,IF(P128&lt;($F$6-$E$6)/($G$6-$E$6),$E$6+SQRT(P128*($G$6-$E$6)*($F$6-$E$6)),$G$6-SQRT((1-P128)*($G$6-$E$6)*($G$6-$F$6))))</f>
        <v>1.00011426373333</v>
      </c>
      <c r="C128" s="51" t="n">
        <f aca="false">1+IF($G$7=$E$7,$F$7,IF(Q128&lt;($F$7-$E$7)/($G$7-$E$7),$E$7+SQRT(Q128*($G$7-$E$7)*($F$7-$E$7)),$G$7-SQRT((1-Q128)*($G$7-$E$7)*($G$7-$F$7))))</f>
        <v>0.88524298846741</v>
      </c>
      <c r="D128" s="51" t="n">
        <f aca="false">1+IF($G$8=$E$8,$F$8,IF(R128&lt;($F$8-$E$8)/($G$8-$E$8),$E$8+SQRT(R128*($G$8-$E$8)*($F$8-$E$8)),$G$8-SQRT((1-R128)*($G$8-$E$8)*($G$8-$F$8))))</f>
        <v>1.05061721727264</v>
      </c>
      <c r="E128" s="51" t="n">
        <f aca="false">1+IF($G$9=$E$9,$F$9,IF(S128&lt;($F$9-$E$9)/($G$9-$E$9),$E$9+SQRT(S128*($G$9-$E$9)*($F$9-$E$9)),$G$9-SQRT((1-S128)*($G$9-$E$9)*($G$9-$F$9))))</f>
        <v>1.03316282803906</v>
      </c>
      <c r="F128" s="51" t="n">
        <f aca="false">1+IF($G$10=$E$10,$F$10,IF(T128&lt;($F$10-$E$10)/($G$10-$E$10),$E$10+SQRT(T128*($G$10-$E$10)*($F$10-$E$10)),$G$10-SQRT((1-T128)*($G$10-$E$10)*($G$10-$F$10))))</f>
        <v>1.08232486376276</v>
      </c>
      <c r="G128" s="52" t="n">
        <f aca="false">IF($G$11=$E$11,$F$11,IF(U128&lt;($F$11-$E$11)/($G$11-$E$11),$E$11+SQRT(U128*($G$11-$E$11)*($F$11-$E$11)),$G$11-SQRT((1-U128)*($G$11-$E$11)*($G$11-$F$11))))</f>
        <v>0.108633178572115</v>
      </c>
      <c r="H128" s="53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-2164649727.52552</v>
      </c>
      <c r="I128" s="53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-51995862.3387908</v>
      </c>
      <c r="J128" s="53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197052756.044589</v>
      </c>
      <c r="K128" s="53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500217617.616106</v>
      </c>
      <c r="L128" s="53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613831317.209726</v>
      </c>
      <c r="M128" s="53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782117531.271771</v>
      </c>
      <c r="N128" s="53" t="n">
        <f aca="false">IF(COUNT('Business Case'!B11:G11)=0,"",H128+NPV(G128,I128:M128))</f>
        <v>-810749841.29208</v>
      </c>
      <c r="P128" s="54" t="n">
        <f aca="true">RAND()</f>
        <v>0.668188442284335</v>
      </c>
      <c r="Q128" s="54" t="n">
        <f aca="true">RAND()</f>
        <v>0.254184924269162</v>
      </c>
      <c r="R128" s="54" t="n">
        <f aca="true">RAND()</f>
        <v>0.83742271800681</v>
      </c>
      <c r="S128" s="54" t="n">
        <f aca="true">RAND()</f>
        <v>0.635975339951219</v>
      </c>
      <c r="T128" s="54" t="n">
        <f aca="true">RAND()</f>
        <v>0.625133982504308</v>
      </c>
      <c r="U128" s="54" t="n">
        <f aca="true">RAND()</f>
        <v>0.695639294712578</v>
      </c>
    </row>
    <row r="129" customFormat="false" ht="15" hidden="false" customHeight="false" outlineLevel="0" collapsed="false">
      <c r="A129" s="50" t="n">
        <v>49</v>
      </c>
      <c r="B129" s="51" t="n">
        <f aca="false">1+IF($G$6=$E$6,$F$6,IF(P129&lt;($F$6-$E$6)/($G$6-$E$6),$E$6+SQRT(P129*($G$6-$E$6)*($F$6-$E$6)),$G$6-SQRT((1-P129)*($G$6-$E$6)*($G$6-$F$6))))</f>
        <v>0.988495526795175</v>
      </c>
      <c r="C129" s="51" t="n">
        <f aca="false">1+IF($G$7=$E$7,$F$7,IF(Q129&lt;($F$7-$E$7)/($G$7-$E$7),$E$7+SQRT(Q129*($G$7-$E$7)*($F$7-$E$7)),$G$7-SQRT((1-Q129)*($G$7-$E$7)*($G$7-$F$7))))</f>
        <v>1.00464831767206</v>
      </c>
      <c r="D129" s="51" t="n">
        <f aca="false">1+IF($G$8=$E$8,$F$8,IF(R129&lt;($F$8-$E$8)/($G$8-$E$8),$E$8+SQRT(R129*($G$8-$E$8)*($F$8-$E$8)),$G$8-SQRT((1-R129)*($G$8-$E$8)*($G$8-$F$8))))</f>
        <v>1.04542953124687</v>
      </c>
      <c r="E129" s="51" t="n">
        <f aca="false">1+IF($G$9=$E$9,$F$9,IF(S129&lt;($F$9-$E$9)/($G$9-$E$9),$E$9+SQRT(S129*($G$9-$E$9)*($F$9-$E$9)),$G$9-SQRT((1-S129)*($G$9-$E$9)*($G$9-$F$9))))</f>
        <v>1.00579119214567</v>
      </c>
      <c r="F129" s="51" t="n">
        <f aca="false">1+IF($G$10=$E$10,$F$10,IF(T129&lt;($F$10-$E$10)/($G$10-$E$10),$E$10+SQRT(T129*($G$10-$E$10)*($F$10-$E$10)),$G$10-SQRT((1-T129)*($G$10-$E$10)*($G$10-$F$10))))</f>
        <v>1.0381584191478</v>
      </c>
      <c r="G129" s="52" t="n">
        <f aca="false">IF($G$11=$E$11,$F$11,IF(U129&lt;($F$11-$E$11)/($G$11-$E$11),$E$11+SQRT(U129*($G$11-$E$11)*($F$11-$E$11)),$G$11-SQRT((1-U129)*($G$11-$E$11)*($G$11-$F$11))))</f>
        <v>0.120484748937212</v>
      </c>
      <c r="H129" s="53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-2076316838.2956</v>
      </c>
      <c r="I129" s="53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-22572595.2223944</v>
      </c>
      <c r="J129" s="53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253175963.671321</v>
      </c>
      <c r="K129" s="53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580832443.522427</v>
      </c>
      <c r="L129" s="53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707069832.939142</v>
      </c>
      <c r="M129" s="53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895836450.092598</v>
      </c>
      <c r="N129" s="53" t="n">
        <f aca="false">IF(COUNT('Business Case'!B11:G11)=0,"",H129+NPV(G129,I129:M129))</f>
        <v>-526116163.128615</v>
      </c>
      <c r="P129" s="54" t="n">
        <f aca="true">RAND()</f>
        <v>0.52209721751703</v>
      </c>
      <c r="Q129" s="54" t="n">
        <f aca="true">RAND()</f>
        <v>0.687005754732407</v>
      </c>
      <c r="R129" s="54" t="n">
        <f aca="true">RAND()</f>
        <v>0.801470929337572</v>
      </c>
      <c r="S129" s="54" t="n">
        <f aca="true">RAND()</f>
        <v>0.445435192992911</v>
      </c>
      <c r="T129" s="54" t="n">
        <f aca="true">RAND()</f>
        <v>0.401641928293871</v>
      </c>
      <c r="U129" s="54" t="n">
        <f aca="true">RAND()</f>
        <v>0.939639998141405</v>
      </c>
    </row>
    <row r="130" customFormat="false" ht="15" hidden="false" customHeight="false" outlineLevel="0" collapsed="false">
      <c r="A130" s="50" t="n">
        <v>50</v>
      </c>
      <c r="B130" s="51" t="n">
        <f aca="false">1+IF($G$6=$E$6,$F$6,IF(P130&lt;($F$6-$E$6)/($G$6-$E$6),$E$6+SQRT(P130*($G$6-$E$6)*($F$6-$E$6)),$G$6-SQRT((1-P130)*($G$6-$E$6)*($G$6-$F$6))))</f>
        <v>1.00391380950568</v>
      </c>
      <c r="C130" s="51" t="n">
        <f aca="false">1+IF($G$7=$E$7,$F$7,IF(Q130&lt;($F$7-$E$7)/($G$7-$E$7),$E$7+SQRT(Q130*($G$7-$E$7)*($F$7-$E$7)),$G$7-SQRT((1-Q130)*($G$7-$E$7)*($G$7-$F$7))))</f>
        <v>0.852418023553338</v>
      </c>
      <c r="D130" s="51" t="n">
        <f aca="false">1+IF($G$8=$E$8,$F$8,IF(R130&lt;($F$8-$E$8)/($G$8-$E$8),$E$8+SQRT(R130*($G$8-$E$8)*($F$8-$E$8)),$G$8-SQRT((1-R130)*($G$8-$E$8)*($G$8-$F$8))))</f>
        <v>1.00033751126967</v>
      </c>
      <c r="E130" s="51" t="n">
        <f aca="false">1+IF($G$9=$E$9,$F$9,IF(S130&lt;($F$9-$E$9)/($G$9-$E$9),$E$9+SQRT(S130*($G$9-$E$9)*($F$9-$E$9)),$G$9-SQRT((1-S130)*($G$9-$E$9)*($G$9-$F$9))))</f>
        <v>0.99014278437371</v>
      </c>
      <c r="F130" s="51" t="n">
        <f aca="false">1+IF($G$10=$E$10,$F$10,IF(T130&lt;($F$10-$E$10)/($G$10-$E$10),$E$10+SQRT(T130*($G$10-$E$10)*($F$10-$E$10)),$G$10-SQRT((1-T130)*($G$10-$E$10)*($G$10-$F$10))))</f>
        <v>1.06423171787949</v>
      </c>
      <c r="G130" s="52" t="n">
        <f aca="false">IF($G$11=$E$11,$F$11,IF(U130&lt;($F$11-$E$11)/($G$11-$E$11),$E$11+SQRT(U130*($G$11-$E$11)*($F$11-$E$11)),$G$11-SQRT((1-U130)*($G$11-$E$11)*($G$11-$F$11))))</f>
        <v>0.101450760807672</v>
      </c>
      <c r="H130" s="53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-2128463435.75898</v>
      </c>
      <c r="I130" s="53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-27176564.282033</v>
      </c>
      <c r="J130" s="53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237230646.202244</v>
      </c>
      <c r="K130" s="53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554849442.580496</v>
      </c>
      <c r="L130" s="53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672560045.435535</v>
      </c>
      <c r="M130" s="53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835221808.58374</v>
      </c>
      <c r="N130" s="53" t="n">
        <f aca="false">IF(COUNT('Business Case'!B11:G11)=0,"",H130+NPV(G130,I130:M130))</f>
        <v>-570220277.254467</v>
      </c>
      <c r="P130" s="54" t="n">
        <f aca="true">RAND()</f>
        <v>0.716808406096177</v>
      </c>
      <c r="Q130" s="54" t="n">
        <f aca="true">RAND()</f>
        <v>0.172083362251155</v>
      </c>
      <c r="R130" s="54" t="n">
        <f aca="true">RAND()</f>
        <v>0.337825889338425</v>
      </c>
      <c r="S130" s="54" t="n">
        <f aca="true">RAND()</f>
        <v>0.325028862985807</v>
      </c>
      <c r="T130" s="54" t="n">
        <f aca="true">RAND()</f>
        <v>0.539868604773269</v>
      </c>
      <c r="U130" s="54" t="n">
        <f aca="true">RAND()</f>
        <v>0.456627294359499</v>
      </c>
    </row>
    <row r="131" customFormat="false" ht="15" hidden="false" customHeight="false" outlineLevel="0" collapsed="false">
      <c r="A131" s="50" t="n">
        <v>51</v>
      </c>
      <c r="B131" s="51" t="n">
        <f aca="false">1+IF($G$6=$E$6,$F$6,IF(P131&lt;($F$6-$E$6)/($G$6-$E$6),$E$6+SQRT(P131*($G$6-$E$6)*($F$6-$E$6)),$G$6-SQRT((1-P131)*($G$6-$E$6)*($G$6-$F$6))))</f>
        <v>0.958809399680372</v>
      </c>
      <c r="C131" s="51" t="n">
        <f aca="false">1+IF($G$7=$E$7,$F$7,IF(Q131&lt;($F$7-$E$7)/($G$7-$E$7),$E$7+SQRT(Q131*($G$7-$E$7)*($F$7-$E$7)),$G$7-SQRT((1-Q131)*($G$7-$E$7)*($G$7-$F$7))))</f>
        <v>0.913260631626937</v>
      </c>
      <c r="D131" s="51" t="n">
        <f aca="false">1+IF($G$8=$E$8,$F$8,IF(R131&lt;($F$8-$E$8)/($G$8-$E$8),$E$8+SQRT(R131*($G$8-$E$8)*($F$8-$E$8)),$G$8-SQRT((1-R131)*($G$8-$E$8)*($G$8-$F$8))))</f>
        <v>1.07029852332296</v>
      </c>
      <c r="E131" s="51" t="n">
        <f aca="false">1+IF($G$9=$E$9,$F$9,IF(S131&lt;($F$9-$E$9)/($G$9-$E$9),$E$9+SQRT(S131*($G$9-$E$9)*($F$9-$E$9)),$G$9-SQRT((1-S131)*($G$9-$E$9)*($G$9-$F$9))))</f>
        <v>0.95899598461295</v>
      </c>
      <c r="F131" s="51" t="n">
        <f aca="false">1+IF($G$10=$E$10,$F$10,IF(T131&lt;($F$10-$E$10)/($G$10-$E$10),$E$10+SQRT(T131*($G$10-$E$10)*($F$10-$E$10)),$G$10-SQRT((1-T131)*($G$10-$E$10)*($G$10-$F$10))))</f>
        <v>1.02010252137913</v>
      </c>
      <c r="G131" s="52" t="n">
        <f aca="false">IF($G$11=$E$11,$F$11,IF(U131&lt;($F$11-$E$11)/($G$11-$E$11),$E$11+SQRT(U131*($G$11-$E$11)*($F$11-$E$11)),$G$11-SQRT((1-U131)*($G$11-$E$11)*($G$11-$F$11))))</f>
        <v>0.0948504010642237</v>
      </c>
      <c r="H131" s="53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-2040205042.75827</v>
      </c>
      <c r="I131" s="53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-66940338.4698656</v>
      </c>
      <c r="J131" s="53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149892131.003691</v>
      </c>
      <c r="K131" s="53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417729726.546204</v>
      </c>
      <c r="L131" s="53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520269434.233087</v>
      </c>
      <c r="M131" s="53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686711632.476093</v>
      </c>
      <c r="N131" s="53" t="n">
        <f aca="false">IF(COUNT('Business Case'!B11:G11)=0,"",H131+NPV(G131,I131:M131))</f>
        <v>-859404179.505407</v>
      </c>
      <c r="P131" s="54" t="n">
        <f aca="true">RAND()</f>
        <v>0.230569699384385</v>
      </c>
      <c r="Q131" s="54" t="n">
        <f aca="true">RAND()</f>
        <v>0.33688960742163</v>
      </c>
      <c r="R131" s="54" t="n">
        <f aca="true">RAND()</f>
        <v>0.941188152213533</v>
      </c>
      <c r="S131" s="54" t="n">
        <f aca="true">RAND()</f>
        <v>0.139221048018056</v>
      </c>
      <c r="T131" s="54" t="n">
        <f aca="true">RAND()</f>
        <v>0.295295324316905</v>
      </c>
      <c r="U131" s="54" t="n">
        <f aca="true">RAND()</f>
        <v>0.220534411768296</v>
      </c>
    </row>
    <row r="132" customFormat="false" ht="15" hidden="false" customHeight="false" outlineLevel="0" collapsed="false">
      <c r="A132" s="50" t="n">
        <v>52</v>
      </c>
      <c r="B132" s="51" t="n">
        <f aca="false">1+IF($G$6=$E$6,$F$6,IF(P132&lt;($F$6-$E$6)/($G$6-$E$6),$E$6+SQRT(P132*($G$6-$E$6)*($F$6-$E$6)),$G$6-SQRT((1-P132)*($G$6-$E$6)*($G$6-$F$6))))</f>
        <v>0.994431595104184</v>
      </c>
      <c r="C132" s="51" t="n">
        <f aca="false">1+IF($G$7=$E$7,$F$7,IF(Q132&lt;($F$7-$E$7)/($G$7-$E$7),$E$7+SQRT(Q132*($G$7-$E$7)*($F$7-$E$7)),$G$7-SQRT((1-Q132)*($G$7-$E$7)*($G$7-$F$7))))</f>
        <v>1.04654224171624</v>
      </c>
      <c r="D132" s="51" t="n">
        <f aca="false">1+IF($G$8=$E$8,$F$8,IF(R132&lt;($F$8-$E$8)/($G$8-$E$8),$E$8+SQRT(R132*($G$8-$E$8)*($F$8-$E$8)),$G$8-SQRT((1-R132)*($G$8-$E$8)*($G$8-$F$8))))</f>
        <v>1.01491600206697</v>
      </c>
      <c r="E132" s="51" t="n">
        <f aca="false">1+IF($G$9=$E$9,$F$9,IF(S132&lt;($F$9-$E$9)/($G$9-$E$9),$E$9+SQRT(S132*($G$9-$E$9)*($F$9-$E$9)),$G$9-SQRT((1-S132)*($G$9-$E$9)*($G$9-$F$9))))</f>
        <v>1.00898802218885</v>
      </c>
      <c r="F132" s="51" t="n">
        <f aca="false">1+IF($G$10=$E$10,$F$10,IF(T132&lt;($F$10-$E$10)/($G$10-$E$10),$E$10+SQRT(T132*($G$10-$E$10)*($F$10-$E$10)),$G$10-SQRT((1-T132)*($G$10-$E$10)*($G$10-$F$10))))</f>
        <v>1.18557173327321</v>
      </c>
      <c r="G132" s="52" t="n">
        <f aca="false">IF($G$11=$E$11,$F$11,IF(U132&lt;($F$11-$E$11)/($G$11-$E$11),$E$11+SQRT(U132*($G$11-$E$11)*($F$11-$E$11)),$G$11-SQRT((1-U132)*($G$11-$E$11)*($G$11-$F$11))))</f>
        <v>0.111226473849394</v>
      </c>
      <c r="H132" s="53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-2371143466.54643</v>
      </c>
      <c r="I132" s="53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-7302763.19193207</v>
      </c>
      <c r="J132" s="53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301380392.231625</v>
      </c>
      <c r="K132" s="53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669342134.318842</v>
      </c>
      <c r="L132" s="53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808203618.481971</v>
      </c>
      <c r="M132" s="53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1006022663.10265</v>
      </c>
      <c r="N132" s="53" t="n">
        <f aca="false">IF(COUNT('Business Case'!B11:G11)=0,"",H132+NPV(G132,I132:M132))</f>
        <v>-522069116.479224</v>
      </c>
      <c r="P132" s="54" t="n">
        <f aca="true">RAND()</f>
        <v>0.594488410261376</v>
      </c>
      <c r="Q132" s="54" t="n">
        <f aca="true">RAND()</f>
        <v>0.841429514828124</v>
      </c>
      <c r="R132" s="54" t="n">
        <f aca="true">RAND()</f>
        <v>0.517380886382148</v>
      </c>
      <c r="S132" s="54" t="n">
        <f aca="true">RAND()</f>
        <v>0.469749923034347</v>
      </c>
      <c r="T132" s="54" t="n">
        <f aca="true">RAND()</f>
        <v>0.944653312621094</v>
      </c>
      <c r="U132" s="54" t="n">
        <f aca="true">RAND()</f>
        <v>0.765036477248351</v>
      </c>
    </row>
    <row r="133" customFormat="false" ht="15" hidden="false" customHeight="false" outlineLevel="0" collapsed="false">
      <c r="A133" s="50" t="n">
        <v>53</v>
      </c>
      <c r="B133" s="51" t="n">
        <f aca="false">1+IF($G$6=$E$6,$F$6,IF(P133&lt;($F$6-$E$6)/($G$6-$E$6),$E$6+SQRT(P133*($G$6-$E$6)*($F$6-$E$6)),$G$6-SQRT((1-P133)*($G$6-$E$6)*($G$6-$F$6))))</f>
        <v>0.946655185394064</v>
      </c>
      <c r="C133" s="51" t="n">
        <f aca="false">1+IF($G$7=$E$7,$F$7,IF(Q133&lt;($F$7-$E$7)/($G$7-$E$7),$E$7+SQRT(Q133*($G$7-$E$7)*($F$7-$E$7)),$G$7-SQRT((1-Q133)*($G$7-$E$7)*($G$7-$F$7))))</f>
        <v>1.07791447668468</v>
      </c>
      <c r="D133" s="51" t="n">
        <f aca="false">1+IF($G$8=$E$8,$F$8,IF(R133&lt;($F$8-$E$8)/($G$8-$E$8),$E$8+SQRT(R133*($G$8-$E$8)*($F$8-$E$8)),$G$8-SQRT((1-R133)*($G$8-$E$8)*($G$8-$F$8))))</f>
        <v>1.0455491139609</v>
      </c>
      <c r="E133" s="51" t="n">
        <f aca="false">1+IF($G$9=$E$9,$F$9,IF(S133&lt;($F$9-$E$9)/($G$9-$E$9),$E$9+SQRT(S133*($G$9-$E$9)*($F$9-$E$9)),$G$9-SQRT((1-S133)*($G$9-$E$9)*($G$9-$F$9))))</f>
        <v>1.02194525681561</v>
      </c>
      <c r="F133" s="51" t="n">
        <f aca="false">1+IF($G$10=$E$10,$F$10,IF(T133&lt;($F$10-$E$10)/($G$10-$E$10),$E$10+SQRT(T133*($G$10-$E$10)*($F$10-$E$10)),$G$10-SQRT((1-T133)*($G$10-$E$10)*($G$10-$F$10))))</f>
        <v>1.15702500074203</v>
      </c>
      <c r="G133" s="52" t="n">
        <f aca="false">IF($G$11=$E$11,$F$11,IF(U133&lt;($F$11-$E$11)/($G$11-$E$11),$E$11+SQRT(U133*($G$11-$E$11)*($F$11-$E$11)),$G$11-SQRT((1-U133)*($G$11-$E$11)*($G$11-$F$11))))</f>
        <v>0.114204842177149</v>
      </c>
      <c r="H133" s="53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-2314050001.48407</v>
      </c>
      <c r="I133" s="53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-55069608.860289</v>
      </c>
      <c r="J133" s="53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203782124.835976</v>
      </c>
      <c r="K133" s="53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520485108.569343</v>
      </c>
      <c r="L133" s="53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642034504.443545</v>
      </c>
      <c r="M133" s="53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835994669.975173</v>
      </c>
      <c r="N133" s="53" t="n">
        <f aca="false">IF(COUNT('Business Case'!B11:G11)=0,"",H133+NPV(G133,I133:M133))</f>
        <v>-919634222.559353</v>
      </c>
      <c r="P133" s="54" t="n">
        <f aca="true">RAND()</f>
        <v>0.145113754943631</v>
      </c>
      <c r="Q133" s="54" t="n">
        <f aca="true">RAND()</f>
        <v>0.923017441901571</v>
      </c>
      <c r="R133" s="54" t="n">
        <f aca="true">RAND()</f>
        <v>0.802340067303771</v>
      </c>
      <c r="S133" s="54" t="n">
        <f aca="true">RAND()</f>
        <v>0.562719539946124</v>
      </c>
      <c r="T133" s="54" t="n">
        <f aca="true">RAND()</f>
        <v>0.884741993506414</v>
      </c>
      <c r="U133" s="54" t="n">
        <f aca="true">RAND()</f>
        <v>0.83367532623415</v>
      </c>
    </row>
    <row r="134" customFormat="false" ht="15" hidden="false" customHeight="false" outlineLevel="0" collapsed="false">
      <c r="A134" s="50" t="n">
        <v>54</v>
      </c>
      <c r="B134" s="51" t="n">
        <f aca="false">1+IF($G$6=$E$6,$F$6,IF(P134&lt;($F$6-$E$6)/($G$6-$E$6),$E$6+SQRT(P134*($G$6-$E$6)*($F$6-$E$6)),$G$6-SQRT((1-P134)*($G$6-$E$6)*($G$6-$F$6))))</f>
        <v>0.977605849469148</v>
      </c>
      <c r="C134" s="51" t="n">
        <f aca="false">1+IF($G$7=$E$7,$F$7,IF(Q134&lt;($F$7-$E$7)/($G$7-$E$7),$E$7+SQRT(Q134*($G$7-$E$7)*($F$7-$E$7)),$G$7-SQRT((1-Q134)*($G$7-$E$7)*($G$7-$F$7))))</f>
        <v>0.939076841341521</v>
      </c>
      <c r="D134" s="51" t="n">
        <f aca="false">1+IF($G$8=$E$8,$F$8,IF(R134&lt;($F$8-$E$8)/($G$8-$E$8),$E$8+SQRT(R134*($G$8-$E$8)*($F$8-$E$8)),$G$8-SQRT((1-R134)*($G$8-$E$8)*($G$8-$F$8))))</f>
        <v>0.988943434528479</v>
      </c>
      <c r="E134" s="51" t="n">
        <f aca="false">1+IF($G$9=$E$9,$F$9,IF(S134&lt;($F$9-$E$9)/($G$9-$E$9),$E$9+SQRT(S134*($G$9-$E$9)*($F$9-$E$9)),$G$9-SQRT((1-S134)*($G$9-$E$9)*($G$9-$F$9))))</f>
        <v>0.933160776019593</v>
      </c>
      <c r="F134" s="51" t="n">
        <f aca="false">1+IF($G$10=$E$10,$F$10,IF(T134&lt;($F$10-$E$10)/($G$10-$E$10),$E$10+SQRT(T134*($G$10-$E$10)*($F$10-$E$10)),$G$10-SQRT((1-T134)*($G$10-$E$10)*($G$10-$F$10))))</f>
        <v>0.997827813525055</v>
      </c>
      <c r="G134" s="52" t="n">
        <f aca="false">IF($G$11=$E$11,$F$11,IF(U134&lt;($F$11-$E$11)/($G$11-$E$11),$E$11+SQRT(U134*($G$11-$E$11)*($F$11-$E$11)),$G$11-SQRT((1-U134)*($G$11-$E$11)*($G$11-$F$11))))</f>
        <v>0.0875513667697604</v>
      </c>
      <c r="H134" s="53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-1995655627.05011</v>
      </c>
      <c r="I134" s="53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-3540167.06595647</v>
      </c>
      <c r="J134" s="53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272989466.734684</v>
      </c>
      <c r="K134" s="53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599410491.211578</v>
      </c>
      <c r="L134" s="53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723314740.587862</v>
      </c>
      <c r="M134" s="53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897817116.856249</v>
      </c>
      <c r="N134" s="53" t="n">
        <f aca="false">IF(COUNT('Business Case'!B11:G11)=0,"",H134+NPV(G134,I134:M134))</f>
        <v>-194953908.868794</v>
      </c>
      <c r="P134" s="54" t="n">
        <f aca="true">RAND()</f>
        <v>0.401511191455201</v>
      </c>
      <c r="Q134" s="54" t="n">
        <f aca="true">RAND()</f>
        <v>0.423390637524732</v>
      </c>
      <c r="R134" s="54" t="n">
        <f aca="true">RAND()</f>
        <v>0.202212145716524</v>
      </c>
      <c r="S134" s="54" t="n">
        <f aca="true">RAND()</f>
        <v>0.0439854826488643</v>
      </c>
      <c r="T134" s="54" t="n">
        <f aca="true">RAND()</f>
        <v>0.15249998310583</v>
      </c>
      <c r="U134" s="54" t="n">
        <f aca="true">RAND()</f>
        <v>0.0570231400914417</v>
      </c>
    </row>
    <row r="135" customFormat="false" ht="15" hidden="false" customHeight="false" outlineLevel="0" collapsed="false">
      <c r="A135" s="50" t="n">
        <v>55</v>
      </c>
      <c r="B135" s="51" t="n">
        <f aca="false">1+IF($G$6=$E$6,$F$6,IF(P135&lt;($F$6-$E$6)/($G$6-$E$6),$E$6+SQRT(P135*($G$6-$E$6)*($F$6-$E$6)),$G$6-SQRT((1-P135)*($G$6-$E$6)*($G$6-$F$6))))</f>
        <v>0.992313601901401</v>
      </c>
      <c r="C135" s="51" t="n">
        <f aca="false">1+IF($G$7=$E$7,$F$7,IF(Q135&lt;($F$7-$E$7)/($G$7-$E$7),$E$7+SQRT(Q135*($G$7-$E$7)*($F$7-$E$7)),$G$7-SQRT((1-Q135)*($G$7-$E$7)*($G$7-$F$7))))</f>
        <v>1.03741588937396</v>
      </c>
      <c r="D135" s="51" t="n">
        <f aca="false">1+IF($G$8=$E$8,$F$8,IF(R135&lt;($F$8-$E$8)/($G$8-$E$8),$E$8+SQRT(R135*($G$8-$E$8)*($F$8-$E$8)),$G$8-SQRT((1-R135)*($G$8-$E$8)*($G$8-$F$8))))</f>
        <v>1.07937416119909</v>
      </c>
      <c r="E135" s="51" t="n">
        <f aca="false">1+IF($G$9=$E$9,$F$9,IF(S135&lt;($F$9-$E$9)/($G$9-$E$9),$E$9+SQRT(S135*($G$9-$E$9)*($F$9-$E$9)),$G$9-SQRT((1-S135)*($G$9-$E$9)*($G$9-$F$9))))</f>
        <v>1.0362616500396</v>
      </c>
      <c r="F135" s="51" t="n">
        <f aca="false">1+IF($G$10=$E$10,$F$10,IF(T135&lt;($F$10-$E$10)/($G$10-$E$10),$E$10+SQRT(T135*($G$10-$E$10)*($F$10-$E$10)),$G$10-SQRT((1-T135)*($G$10-$E$10)*($G$10-$F$10))))</f>
        <v>1.06800344462418</v>
      </c>
      <c r="G135" s="52" t="n">
        <f aca="false">IF($G$11=$E$11,$F$11,IF(U135&lt;($F$11-$E$11)/($G$11-$E$11),$E$11+SQRT(U135*($G$11-$E$11)*($F$11-$E$11)),$G$11-SQRT((1-U135)*($G$11-$E$11)*($G$11-$F$11))))</f>
        <v>0.0860522264335276</v>
      </c>
      <c r="H135" s="53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-2136006889.24836</v>
      </c>
      <c r="I135" s="53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-37563475.6996785</v>
      </c>
      <c r="J135" s="53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232396067.683465</v>
      </c>
      <c r="K135" s="53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555755783.297817</v>
      </c>
      <c r="L135" s="53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681319809.748714</v>
      </c>
      <c r="M135" s="53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876996125.692882</v>
      </c>
      <c r="N135" s="53" t="n">
        <f aca="false">IF(COUNT('Business Case'!B11:G11)=0,"",H135+NPV(G135,I135:M135))</f>
        <v>-469581342.690288</v>
      </c>
      <c r="P135" s="54" t="n">
        <f aca="true">RAND()</f>
        <v>0.568120073067355</v>
      </c>
      <c r="Q135" s="54" t="n">
        <f aca="true">RAND()</f>
        <v>0.812219526437684</v>
      </c>
      <c r="R135" s="54" t="n">
        <f aca="true">RAND()</f>
        <v>0.971638318250591</v>
      </c>
      <c r="S135" s="54" t="n">
        <f aca="true">RAND()</f>
        <v>0.655029006620928</v>
      </c>
      <c r="T135" s="54" t="n">
        <f aca="true">RAND()</f>
        <v>0.558363384417826</v>
      </c>
      <c r="U135" s="54" t="n">
        <f aca="true">RAND()</f>
        <v>0.0366294448026896</v>
      </c>
    </row>
    <row r="136" customFormat="false" ht="15" hidden="false" customHeight="false" outlineLevel="0" collapsed="false">
      <c r="A136" s="50" t="n">
        <v>56</v>
      </c>
      <c r="B136" s="51" t="n">
        <f aca="false">1+IF($G$6=$E$6,$F$6,IF(P136&lt;($F$6-$E$6)/($G$6-$E$6),$E$6+SQRT(P136*($G$6-$E$6)*($F$6-$E$6)),$G$6-SQRT((1-P136)*($G$6-$E$6)*($G$6-$F$6))))</f>
        <v>1.02678441377186</v>
      </c>
      <c r="C136" s="51" t="n">
        <f aca="false">1+IF($G$7=$E$7,$F$7,IF(Q136&lt;($F$7-$E$7)/($G$7-$E$7),$E$7+SQRT(Q136*($G$7-$E$7)*($F$7-$E$7)),$G$7-SQRT((1-Q136)*($G$7-$E$7)*($G$7-$F$7))))</f>
        <v>1.04937828351843</v>
      </c>
      <c r="D136" s="51" t="n">
        <f aca="false">1+IF($G$8=$E$8,$F$8,IF(R136&lt;($F$8-$E$8)/($G$8-$E$8),$E$8+SQRT(R136*($G$8-$E$8)*($F$8-$E$8)),$G$8-SQRT((1-R136)*($G$8-$E$8)*($G$8-$F$8))))</f>
        <v>0.99484530402363</v>
      </c>
      <c r="E136" s="51" t="n">
        <f aca="false">1+IF($G$9=$E$9,$F$9,IF(S136&lt;($F$9-$E$9)/($G$9-$E$9),$E$9+SQRT(S136*($G$9-$E$9)*($F$9-$E$9)),$G$9-SQRT((1-S136)*($G$9-$E$9)*($G$9-$F$9))))</f>
        <v>1.01678685600683</v>
      </c>
      <c r="F136" s="51" t="n">
        <f aca="false">1+IF($G$10=$E$10,$F$10,IF(T136&lt;($F$10-$E$10)/($G$10-$E$10),$E$10+SQRT(T136*($G$10-$E$10)*($F$10-$E$10)),$G$10-SQRT((1-T136)*($G$10-$E$10)*($G$10-$F$10))))</f>
        <v>1.1348423755566</v>
      </c>
      <c r="G136" s="52" t="n">
        <f aca="false">IF($G$11=$E$11,$F$11,IF(U136&lt;($F$11-$E$11)/($G$11-$E$11),$E$11+SQRT(U136*($G$11-$E$11)*($F$11-$E$11)),$G$11-SQRT((1-U136)*($G$11-$E$11)*($G$11-$F$11))))</f>
        <v>0.102643670177576</v>
      </c>
      <c r="H136" s="53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-2269684751.11319</v>
      </c>
      <c r="I136" s="53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34181206.9519185</v>
      </c>
      <c r="J136" s="53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382290578.555866</v>
      </c>
      <c r="K136" s="53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787142068.937642</v>
      </c>
      <c r="L136" s="53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940416416.920423</v>
      </c>
      <c r="M136" s="53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1145224816.21848</v>
      </c>
      <c r="N136" s="53" t="n">
        <f aca="false">IF(COUNT('Business Case'!B11:G11)=0,"",H136+NPV(G136,I136:M136))</f>
        <v>1681934.5430274</v>
      </c>
      <c r="P136" s="54" t="n">
        <f aca="true">RAND()</f>
        <v>0.928138207477837</v>
      </c>
      <c r="Q136" s="54" t="n">
        <f aca="true">RAND()</f>
        <v>0.85000400255264</v>
      </c>
      <c r="R136" s="54" t="n">
        <f aca="true">RAND()</f>
        <v>0.268146839062906</v>
      </c>
      <c r="S136" s="54" t="n">
        <f aca="true">RAND()</f>
        <v>0.526780220465467</v>
      </c>
      <c r="T136" s="54" t="n">
        <f aca="true">RAND()</f>
        <v>0.823182953767358</v>
      </c>
      <c r="U136" s="54" t="n">
        <f aca="true">RAND()</f>
        <v>0.50108747909784</v>
      </c>
    </row>
    <row r="137" customFormat="false" ht="15" hidden="false" customHeight="false" outlineLevel="0" collapsed="false">
      <c r="A137" s="50" t="n">
        <v>57</v>
      </c>
      <c r="B137" s="51" t="n">
        <f aca="false">1+IF($G$6=$E$6,$F$6,IF(P137&lt;($F$6-$E$6)/($G$6-$E$6),$E$6+SQRT(P137*($G$6-$E$6)*($F$6-$E$6)),$G$6-SQRT((1-P137)*($G$6-$E$6)*($G$6-$F$6))))</f>
        <v>1.01422627390401</v>
      </c>
      <c r="C137" s="51" t="n">
        <f aca="false">1+IF($G$7=$E$7,$F$7,IF(Q137&lt;($F$7-$E$7)/($G$7-$E$7),$E$7+SQRT(Q137*($G$7-$E$7)*($F$7-$E$7)),$G$7-SQRT((1-Q137)*($G$7-$E$7)*($G$7-$F$7))))</f>
        <v>0.736398137359929</v>
      </c>
      <c r="D137" s="51" t="n">
        <f aca="false">1+IF($G$8=$E$8,$F$8,IF(R137&lt;($F$8-$E$8)/($G$8-$E$8),$E$8+SQRT(R137*($G$8-$E$8)*($F$8-$E$8)),$G$8-SQRT((1-R137)*($G$8-$E$8)*($G$8-$F$8))))</f>
        <v>0.980327187445401</v>
      </c>
      <c r="E137" s="51" t="n">
        <f aca="false">1+IF($G$9=$E$9,$F$9,IF(S137&lt;($F$9-$E$9)/($G$9-$E$9),$E$9+SQRT(S137*($G$9-$E$9)*($F$9-$E$9)),$G$9-SQRT((1-S137)*($G$9-$E$9)*($G$9-$F$9))))</f>
        <v>0.992146623633734</v>
      </c>
      <c r="F137" s="51" t="n">
        <f aca="false">1+IF($G$10=$E$10,$F$10,IF(T137&lt;($F$10-$E$10)/($G$10-$E$10),$E$10+SQRT(T137*($G$10-$E$10)*($F$10-$E$10)),$G$10-SQRT((1-T137)*($G$10-$E$10)*($G$10-$F$10))))</f>
        <v>1.11971478958998</v>
      </c>
      <c r="G137" s="52" t="n">
        <f aca="false">IF($G$11=$E$11,$F$11,IF(U137&lt;($F$11-$E$11)/($G$11-$E$11),$E$11+SQRT(U137*($G$11-$E$11)*($F$11-$E$11)),$G$11-SQRT((1-U137)*($G$11-$E$11)*($G$11-$F$11))))</f>
        <v>0.0959282375385455</v>
      </c>
      <c r="H137" s="53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-2239429579.17996</v>
      </c>
      <c r="I137" s="53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-49589573.9152876</v>
      </c>
      <c r="J137" s="53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192593546.741055</v>
      </c>
      <c r="K137" s="53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490762406.876897</v>
      </c>
      <c r="L137" s="53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597302090.916954</v>
      </c>
      <c r="M137" s="53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739267965.267309</v>
      </c>
      <c r="N137" s="53" t="n">
        <f aca="false">IF(COUNT('Business Case'!B11:G11)=0,"",H137+NPV(G137,I137:M137))</f>
        <v>-869802989.984164</v>
      </c>
      <c r="P137" s="54" t="n">
        <f aca="true">RAND()</f>
        <v>0.829365402827844</v>
      </c>
      <c r="Q137" s="54" t="n">
        <f aca="true">RAND()</f>
        <v>0.009813514098313</v>
      </c>
      <c r="R137" s="54" t="n">
        <f aca="true">RAND()</f>
        <v>0.122631773113135</v>
      </c>
      <c r="S137" s="54" t="n">
        <f aca="true">RAND()</f>
        <v>0.33964000988388</v>
      </c>
      <c r="T137" s="54" t="n">
        <f aca="true">RAND()</f>
        <v>0.773676852645564</v>
      </c>
      <c r="U137" s="54" t="n">
        <f aca="true">RAND()</f>
        <v>0.253708751084331</v>
      </c>
    </row>
    <row r="138" customFormat="false" ht="15" hidden="false" customHeight="false" outlineLevel="0" collapsed="false">
      <c r="A138" s="50" t="n">
        <v>58</v>
      </c>
      <c r="B138" s="51" t="n">
        <f aca="false">1+IF($G$6=$E$6,$F$6,IF(P138&lt;($F$6-$E$6)/($G$6-$E$6),$E$6+SQRT(P138*($G$6-$E$6)*($F$6-$E$6)),$G$6-SQRT((1-P138)*($G$6-$E$6)*($G$6-$F$6))))</f>
        <v>0.989714687405628</v>
      </c>
      <c r="C138" s="51" t="n">
        <f aca="false">1+IF($G$7=$E$7,$F$7,IF(Q138&lt;($F$7-$E$7)/($G$7-$E$7),$E$7+SQRT(Q138*($G$7-$E$7)*($F$7-$E$7)),$G$7-SQRT((1-Q138)*($G$7-$E$7)*($G$7-$F$7))))</f>
        <v>0.99621239291261</v>
      </c>
      <c r="D138" s="51" t="n">
        <f aca="false">1+IF($G$8=$E$8,$F$8,IF(R138&lt;($F$8-$E$8)/($G$8-$E$8),$E$8+SQRT(R138*($G$8-$E$8)*($F$8-$E$8)),$G$8-SQRT((1-R138)*($G$8-$E$8)*($G$8-$F$8))))</f>
        <v>0.960889874890612</v>
      </c>
      <c r="E138" s="51" t="n">
        <f aca="false">1+IF($G$9=$E$9,$F$9,IF(S138&lt;($F$9-$E$9)/($G$9-$E$9),$E$9+SQRT(S138*($G$9-$E$9)*($F$9-$E$9)),$G$9-SQRT((1-S138)*($G$9-$E$9)*($G$9-$F$9))))</f>
        <v>0.944712366035497</v>
      </c>
      <c r="F138" s="51" t="n">
        <f aca="false">1+IF($G$10=$E$10,$F$10,IF(T138&lt;($F$10-$E$10)/($G$10-$E$10),$E$10+SQRT(T138*($G$10-$E$10)*($F$10-$E$10)),$G$10-SQRT((1-T138)*($G$10-$E$10)*($G$10-$F$10))))</f>
        <v>1.06473248649288</v>
      </c>
      <c r="G138" s="52" t="n">
        <f aca="false">IF($G$11=$E$11,$F$11,IF(U138&lt;($F$11-$E$11)/($G$11-$E$11),$E$11+SQRT(U138*($G$11-$E$11)*($F$11-$E$11)),$G$11-SQRT((1-U138)*($G$11-$E$11)*($G$11-$F$11))))</f>
        <v>0.105242638196698</v>
      </c>
      <c r="H138" s="53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-2129464972.98576</v>
      </c>
      <c r="I138" s="53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25617721.8495007</v>
      </c>
      <c r="J138" s="53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343159270.158748</v>
      </c>
      <c r="K138" s="53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713937442.79264</v>
      </c>
      <c r="L138" s="53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853859611.80253</v>
      </c>
      <c r="M138" s="53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1041272036.12331</v>
      </c>
      <c r="N138" s="53" t="n">
        <f aca="false">IF(COUNT('Business Case'!B11:G11)=0,"",H138+NPV(G138,I138:M138))</f>
        <v>-93003913.471457</v>
      </c>
      <c r="P138" s="54" t="n">
        <f aca="true">RAND()</f>
        <v>0.536581675752636</v>
      </c>
      <c r="Q138" s="54" t="n">
        <f aca="true">RAND()</f>
        <v>0.64993912381492</v>
      </c>
      <c r="R138" s="54" t="n">
        <f aca="true">RAND()</f>
        <v>0.0158119166844233</v>
      </c>
      <c r="S138" s="54" t="n">
        <f aca="true">RAND()</f>
        <v>0.0799678270596904</v>
      </c>
      <c r="T138" s="54" t="n">
        <f aca="true">RAND()</f>
        <v>0.542345979185184</v>
      </c>
      <c r="U138" s="54" t="n">
        <f aca="true">RAND()</f>
        <v>0.591382024360284</v>
      </c>
    </row>
    <row r="139" customFormat="false" ht="15" hidden="false" customHeight="false" outlineLevel="0" collapsed="false">
      <c r="A139" s="50" t="n">
        <v>59</v>
      </c>
      <c r="B139" s="51" t="n">
        <f aca="false">1+IF($G$6=$E$6,$F$6,IF(P139&lt;($F$6-$E$6)/($G$6-$E$6),$E$6+SQRT(P139*($G$6-$E$6)*($F$6-$E$6)),$G$6-SQRT((1-P139)*($G$6-$E$6)*($G$6-$F$6))))</f>
        <v>0.997494365416653</v>
      </c>
      <c r="C139" s="51" t="n">
        <f aca="false">1+IF($G$7=$E$7,$F$7,IF(Q139&lt;($F$7-$E$7)/($G$7-$E$7),$E$7+SQRT(Q139*($G$7-$E$7)*($F$7-$E$7)),$G$7-SQRT((1-Q139)*($G$7-$E$7)*($G$7-$F$7))))</f>
        <v>0.816853607374448</v>
      </c>
      <c r="D139" s="51" t="n">
        <f aca="false">1+IF($G$8=$E$8,$F$8,IF(R139&lt;($F$8-$E$8)/($G$8-$E$8),$E$8+SQRT(R139*($G$8-$E$8)*($F$8-$E$8)),$G$8-SQRT((1-R139)*($G$8-$E$8)*($G$8-$F$8))))</f>
        <v>1.00352252112803</v>
      </c>
      <c r="E139" s="51" t="n">
        <f aca="false">1+IF($G$9=$E$9,$F$9,IF(S139&lt;($F$9-$E$9)/($G$9-$E$9),$E$9+SQRT(S139*($G$9-$E$9)*($F$9-$E$9)),$G$9-SQRT((1-S139)*($G$9-$E$9)*($G$9-$F$9))))</f>
        <v>0.99644482187894</v>
      </c>
      <c r="F139" s="51" t="n">
        <f aca="false">1+IF($G$10=$E$10,$F$10,IF(T139&lt;($F$10-$E$10)/($G$10-$E$10),$E$10+SQRT(T139*($G$10-$E$10)*($F$10-$E$10)),$G$10-SQRT((1-T139)*($G$10-$E$10)*($G$10-$F$10))))</f>
        <v>1.02716510057048</v>
      </c>
      <c r="G139" s="52" t="n">
        <f aca="false">IF($G$11=$E$11,$F$11,IF(U139&lt;($F$11-$E$11)/($G$11-$E$11),$E$11+SQRT(U139*($G$11-$E$11)*($F$11-$E$11)),$G$11-SQRT((1-U139)*($G$11-$E$11)*($G$11-$F$11))))</f>
        <v>0.10601431617792</v>
      </c>
      <c r="H139" s="53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-2054330201.14097</v>
      </c>
      <c r="I139" s="53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-38901747.8378971</v>
      </c>
      <c r="J139" s="53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208847056.23089</v>
      </c>
      <c r="K139" s="53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507954115.328201</v>
      </c>
      <c r="L139" s="53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618696775.470097</v>
      </c>
      <c r="M139" s="53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773575265.457748</v>
      </c>
      <c r="N139" s="53" t="n">
        <f aca="false">IF(COUNT('Business Case'!B11:G11)=0,"",H139+NPV(G139,I139:M139))</f>
        <v>-662460631.314475</v>
      </c>
      <c r="P139" s="54" t="n">
        <f aca="true">RAND()</f>
        <v>0.633676752533054</v>
      </c>
      <c r="Q139" s="54" t="n">
        <f aca="true">RAND()</f>
        <v>0.10114641152905</v>
      </c>
      <c r="R139" s="54" t="n">
        <f aca="true">RAND()</f>
        <v>0.379473071367228</v>
      </c>
      <c r="S139" s="54" t="n">
        <f aca="true">RAND()</f>
        <v>0.37206414669042</v>
      </c>
      <c r="T139" s="54" t="n">
        <f aca="true">RAND()</f>
        <v>0.337928101283162</v>
      </c>
      <c r="U139" s="54" t="n">
        <f aca="true">RAND()</f>
        <v>0.616457981058138</v>
      </c>
    </row>
    <row r="140" customFormat="false" ht="15" hidden="false" customHeight="false" outlineLevel="0" collapsed="false">
      <c r="A140" s="50" t="n">
        <v>60</v>
      </c>
      <c r="B140" s="51" t="n">
        <f aca="false">1+IF($G$6=$E$6,$F$6,IF(P140&lt;($F$6-$E$6)/($G$6-$E$6),$E$6+SQRT(P140*($G$6-$E$6)*($F$6-$E$6)),$G$6-SQRT((1-P140)*($G$6-$E$6)*($G$6-$F$6))))</f>
        <v>1.01834287208447</v>
      </c>
      <c r="C140" s="51" t="n">
        <f aca="false">1+IF($G$7=$E$7,$F$7,IF(Q140&lt;($F$7-$E$7)/($G$7-$E$7),$E$7+SQRT(Q140*($G$7-$E$7)*($F$7-$E$7)),$G$7-SQRT((1-Q140)*($G$7-$E$7)*($G$7-$F$7))))</f>
        <v>1.00555396186153</v>
      </c>
      <c r="D140" s="51" t="n">
        <f aca="false">1+IF($G$8=$E$8,$F$8,IF(R140&lt;($F$8-$E$8)/($G$8-$E$8),$E$8+SQRT(R140*($G$8-$E$8)*($F$8-$E$8)),$G$8-SQRT((1-R140)*($G$8-$E$8)*($G$8-$F$8))))</f>
        <v>0.983872514746214</v>
      </c>
      <c r="E140" s="51" t="n">
        <f aca="false">1+IF($G$9=$E$9,$F$9,IF(S140&lt;($F$9-$E$9)/($G$9-$E$9),$E$9+SQRT(S140*($G$9-$E$9)*($F$9-$E$9)),$G$9-SQRT((1-S140)*($G$9-$E$9)*($G$9-$F$9))))</f>
        <v>1.01103183610734</v>
      </c>
      <c r="F140" s="51" t="n">
        <f aca="false">1+IF($G$10=$E$10,$F$10,IF(T140&lt;($F$10-$E$10)/($G$10-$E$10),$E$10+SQRT(T140*($G$10-$E$10)*($F$10-$E$10)),$G$10-SQRT((1-T140)*($G$10-$E$10)*($G$10-$F$10))))</f>
        <v>0.986898650011286</v>
      </c>
      <c r="G140" s="52" t="n">
        <f aca="false">IF($G$11=$E$11,$F$11,IF(U140&lt;($F$11-$E$11)/($G$11-$E$11),$E$11+SQRT(U140*($G$11-$E$11)*($F$11-$E$11)),$G$11-SQRT((1-U140)*($G$11-$E$11)*($G$11-$F$11))))</f>
        <v>0.101505157128608</v>
      </c>
      <c r="H140" s="53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-1973797300.02257</v>
      </c>
      <c r="I140" s="53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36724637.3415152</v>
      </c>
      <c r="J140" s="53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368991959.882108</v>
      </c>
      <c r="K140" s="53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750604214.923266</v>
      </c>
      <c r="L140" s="53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896749384.505788</v>
      </c>
      <c r="M140" s="53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1091391059.21857</v>
      </c>
      <c r="N140" s="53" t="n">
        <f aca="false">IF(COUNT('Business Case'!B11:G11)=0,"",H140+NPV(G140,I140:M140))</f>
        <v>207495311.22036</v>
      </c>
      <c r="P140" s="54" t="n">
        <f aca="true">RAND()</f>
        <v>0.866376833618593</v>
      </c>
      <c r="Q140" s="54" t="n">
        <f aca="true">RAND()</f>
        <v>0.690893956534825</v>
      </c>
      <c r="R140" s="54" t="n">
        <f aca="true">RAND()</f>
        <v>0.152979634031</v>
      </c>
      <c r="S140" s="54" t="n">
        <f aca="true">RAND()</f>
        <v>0.485009317981388</v>
      </c>
      <c r="T140" s="54" t="n">
        <f aca="true">RAND()</f>
        <v>0.0907673581770234</v>
      </c>
      <c r="U140" s="54" t="n">
        <f aca="true">RAND()</f>
        <v>0.45869595315645</v>
      </c>
    </row>
    <row r="141" customFormat="false" ht="15" hidden="false" customHeight="false" outlineLevel="0" collapsed="false">
      <c r="A141" s="50" t="n">
        <v>61</v>
      </c>
      <c r="B141" s="51" t="n">
        <f aca="false">1+IF($G$6=$E$6,$F$6,IF(P141&lt;($F$6-$E$6)/($G$6-$E$6),$E$6+SQRT(P141*($G$6-$E$6)*($F$6-$E$6)),$G$6-SQRT((1-P141)*($G$6-$E$6)*($G$6-$F$6))))</f>
        <v>0.964996073720371</v>
      </c>
      <c r="C141" s="51" t="n">
        <f aca="false">1+IF($G$7=$E$7,$F$7,IF(Q141&lt;($F$7-$E$7)/($G$7-$E$7),$E$7+SQRT(Q141*($G$7-$E$7)*($F$7-$E$7)),$G$7-SQRT((1-Q141)*($G$7-$E$7)*($G$7-$F$7))))</f>
        <v>0.933798223304971</v>
      </c>
      <c r="D141" s="51" t="n">
        <f aca="false">1+IF($G$8=$E$8,$F$8,IF(R141&lt;($F$8-$E$8)/($G$8-$E$8),$E$8+SQRT(R141*($G$8-$E$8)*($F$8-$E$8)),$G$8-SQRT((1-R141)*($G$8-$E$8)*($G$8-$F$8))))</f>
        <v>1.04933645632973</v>
      </c>
      <c r="E141" s="51" t="n">
        <f aca="false">1+IF($G$9=$E$9,$F$9,IF(S141&lt;($F$9-$E$9)/($G$9-$E$9),$E$9+SQRT(S141*($G$9-$E$9)*($F$9-$E$9)),$G$9-SQRT((1-S141)*($G$9-$E$9)*($G$9-$F$9))))</f>
        <v>0.964280817960807</v>
      </c>
      <c r="F141" s="51" t="n">
        <f aca="false">1+IF($G$10=$E$10,$F$10,IF(T141&lt;($F$10-$E$10)/($G$10-$E$10),$E$10+SQRT(T141*($G$10-$E$10)*($F$10-$E$10)),$G$10-SQRT((1-T141)*($G$10-$E$10)*($G$10-$F$10))))</f>
        <v>1.06844793436573</v>
      </c>
      <c r="G141" s="52" t="n">
        <f aca="false">IF($G$11=$E$11,$F$11,IF(U141&lt;($F$11-$E$11)/($G$11-$E$11),$E$11+SQRT(U141*($G$11-$E$11)*($F$11-$E$11)),$G$11-SQRT((1-U141)*($G$11-$E$11)*($G$11-$F$11))))</f>
        <v>0.108210858744288</v>
      </c>
      <c r="H141" s="53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-2136895868.73146</v>
      </c>
      <c r="I141" s="53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-54218148.0036463</v>
      </c>
      <c r="J141" s="53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182242856.079336</v>
      </c>
      <c r="K141" s="53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472126256.880604</v>
      </c>
      <c r="L141" s="53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582089009.132283</v>
      </c>
      <c r="M141" s="53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753372305.697722</v>
      </c>
      <c r="N141" s="53" t="n">
        <f aca="false">IF(COUNT('Business Case'!B11:G11)=0,"",H141+NPV(G141,I141:M141))</f>
        <v>-853907503.583504</v>
      </c>
      <c r="P141" s="54" t="n">
        <f aca="true">RAND()</f>
        <v>0.281632639937591</v>
      </c>
      <c r="Q141" s="54" t="n">
        <f aca="true">RAND()</f>
        <v>0.404900809041193</v>
      </c>
      <c r="R141" s="54" t="n">
        <f aca="true">RAND()</f>
        <v>0.828880356184712</v>
      </c>
      <c r="S141" s="54" t="n">
        <f aca="true">RAND()</f>
        <v>0.165280942308418</v>
      </c>
      <c r="T141" s="54" t="n">
        <f aca="true">RAND()</f>
        <v>0.560517966185721</v>
      </c>
      <c r="U141" s="54" t="n">
        <f aca="true">RAND()</f>
        <v>0.683488882225752</v>
      </c>
    </row>
    <row r="142" customFormat="false" ht="15" hidden="false" customHeight="false" outlineLevel="0" collapsed="false">
      <c r="A142" s="50" t="n">
        <v>62</v>
      </c>
      <c r="B142" s="51" t="n">
        <f aca="false">1+IF($G$6=$E$6,$F$6,IF(P142&lt;($F$6-$E$6)/($G$6-$E$6),$E$6+SQRT(P142*($G$6-$E$6)*($F$6-$E$6)),$G$6-SQRT((1-P142)*($G$6-$E$6)*($G$6-$F$6))))</f>
        <v>0.944879047544255</v>
      </c>
      <c r="C142" s="51" t="n">
        <f aca="false">1+IF($G$7=$E$7,$F$7,IF(Q142&lt;($F$7-$E$7)/($G$7-$E$7),$E$7+SQRT(Q142*($G$7-$E$7)*($F$7-$E$7)),$G$7-SQRT((1-Q142)*($G$7-$E$7)*($G$7-$F$7))))</f>
        <v>0.906558861150674</v>
      </c>
      <c r="D142" s="51" t="n">
        <f aca="false">1+IF($G$8=$E$8,$F$8,IF(R142&lt;($F$8-$E$8)/($G$8-$E$8),$E$8+SQRT(R142*($G$8-$E$8)*($F$8-$E$8)),$G$8-SQRT((1-R142)*($G$8-$E$8)*($G$8-$F$8))))</f>
        <v>1.03426548246201</v>
      </c>
      <c r="E142" s="51" t="n">
        <f aca="false">1+IF($G$9=$E$9,$F$9,IF(S142&lt;($F$9-$E$9)/($G$9-$E$9),$E$9+SQRT(S142*($G$9-$E$9)*($F$9-$E$9)),$G$9-SQRT((1-S142)*($G$9-$E$9)*($G$9-$F$9))))</f>
        <v>1.08344407673311</v>
      </c>
      <c r="F142" s="51" t="n">
        <f aca="false">1+IF($G$10=$E$10,$F$10,IF(T142&lt;($F$10-$E$10)/($G$10-$E$10),$E$10+SQRT(T142*($G$10-$E$10)*($F$10-$E$10)),$G$10-SQRT((1-T142)*($G$10-$E$10)*($G$10-$F$10))))</f>
        <v>1.03799755828514</v>
      </c>
      <c r="G142" s="52" t="n">
        <f aca="false">IF($G$11=$E$11,$F$11,IF(U142&lt;($F$11-$E$11)/($G$11-$E$11),$E$11+SQRT(U142*($G$11-$E$11)*($F$11-$E$11)),$G$11-SQRT((1-U142)*($G$11-$E$11)*($G$11-$F$11))))</f>
        <v>0.100772275989646</v>
      </c>
      <c r="H142" s="53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-2075995116.57029</v>
      </c>
      <c r="I142" s="53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-80651145.6244613</v>
      </c>
      <c r="J142" s="53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140968758.745194</v>
      </c>
      <c r="K142" s="53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414488541.029106</v>
      </c>
      <c r="L142" s="53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517965540.12176</v>
      </c>
      <c r="M142" s="53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680785877.120324</v>
      </c>
      <c r="N142" s="53" t="n">
        <f aca="false">IF(COUNT('Business Case'!B11:G11)=0,"",H142+NPV(G142,I142:M142))</f>
        <v>-948147426.246803</v>
      </c>
      <c r="P142" s="54" t="n">
        <f aca="true">RAND()</f>
        <v>0.134275260565301</v>
      </c>
      <c r="Q142" s="54" t="n">
        <f aca="true">RAND()</f>
        <v>0.316048615702691</v>
      </c>
      <c r="R142" s="54" t="n">
        <f aca="true">RAND()</f>
        <v>0.711931546936533</v>
      </c>
      <c r="S142" s="54" t="n">
        <f aca="true">RAND()</f>
        <v>0.881874908749122</v>
      </c>
      <c r="T142" s="54" t="n">
        <f aca="true">RAND()</f>
        <v>0.400732862759181</v>
      </c>
      <c r="U142" s="54" t="n">
        <f aca="true">RAND()</f>
        <v>0.430493432783036</v>
      </c>
    </row>
    <row r="143" customFormat="false" ht="15" hidden="false" customHeight="false" outlineLevel="0" collapsed="false">
      <c r="A143" s="50" t="n">
        <v>63</v>
      </c>
      <c r="B143" s="51" t="n">
        <f aca="false">1+IF($G$6=$E$6,$F$6,IF(P143&lt;($F$6-$E$6)/($G$6-$E$6),$E$6+SQRT(P143*($G$6-$E$6)*($F$6-$E$6)),$G$6-SQRT((1-P143)*($G$6-$E$6)*($G$6-$F$6))))</f>
        <v>0.994150147891556</v>
      </c>
      <c r="C143" s="51" t="n">
        <f aca="false">1+IF($G$7=$E$7,$F$7,IF(Q143&lt;($F$7-$E$7)/($G$7-$E$7),$E$7+SQRT(Q143*($G$7-$E$7)*($F$7-$E$7)),$G$7-SQRT((1-Q143)*($G$7-$E$7)*($G$7-$F$7))))</f>
        <v>0.923393957498404</v>
      </c>
      <c r="D143" s="51" t="n">
        <f aca="false">1+IF($G$8=$E$8,$F$8,IF(R143&lt;($F$8-$E$8)/($G$8-$E$8),$E$8+SQRT(R143*($G$8-$E$8)*($F$8-$E$8)),$G$8-SQRT((1-R143)*($G$8-$E$8)*($G$8-$F$8))))</f>
        <v>1.0188592854348</v>
      </c>
      <c r="E143" s="51" t="n">
        <f aca="false">1+IF($G$9=$E$9,$F$9,IF(S143&lt;($F$9-$E$9)/($G$9-$E$9),$E$9+SQRT(S143*($G$9-$E$9)*($F$9-$E$9)),$G$9-SQRT((1-S143)*($G$9-$E$9)*($G$9-$F$9))))</f>
        <v>0.977863981516464</v>
      </c>
      <c r="F143" s="51" t="n">
        <f aca="false">1+IF($G$10=$E$10,$F$10,IF(T143&lt;($F$10-$E$10)/($G$10-$E$10),$E$10+SQRT(T143*($G$10-$E$10)*($F$10-$E$10)),$G$10-SQRT((1-T143)*($G$10-$E$10)*($G$10-$F$10))))</f>
        <v>1.07265393701334</v>
      </c>
      <c r="G143" s="52" t="n">
        <f aca="false">IF($G$11=$E$11,$F$11,IF(U143&lt;($F$11-$E$11)/($G$11-$E$11),$E$11+SQRT(U143*($G$11-$E$11)*($F$11-$E$11)),$G$11-SQRT((1-U143)*($G$11-$E$11)*($G$11-$F$11))))</f>
        <v>0.101757292260277</v>
      </c>
      <c r="H143" s="53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-2145307874.02668</v>
      </c>
      <c r="I143" s="53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-23623321.3143087</v>
      </c>
      <c r="J143" s="53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246659726.935331</v>
      </c>
      <c r="K143" s="53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570575472.035638</v>
      </c>
      <c r="L143" s="53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692395633.246167</v>
      </c>
      <c r="M143" s="53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866887598.113069</v>
      </c>
      <c r="N143" s="53" t="n">
        <f aca="false">IF(COUNT('Business Case'!B11:G11)=0,"",H143+NPV(G143,I143:M143))</f>
        <v>-533018719.4045</v>
      </c>
      <c r="P143" s="54" t="n">
        <f aca="true">RAND()</f>
        <v>0.590950023200123</v>
      </c>
      <c r="Q143" s="54" t="n">
        <f aca="true">RAND()</f>
        <v>0.369665631457769</v>
      </c>
      <c r="R143" s="54" t="n">
        <f aca="true">RAND()</f>
        <v>0.561078962656535</v>
      </c>
      <c r="S143" s="54" t="n">
        <f aca="true">RAND()</f>
        <v>0.242511984703849</v>
      </c>
      <c r="T143" s="54" t="n">
        <f aca="true">RAND()</f>
        <v>0.580644985908418</v>
      </c>
      <c r="U143" s="54" t="n">
        <f aca="true">RAND()</f>
        <v>0.468232973019056</v>
      </c>
    </row>
    <row r="144" customFormat="false" ht="15" hidden="false" customHeight="false" outlineLevel="0" collapsed="false">
      <c r="A144" s="50" t="n">
        <v>64</v>
      </c>
      <c r="B144" s="51" t="n">
        <f aca="false">1+IF($G$6=$E$6,$F$6,IF(P144&lt;($F$6-$E$6)/($G$6-$E$6),$E$6+SQRT(P144*($G$6-$E$6)*($F$6-$E$6)),$G$6-SQRT((1-P144)*($G$6-$E$6)*($G$6-$F$6))))</f>
        <v>1.02732484373289</v>
      </c>
      <c r="C144" s="51" t="n">
        <f aca="false">1+IF($G$7=$E$7,$F$7,IF(Q144&lt;($F$7-$E$7)/($G$7-$E$7),$E$7+SQRT(Q144*($G$7-$E$7)*($F$7-$E$7)),$G$7-SQRT((1-Q144)*($G$7-$E$7)*($G$7-$F$7))))</f>
        <v>0.830134218276143</v>
      </c>
      <c r="D144" s="51" t="n">
        <f aca="false">1+IF($G$8=$E$8,$F$8,IF(R144&lt;($F$8-$E$8)/($G$8-$E$8),$E$8+SQRT(R144*($G$8-$E$8)*($F$8-$E$8)),$G$8-SQRT((1-R144)*($G$8-$E$8)*($G$8-$F$8))))</f>
        <v>1.04207472546208</v>
      </c>
      <c r="E144" s="51" t="n">
        <f aca="false">1+IF($G$9=$E$9,$F$9,IF(S144&lt;($F$9-$E$9)/($G$9-$E$9),$E$9+SQRT(S144*($G$9-$E$9)*($F$9-$E$9)),$G$9-SQRT((1-S144)*($G$9-$E$9)*($G$9-$F$9))))</f>
        <v>0.960743400381426</v>
      </c>
      <c r="F144" s="51" t="n">
        <f aca="false">1+IF($G$10=$E$10,$F$10,IF(T144&lt;($F$10-$E$10)/($G$10-$E$10),$E$10+SQRT(T144*($G$10-$E$10)*($F$10-$E$10)),$G$10-SQRT((1-T144)*($G$10-$E$10)*($G$10-$F$10))))</f>
        <v>0.996867827250042</v>
      </c>
      <c r="G144" s="52" t="n">
        <f aca="false">IF($G$11=$E$11,$F$11,IF(U144&lt;($F$11-$E$11)/($G$11-$E$11),$E$11+SQRT(U144*($G$11-$E$11)*($F$11-$E$11)),$G$11-SQRT((1-U144)*($G$11-$E$11)*($G$11-$F$11))))</f>
        <v>0.111232478655433</v>
      </c>
      <c r="H144" s="53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-1993735654.50008</v>
      </c>
      <c r="I144" s="53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-24838094.9474506</v>
      </c>
      <c r="J144" s="53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230838363.8789</v>
      </c>
      <c r="K144" s="53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536358214.067753</v>
      </c>
      <c r="L144" s="53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651057073.352908</v>
      </c>
      <c r="M144" s="53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813160624.906288</v>
      </c>
      <c r="N144" s="53" t="n">
        <f aca="false">IF(COUNT('Business Case'!B11:G11)=0,"",H144+NPV(G144,I144:M144))</f>
        <v>-531399206.515609</v>
      </c>
      <c r="P144" s="54" t="n">
        <f aca="true">RAND()</f>
        <v>0.931444971768302</v>
      </c>
      <c r="Q144" s="54" t="n">
        <f aca="true">RAND()</f>
        <v>0.12544381308402</v>
      </c>
      <c r="R144" s="54" t="n">
        <f aca="true">RAND()</f>
        <v>0.776310837980446</v>
      </c>
      <c r="S144" s="54" t="n">
        <f aca="true">RAND()</f>
        <v>0.147590427595927</v>
      </c>
      <c r="T144" s="54" t="n">
        <f aca="true">RAND()</f>
        <v>0.14643954874265</v>
      </c>
      <c r="U144" s="54" t="n">
        <f aca="true">RAND()</f>
        <v>0.765186761720817</v>
      </c>
    </row>
    <row r="145" customFormat="false" ht="15" hidden="false" customHeight="false" outlineLevel="0" collapsed="false">
      <c r="A145" s="50" t="n">
        <v>65</v>
      </c>
      <c r="B145" s="51" t="n">
        <f aca="false">1+IF($G$6=$E$6,$F$6,IF(P145&lt;($F$6-$E$6)/($G$6-$E$6),$E$6+SQRT(P145*($G$6-$E$6)*($F$6-$E$6)),$G$6-SQRT((1-P145)*($G$6-$E$6)*($G$6-$F$6))))</f>
        <v>1.00961445324203</v>
      </c>
      <c r="C145" s="51" t="n">
        <f aca="false">1+IF($G$7=$E$7,$F$7,IF(Q145&lt;($F$7-$E$7)/($G$7-$E$7),$E$7+SQRT(Q145*($G$7-$E$7)*($F$7-$E$7)),$G$7-SQRT((1-Q145)*($G$7-$E$7)*($G$7-$F$7))))</f>
        <v>0.892911678057751</v>
      </c>
      <c r="D145" s="51" t="n">
        <f aca="false">1+IF($G$8=$E$8,$F$8,IF(R145&lt;($F$8-$E$8)/($G$8-$E$8),$E$8+SQRT(R145*($G$8-$E$8)*($F$8-$E$8)),$G$8-SQRT((1-R145)*($G$8-$E$8)*($G$8-$F$8))))</f>
        <v>1.01656150841791</v>
      </c>
      <c r="E145" s="51" t="n">
        <f aca="false">1+IF($G$9=$E$9,$F$9,IF(S145&lt;($F$9-$E$9)/($G$9-$E$9),$E$9+SQRT(S145*($G$9-$E$9)*($F$9-$E$9)),$G$9-SQRT((1-S145)*($G$9-$E$9)*($G$9-$F$9))))</f>
        <v>1.07142598580063</v>
      </c>
      <c r="F145" s="51" t="n">
        <f aca="false">1+IF($G$10=$E$10,$F$10,IF(T145&lt;($F$10-$E$10)/($G$10-$E$10),$E$10+SQRT(T145*($G$10-$E$10)*($F$10-$E$10)),$G$10-SQRT((1-T145)*($G$10-$E$10)*($G$10-$F$10))))</f>
        <v>1.07626307157536</v>
      </c>
      <c r="G145" s="52" t="n">
        <f aca="false">IF($G$11=$E$11,$F$11,IF(U145&lt;($F$11-$E$11)/($G$11-$E$11),$E$11+SQRT(U145*($G$11-$E$11)*($F$11-$E$11)),$G$11-SQRT((1-U145)*($G$11-$E$11)*($G$11-$F$11))))</f>
        <v>0.106189671220803</v>
      </c>
      <c r="H145" s="53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-2152526143.15071</v>
      </c>
      <c r="I145" s="53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-32995693.2112917</v>
      </c>
      <c r="J145" s="53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240725276.323156</v>
      </c>
      <c r="K145" s="53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568259399.436372</v>
      </c>
      <c r="L145" s="53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690655442.886091</v>
      </c>
      <c r="M145" s="53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862011904.379724</v>
      </c>
      <c r="N145" s="53" t="n">
        <f aca="false">IF(COUNT('Business Case'!B11:G11)=0,"",H145+NPV(G145,I145:M145))</f>
        <v>-584122563.369495</v>
      </c>
      <c r="P145" s="54" t="n">
        <f aca="true">RAND()</f>
        <v>0.782534348407962</v>
      </c>
      <c r="Q145" s="54" t="n">
        <f aca="true">RAND()</f>
        <v>0.275666040970794</v>
      </c>
      <c r="R145" s="54" t="n">
        <f aca="true">RAND()</f>
        <v>0.535867874833695</v>
      </c>
      <c r="S145" s="54" t="n">
        <f aca="true">RAND()</f>
        <v>0.835363314469257</v>
      </c>
      <c r="T145" s="54" t="n">
        <f aca="true">RAND()</f>
        <v>0.597539729354265</v>
      </c>
      <c r="U145" s="54" t="n">
        <f aca="true">RAND()</f>
        <v>0.622045495617693</v>
      </c>
    </row>
    <row r="146" customFormat="false" ht="15" hidden="false" customHeight="false" outlineLevel="0" collapsed="false">
      <c r="A146" s="50" t="n">
        <v>66</v>
      </c>
      <c r="B146" s="51" t="n">
        <f aca="false">1+IF($G$6=$E$6,$F$6,IF(P146&lt;($F$6-$E$6)/($G$6-$E$6),$E$6+SQRT(P146*($G$6-$E$6)*($F$6-$E$6)),$G$6-SQRT((1-P146)*($G$6-$E$6)*($G$6-$F$6))))</f>
        <v>0.981203764921514</v>
      </c>
      <c r="C146" s="51" t="n">
        <f aca="false">1+IF($G$7=$E$7,$F$7,IF(Q146&lt;($F$7-$E$7)/($G$7-$E$7),$E$7+SQRT(Q146*($G$7-$E$7)*($F$7-$E$7)),$G$7-SQRT((1-Q146)*($G$7-$E$7)*($G$7-$F$7))))</f>
        <v>0.879641505433207</v>
      </c>
      <c r="D146" s="51" t="n">
        <f aca="false">1+IF($G$8=$E$8,$F$8,IF(R146&lt;($F$8-$E$8)/($G$8-$E$8),$E$8+SQRT(R146*($G$8-$E$8)*($F$8-$E$8)),$G$8-SQRT((1-R146)*($G$8-$E$8)*($G$8-$F$8))))</f>
        <v>0.996124493061669</v>
      </c>
      <c r="E146" s="51" t="n">
        <f aca="false">1+IF($G$9=$E$9,$F$9,IF(S146&lt;($F$9-$E$9)/($G$9-$E$9),$E$9+SQRT(S146*($G$9-$E$9)*($F$9-$E$9)),$G$9-SQRT((1-S146)*($G$9-$E$9)*($G$9-$F$9))))</f>
        <v>1.03036310309151</v>
      </c>
      <c r="F146" s="51" t="n">
        <f aca="false">1+IF($G$10=$E$10,$F$10,IF(T146&lt;($F$10-$E$10)/($G$10-$E$10),$E$10+SQRT(T146*($G$10-$E$10)*($F$10-$E$10)),$G$10-SQRT((1-T146)*($G$10-$E$10)*($G$10-$F$10))))</f>
        <v>1.16650212575443</v>
      </c>
      <c r="G146" s="52" t="n">
        <f aca="false">IF($G$11=$E$11,$F$11,IF(U146&lt;($F$11-$E$11)/($G$11-$E$11),$E$11+SQRT(U146*($G$11-$E$11)*($F$11-$E$11)),$G$11-SQRT((1-U146)*($G$11-$E$11)*($G$11-$F$11))))</f>
        <v>0.107179547844119</v>
      </c>
      <c r="H146" s="53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-2333004251.50886</v>
      </c>
      <c r="I146" s="53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-49525023.8561666</v>
      </c>
      <c r="J146" s="53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208861293.873056</v>
      </c>
      <c r="K146" s="53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525572717.889999</v>
      </c>
      <c r="L146" s="53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641530487.633295</v>
      </c>
      <c r="M146" s="53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805589972.051184</v>
      </c>
      <c r="N146" s="53" t="n">
        <f aca="false">IF(COUNT('Business Case'!B11:G11)=0,"",H146+NPV(G146,I146:M146))</f>
        <v>-908997689.255263</v>
      </c>
      <c r="P146" s="54" t="n">
        <f aca="true">RAND()</f>
        <v>0.439603429161903</v>
      </c>
      <c r="Q146" s="54" t="n">
        <f aca="true">RAND()</f>
        <v>0.239044966476362</v>
      </c>
      <c r="R146" s="54" t="n">
        <f aca="true">RAND()</f>
        <v>0.283662514692793</v>
      </c>
      <c r="S146" s="54" t="n">
        <f aca="true">RAND()</f>
        <v>0.618320343949512</v>
      </c>
      <c r="T146" s="54" t="n">
        <f aca="true">RAND()</f>
        <v>0.90704139995295</v>
      </c>
      <c r="U146" s="54" t="n">
        <f aca="true">RAND()</f>
        <v>0.652817975600751</v>
      </c>
    </row>
    <row r="147" customFormat="false" ht="15" hidden="false" customHeight="false" outlineLevel="0" collapsed="false">
      <c r="A147" s="50" t="n">
        <v>67</v>
      </c>
      <c r="B147" s="51" t="n">
        <f aca="false">1+IF($G$6=$E$6,$F$6,IF(P147&lt;($F$6-$E$6)/($G$6-$E$6),$E$6+SQRT(P147*($G$6-$E$6)*($F$6-$E$6)),$G$6-SQRT((1-P147)*($G$6-$E$6)*($G$6-$F$6))))</f>
        <v>0.985779996043947</v>
      </c>
      <c r="C147" s="51" t="n">
        <f aca="false">1+IF($G$7=$E$7,$F$7,IF(Q147&lt;($F$7-$E$7)/($G$7-$E$7),$E$7+SQRT(Q147*($G$7-$E$7)*($F$7-$E$7)),$G$7-SQRT((1-Q147)*($G$7-$E$7)*($G$7-$F$7))))</f>
        <v>1.01077195450767</v>
      </c>
      <c r="D147" s="51" t="n">
        <f aca="false">1+IF($G$8=$E$8,$F$8,IF(R147&lt;($F$8-$E$8)/($G$8-$E$8),$E$8+SQRT(R147*($G$8-$E$8)*($F$8-$E$8)),$G$8-SQRT((1-R147)*($G$8-$E$8)*($G$8-$F$8))))</f>
        <v>0.995329577345066</v>
      </c>
      <c r="E147" s="51" t="n">
        <f aca="false">1+IF($G$9=$E$9,$F$9,IF(S147&lt;($F$9-$E$9)/($G$9-$E$9),$E$9+SQRT(S147*($G$9-$E$9)*($F$9-$E$9)),$G$9-SQRT((1-S147)*($G$9-$E$9)*($G$9-$F$9))))</f>
        <v>1.08772717749472</v>
      </c>
      <c r="F147" s="51" t="n">
        <f aca="false">1+IF($G$10=$E$10,$F$10,IF(T147&lt;($F$10-$E$10)/($G$10-$E$10),$E$10+SQRT(T147*($G$10-$E$10)*($F$10-$E$10)),$G$10-SQRT((1-T147)*($G$10-$E$10)*($G$10-$F$10))))</f>
        <v>1.03523059336074</v>
      </c>
      <c r="G147" s="52" t="n">
        <f aca="false">IF($G$11=$E$11,$F$11,IF(U147&lt;($F$11-$E$11)/($G$11-$E$11),$E$11+SQRT(U147*($G$11-$E$11)*($F$11-$E$11)),$G$11-SQRT((1-U147)*($G$11-$E$11)*($G$11-$F$11))))</f>
        <v>0.0996272916225144</v>
      </c>
      <c r="H147" s="53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-2070461186.72149</v>
      </c>
      <c r="I147" s="53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-8746582.03278743</v>
      </c>
      <c r="J147" s="53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292358012.318945</v>
      </c>
      <c r="K147" s="53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645224136.338716</v>
      </c>
      <c r="L147" s="53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780027876.061757</v>
      </c>
      <c r="M147" s="53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969423354.893643</v>
      </c>
      <c r="N147" s="53" t="n">
        <f aca="false">IF(COUNT('Business Case'!B11:G11)=0,"",H147+NPV(G147,I147:M147))</f>
        <v>-214925142.709299</v>
      </c>
      <c r="P147" s="54" t="n">
        <f aca="true">RAND()</f>
        <v>0.490547181419969</v>
      </c>
      <c r="Q147" s="54" t="n">
        <f aca="true">RAND()</f>
        <v>0.712822982939027</v>
      </c>
      <c r="R147" s="54" t="n">
        <f aca="true">RAND()</f>
        <v>0.273969410970977</v>
      </c>
      <c r="S147" s="54" t="n">
        <f aca="true">RAND()</f>
        <v>0.896589215392698</v>
      </c>
      <c r="T147" s="54" t="n">
        <f aca="true">RAND()</f>
        <v>0.384988026290963</v>
      </c>
      <c r="U147" s="54" t="n">
        <f aca="true">RAND()</f>
        <v>0.385230576435223</v>
      </c>
    </row>
    <row r="148" customFormat="false" ht="15" hidden="false" customHeight="false" outlineLevel="0" collapsed="false">
      <c r="A148" s="50" t="n">
        <v>68</v>
      </c>
      <c r="B148" s="51" t="n">
        <f aca="false">1+IF($G$6=$E$6,$F$6,IF(P148&lt;($F$6-$E$6)/($G$6-$E$6),$E$6+SQRT(P148*($G$6-$E$6)*($F$6-$E$6)),$G$6-SQRT((1-P148)*($G$6-$E$6)*($G$6-$F$6))))</f>
        <v>1.01319300827742</v>
      </c>
      <c r="C148" s="51" t="n">
        <f aca="false">1+IF($G$7=$E$7,$F$7,IF(Q148&lt;($F$7-$E$7)/($G$7-$E$7),$E$7+SQRT(Q148*($G$7-$E$7)*($F$7-$E$7)),$G$7-SQRT((1-Q148)*($G$7-$E$7)*($G$7-$F$7))))</f>
        <v>1.12251334290593</v>
      </c>
      <c r="D148" s="51" t="n">
        <f aca="false">1+IF($G$8=$E$8,$F$8,IF(R148&lt;($F$8-$E$8)/($G$8-$E$8),$E$8+SQRT(R148*($G$8-$E$8)*($F$8-$E$8)),$G$8-SQRT((1-R148)*($G$8-$E$8)*($G$8-$F$8))))</f>
        <v>1.0181246659555</v>
      </c>
      <c r="E148" s="51" t="n">
        <f aca="false">1+IF($G$9=$E$9,$F$9,IF(S148&lt;($F$9-$E$9)/($G$9-$E$9),$E$9+SQRT(S148*($G$9-$E$9)*($F$9-$E$9)),$G$9-SQRT((1-S148)*($G$9-$E$9)*($G$9-$F$9))))</f>
        <v>0.985205183250559</v>
      </c>
      <c r="F148" s="51" t="n">
        <f aca="false">1+IF($G$10=$E$10,$F$10,IF(T148&lt;($F$10-$E$10)/($G$10-$E$10),$E$10+SQRT(T148*($G$10-$E$10)*($F$10-$E$10)),$G$10-SQRT((1-T148)*($G$10-$E$10)*($G$10-$F$10))))</f>
        <v>1.03084602079957</v>
      </c>
      <c r="G148" s="52" t="n">
        <f aca="false">IF($G$11=$E$11,$F$11,IF(U148&lt;($F$11-$E$11)/($G$11-$E$11),$E$11+SQRT(U148*($G$11-$E$11)*($F$11-$E$11)),$G$11-SQRT((1-U148)*($G$11-$E$11)*($G$11-$F$11))))</f>
        <v>0.113102713826256</v>
      </c>
      <c r="H148" s="53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-2061692041.59914</v>
      </c>
      <c r="I148" s="53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44357433.4477584</v>
      </c>
      <c r="J148" s="53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390854453.284367</v>
      </c>
      <c r="K148" s="53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788893774.160954</v>
      </c>
      <c r="L148" s="53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943698652.273599</v>
      </c>
      <c r="M148" s="53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1159880945.52603</v>
      </c>
      <c r="N148" s="53" t="n">
        <f aca="false">IF(COUNT('Business Case'!B11:G11)=0,"",H148+NPV(G148,I148:M148))</f>
        <v>159174553.655285</v>
      </c>
      <c r="P148" s="54" t="n">
        <f aca="true">RAND()</f>
        <v>0.819366048044545</v>
      </c>
      <c r="Q148" s="54" t="n">
        <f aca="true">RAND()</f>
        <v>0.988807165656189</v>
      </c>
      <c r="R148" s="54" t="n">
        <f aca="true">RAND()</f>
        <v>0.55309531167344</v>
      </c>
      <c r="S148" s="54" t="n">
        <f aca="true">RAND()</f>
        <v>0.290396930110451</v>
      </c>
      <c r="T148" s="54" t="n">
        <f aca="true">RAND()</f>
        <v>0.359620445341562</v>
      </c>
      <c r="U148" s="54" t="n">
        <f aca="true">RAND()</f>
        <v>0.809654479975069</v>
      </c>
    </row>
    <row r="149" customFormat="false" ht="15" hidden="false" customHeight="false" outlineLevel="0" collapsed="false">
      <c r="A149" s="50" t="n">
        <v>69</v>
      </c>
      <c r="B149" s="51" t="n">
        <f aca="false">1+IF($G$6=$E$6,$F$6,IF(P149&lt;($F$6-$E$6)/($G$6-$E$6),$E$6+SQRT(P149*($G$6-$E$6)*($F$6-$E$6)),$G$6-SQRT((1-P149)*($G$6-$E$6)*($G$6-$F$6))))</f>
        <v>0.999619291735702</v>
      </c>
      <c r="C149" s="51" t="n">
        <f aca="false">1+IF($G$7=$E$7,$F$7,IF(Q149&lt;($F$7-$E$7)/($G$7-$E$7),$E$7+SQRT(Q149*($G$7-$E$7)*($F$7-$E$7)),$G$7-SQRT((1-Q149)*($G$7-$E$7)*($G$7-$F$7))))</f>
        <v>0.910998956091618</v>
      </c>
      <c r="D149" s="51" t="n">
        <f aca="false">1+IF($G$8=$E$8,$F$8,IF(R149&lt;($F$8-$E$8)/($G$8-$E$8),$E$8+SQRT(R149*($G$8-$E$8)*($F$8-$E$8)),$G$8-SQRT((1-R149)*($G$8-$E$8)*($G$8-$F$8))))</f>
        <v>1.0305469361534</v>
      </c>
      <c r="E149" s="51" t="n">
        <f aca="false">1+IF($G$9=$E$9,$F$9,IF(S149&lt;($F$9-$E$9)/($G$9-$E$9),$E$9+SQRT(S149*($G$9-$E$9)*($F$9-$E$9)),$G$9-SQRT((1-S149)*($G$9-$E$9)*($G$9-$F$9))))</f>
        <v>0.970732181483608</v>
      </c>
      <c r="F149" s="51" t="n">
        <f aca="false">1+IF($G$10=$E$10,$F$10,IF(T149&lt;($F$10-$E$10)/($G$10-$E$10),$E$10+SQRT(T149*($G$10-$E$10)*($F$10-$E$10)),$G$10-SQRT((1-T149)*($G$10-$E$10)*($G$10-$F$10))))</f>
        <v>1.00157434132571</v>
      </c>
      <c r="G149" s="52" t="n">
        <f aca="false">IF($G$11=$E$11,$F$11,IF(U149&lt;($F$11-$E$11)/($G$11-$E$11),$E$11+SQRT(U149*($G$11-$E$11)*($F$11-$E$11)),$G$11-SQRT((1-U149)*($G$11-$E$11)*($G$11-$F$11))))</f>
        <v>0.109704163580727</v>
      </c>
      <c r="H149" s="53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-2003148682.65143</v>
      </c>
      <c r="I149" s="53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-20118505.909872</v>
      </c>
      <c r="J149" s="53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245166745.004329</v>
      </c>
      <c r="K149" s="53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560530712.984815</v>
      </c>
      <c r="L149" s="53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680431267.612571</v>
      </c>
      <c r="M149" s="53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853528024.722522</v>
      </c>
      <c r="N149" s="53" t="n">
        <f aca="false">IF(COUNT('Business Case'!B11:G11)=0,"",H149+NPV(G149,I149:M149))</f>
        <v>-456104067.497085</v>
      </c>
      <c r="P149" s="54" t="n">
        <f aca="true">RAND()</f>
        <v>0.661600219061526</v>
      </c>
      <c r="Q149" s="54" t="n">
        <f aca="true">RAND()</f>
        <v>0.329781922012981</v>
      </c>
      <c r="R149" s="54" t="n">
        <f aca="true">RAND()</f>
        <v>0.67841812815468</v>
      </c>
      <c r="S149" s="54" t="n">
        <f aca="true">RAND()</f>
        <v>0.200121659897201</v>
      </c>
      <c r="T149" s="54" t="n">
        <f aca="true">RAND()</f>
        <v>0.1771292281633</v>
      </c>
      <c r="U149" s="54" t="n">
        <f aca="true">RAND()</f>
        <v>0.725386016028069</v>
      </c>
    </row>
    <row r="150" customFormat="false" ht="15" hidden="false" customHeight="false" outlineLevel="0" collapsed="false">
      <c r="A150" s="50" t="n">
        <v>70</v>
      </c>
      <c r="B150" s="51" t="n">
        <f aca="false">1+IF($G$6=$E$6,$F$6,IF(P150&lt;($F$6-$E$6)/($G$6-$E$6),$E$6+SQRT(P150*($G$6-$E$6)*($F$6-$E$6)),$G$6-SQRT((1-P150)*($G$6-$E$6)*($G$6-$F$6))))</f>
        <v>0.950323789486586</v>
      </c>
      <c r="C150" s="51" t="n">
        <f aca="false">1+IF($G$7=$E$7,$F$7,IF(Q150&lt;($F$7-$E$7)/($G$7-$E$7),$E$7+SQRT(Q150*($G$7-$E$7)*($F$7-$E$7)),$G$7-SQRT((1-Q150)*($G$7-$E$7)*($G$7-$F$7))))</f>
        <v>0.777946218703728</v>
      </c>
      <c r="D150" s="51" t="n">
        <f aca="false">1+IF($G$8=$E$8,$F$8,IF(R150&lt;($F$8-$E$8)/($G$8-$E$8),$E$8+SQRT(R150*($G$8-$E$8)*($F$8-$E$8)),$G$8-SQRT((1-R150)*($G$8-$E$8)*($G$8-$F$8))))</f>
        <v>1.00051749542964</v>
      </c>
      <c r="E150" s="51" t="n">
        <f aca="false">1+IF($G$9=$E$9,$F$9,IF(S150&lt;($F$9-$E$9)/($G$9-$E$9),$E$9+SQRT(S150*($G$9-$E$9)*($F$9-$E$9)),$G$9-SQRT((1-S150)*($G$9-$E$9)*($G$9-$F$9))))</f>
        <v>1.02405748188833</v>
      </c>
      <c r="F150" s="51" t="n">
        <f aca="false">1+IF($G$10=$E$10,$F$10,IF(T150&lt;($F$10-$E$10)/($G$10-$E$10),$E$10+SQRT(T150*($G$10-$E$10)*($F$10-$E$10)),$G$10-SQRT((1-T150)*($G$10-$E$10)*($G$10-$F$10))))</f>
        <v>1.04513594867158</v>
      </c>
      <c r="G150" s="52" t="n">
        <f aca="false">IF($G$11=$E$11,$F$11,IF(U150&lt;($F$11-$E$11)/($G$11-$E$11),$E$11+SQRT(U150*($G$11-$E$11)*($F$11-$E$11)),$G$11-SQRT((1-U150)*($G$11-$E$11)*($G$11-$F$11))))</f>
        <v>0.0942944687754736</v>
      </c>
      <c r="H150" s="53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-2090271897.34316</v>
      </c>
      <c r="I150" s="53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-81371657.3809807</v>
      </c>
      <c r="J150" s="53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125716607.42786</v>
      </c>
      <c r="K150" s="53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385061669.670279</v>
      </c>
      <c r="L150" s="53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479641326.871988</v>
      </c>
      <c r="M150" s="53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620167622.665179</v>
      </c>
      <c r="N150" s="53" t="n">
        <f aca="false">IF(COUNT('Business Case'!B11:G11)=0,"",H150+NPV(G150,I150:M150))</f>
        <v>-1036089566.54626</v>
      </c>
      <c r="P150" s="54" t="n">
        <f aca="true">RAND()</f>
        <v>0.16883225255268</v>
      </c>
      <c r="Q150" s="54" t="n">
        <f aca="true">RAND()</f>
        <v>0.0450045408163663</v>
      </c>
      <c r="R150" s="54" t="n">
        <f aca="true">RAND()</f>
        <v>0.340215418960518</v>
      </c>
      <c r="S150" s="54" t="n">
        <f aca="true">RAND()</f>
        <v>0.57702619017844</v>
      </c>
      <c r="T150" s="54" t="n">
        <f aca="true">RAND()</f>
        <v>0.440409606310743</v>
      </c>
      <c r="U150" s="54" t="n">
        <f aca="true">RAND()</f>
        <v>0.204331837572991</v>
      </c>
    </row>
    <row r="151" customFormat="false" ht="15" hidden="false" customHeight="false" outlineLevel="0" collapsed="false">
      <c r="A151" s="50" t="n">
        <v>71</v>
      </c>
      <c r="B151" s="51" t="n">
        <f aca="false">1+IF($G$6=$E$6,$F$6,IF(P151&lt;($F$6-$E$6)/($G$6-$E$6),$E$6+SQRT(P151*($G$6-$E$6)*($F$6-$E$6)),$G$6-SQRT((1-P151)*($G$6-$E$6)*($G$6-$F$6))))</f>
        <v>0.992066492041454</v>
      </c>
      <c r="C151" s="51" t="n">
        <f aca="false">1+IF($G$7=$E$7,$F$7,IF(Q151&lt;($F$7-$E$7)/($G$7-$E$7),$E$7+SQRT(Q151*($G$7-$E$7)*($F$7-$E$7)),$G$7-SQRT((1-Q151)*($G$7-$E$7)*($G$7-$F$7))))</f>
        <v>0.904525940848958</v>
      </c>
      <c r="D151" s="51" t="n">
        <f aca="false">1+IF($G$8=$E$8,$F$8,IF(R151&lt;($F$8-$E$8)/($G$8-$E$8),$E$8+SQRT(R151*($G$8-$E$8)*($F$8-$E$8)),$G$8-SQRT((1-R151)*($G$8-$E$8)*($G$8-$F$8))))</f>
        <v>0.987262739960615</v>
      </c>
      <c r="E151" s="51" t="n">
        <f aca="false">1+IF($G$9=$E$9,$F$9,IF(S151&lt;($F$9-$E$9)/($G$9-$E$9),$E$9+SQRT(S151*($G$9-$E$9)*($F$9-$E$9)),$G$9-SQRT((1-S151)*($G$9-$E$9)*($G$9-$F$9))))</f>
        <v>1.04978776925604</v>
      </c>
      <c r="F151" s="51" t="n">
        <f aca="false">1+IF($G$10=$E$10,$F$10,IF(T151&lt;($F$10-$E$10)/($G$10-$E$10),$E$10+SQRT(T151*($G$10-$E$10)*($F$10-$E$10)),$G$10-SQRT((1-T151)*($G$10-$E$10)*($G$10-$F$10))))</f>
        <v>0.962419679957971</v>
      </c>
      <c r="G151" s="52" t="n">
        <f aca="false">IF($G$11=$E$11,$F$11,IF(U151&lt;($F$11-$E$11)/($G$11-$E$11),$E$11+SQRT(U151*($G$11-$E$11)*($F$11-$E$11)),$G$11-SQRT((1-U151)*($G$11-$E$11)*($G$11-$F$11))))</f>
        <v>0.0991308341063684</v>
      </c>
      <c r="H151" s="53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-1924839359.91594</v>
      </c>
      <c r="I151" s="53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-14193243.965988</v>
      </c>
      <c r="J151" s="53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263653918.480817</v>
      </c>
      <c r="K151" s="53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589622064.92552</v>
      </c>
      <c r="L151" s="53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713250197.493647</v>
      </c>
      <c r="M151" s="53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883818462.132534</v>
      </c>
      <c r="N151" s="53" t="n">
        <f aca="false">IF(COUNT('Business Case'!B11:G11)=0,"",H151+NPV(G151,I151:M151))</f>
        <v>-235811199.880557</v>
      </c>
      <c r="P151" s="54" t="n">
        <f aca="true">RAND()</f>
        <v>0.565082597121275</v>
      </c>
      <c r="Q151" s="54" t="n">
        <f aca="true">RAND()</f>
        <v>0.309858225778901</v>
      </c>
      <c r="R151" s="54" t="n">
        <f aca="true">RAND()</f>
        <v>0.185134905249655</v>
      </c>
      <c r="S151" s="54" t="n">
        <f aca="true">RAND()</f>
        <v>0.732200234915168</v>
      </c>
      <c r="T151" s="54" t="n">
        <f aca="true">RAND()</f>
        <v>0.0102832300172286</v>
      </c>
      <c r="U151" s="54" t="n">
        <f aca="true">RAND()</f>
        <v>0.36598881360539</v>
      </c>
    </row>
    <row r="152" customFormat="false" ht="15" hidden="false" customHeight="false" outlineLevel="0" collapsed="false">
      <c r="A152" s="50" t="n">
        <v>72</v>
      </c>
      <c r="B152" s="51" t="n">
        <f aca="false">1+IF($G$6=$E$6,$F$6,IF(P152&lt;($F$6-$E$6)/($G$6-$E$6),$E$6+SQRT(P152*($G$6-$E$6)*($F$6-$E$6)),$G$6-SQRT((1-P152)*($G$6-$E$6)*($G$6-$F$6))))</f>
        <v>0.921492824401312</v>
      </c>
      <c r="C152" s="51" t="n">
        <f aca="false">1+IF($G$7=$E$7,$F$7,IF(Q152&lt;($F$7-$E$7)/($G$7-$E$7),$E$7+SQRT(Q152*($G$7-$E$7)*($F$7-$E$7)),$G$7-SQRT((1-Q152)*($G$7-$E$7)*($G$7-$F$7))))</f>
        <v>1.0233458296296</v>
      </c>
      <c r="D152" s="51" t="n">
        <f aca="false">1+IF($G$8=$E$8,$F$8,IF(R152&lt;($F$8-$E$8)/($G$8-$E$8),$E$8+SQRT(R152*($G$8-$E$8)*($F$8-$E$8)),$G$8-SQRT((1-R152)*($G$8-$E$8)*($G$8-$F$8))))</f>
        <v>1.01192839051914</v>
      </c>
      <c r="E152" s="51" t="n">
        <f aca="false">1+IF($G$9=$E$9,$F$9,IF(S152&lt;($F$9-$E$9)/($G$9-$E$9),$E$9+SQRT(S152*($G$9-$E$9)*($F$9-$E$9)),$G$9-SQRT((1-S152)*($G$9-$E$9)*($G$9-$F$9))))</f>
        <v>1.03176091729132</v>
      </c>
      <c r="F152" s="51" t="n">
        <f aca="false">1+IF($G$10=$E$10,$F$10,IF(T152&lt;($F$10-$E$10)/($G$10-$E$10),$E$10+SQRT(T152*($G$10-$E$10)*($F$10-$E$10)),$G$10-SQRT((1-T152)*($G$10-$E$10)*($G$10-$F$10))))</f>
        <v>0.979783391631963</v>
      </c>
      <c r="G152" s="52" t="n">
        <f aca="false">IF($G$11=$E$11,$F$11,IF(U152&lt;($F$11-$E$11)/($G$11-$E$11),$E$11+SQRT(U152*($G$11-$E$11)*($F$11-$E$11)),$G$11-SQRT((1-U152)*($G$11-$E$11)*($G$11-$F$11))))</f>
        <v>0.0928009239155398</v>
      </c>
      <c r="H152" s="53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-1959566783.26393</v>
      </c>
      <c r="I152" s="53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-51310623.147617</v>
      </c>
      <c r="J152" s="53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190958917.99457</v>
      </c>
      <c r="K152" s="53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482217628.718354</v>
      </c>
      <c r="L152" s="53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595564424.224271</v>
      </c>
      <c r="M152" s="53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774810974.079471</v>
      </c>
      <c r="N152" s="53" t="n">
        <f aca="false">IF(COUNT('Business Case'!B11:G11)=0,"",H152+NPV(G152,I152:M152))</f>
        <v>-562354600.161031</v>
      </c>
      <c r="P152" s="54" t="n">
        <f aca="true">RAND()</f>
        <v>0.030796100049709</v>
      </c>
      <c r="Q152" s="54" t="n">
        <f aca="true">RAND()</f>
        <v>0.762351424115328</v>
      </c>
      <c r="R152" s="54" t="n">
        <f aca="true">RAND()</f>
        <v>0.482892773563343</v>
      </c>
      <c r="S152" s="54" t="n">
        <f aca="true">RAND()</f>
        <v>0.627187181872253</v>
      </c>
      <c r="T152" s="54" t="n">
        <f aca="true">RAND()</f>
        <v>0.0591366944735245</v>
      </c>
      <c r="U152" s="54" t="n">
        <f aca="true">RAND()</f>
        <v>0.163863653091438</v>
      </c>
    </row>
    <row r="153" customFormat="false" ht="15" hidden="false" customHeight="false" outlineLevel="0" collapsed="false">
      <c r="A153" s="50" t="n">
        <v>73</v>
      </c>
      <c r="B153" s="51" t="n">
        <f aca="false">1+IF($G$6=$E$6,$F$6,IF(P153&lt;($F$6-$E$6)/($G$6-$E$6),$E$6+SQRT(P153*($G$6-$E$6)*($F$6-$E$6)),$G$6-SQRT((1-P153)*($G$6-$E$6)*($G$6-$F$6))))</f>
        <v>1.0239274705361</v>
      </c>
      <c r="C153" s="51" t="n">
        <f aca="false">1+IF($G$7=$E$7,$F$7,IF(Q153&lt;($F$7-$E$7)/($G$7-$E$7),$E$7+SQRT(Q153*($G$7-$E$7)*($F$7-$E$7)),$G$7-SQRT((1-Q153)*($G$7-$E$7)*($G$7-$F$7))))</f>
        <v>0.887112939001395</v>
      </c>
      <c r="D153" s="51" t="n">
        <f aca="false">1+IF($G$8=$E$8,$F$8,IF(R153&lt;($F$8-$E$8)/($G$8-$E$8),$E$8+SQRT(R153*($G$8-$E$8)*($F$8-$E$8)),$G$8-SQRT((1-R153)*($G$8-$E$8)*($G$8-$F$8))))</f>
        <v>1.03908472541951</v>
      </c>
      <c r="E153" s="51" t="n">
        <f aca="false">1+IF($G$9=$E$9,$F$9,IF(S153&lt;($F$9-$E$9)/($G$9-$E$9),$E$9+SQRT(S153*($G$9-$E$9)*($F$9-$E$9)),$G$9-SQRT((1-S153)*($G$9-$E$9)*($G$9-$F$9))))</f>
        <v>1.03442911542896</v>
      </c>
      <c r="F153" s="51" t="n">
        <f aca="false">1+IF($G$10=$E$10,$F$10,IF(T153&lt;($F$10-$E$10)/($G$10-$E$10),$E$10+SQRT(T153*($G$10-$E$10)*($F$10-$E$10)),$G$10-SQRT((1-T153)*($G$10-$E$10)*($G$10-$F$10))))</f>
        <v>1.15806589301906</v>
      </c>
      <c r="G153" s="52" t="n">
        <f aca="false">IF($G$11=$E$11,$F$11,IF(U153&lt;($F$11-$E$11)/($G$11-$E$11),$E$11+SQRT(U153*($G$11-$E$11)*($F$11-$E$11)),$G$11-SQRT((1-U153)*($G$11-$E$11)*($G$11-$F$11))))</f>
        <v>0.0974679997026409</v>
      </c>
      <c r="H153" s="53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-2316131786.03813</v>
      </c>
      <c r="I153" s="53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-37875861.3162336</v>
      </c>
      <c r="J153" s="53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234238996.595204</v>
      </c>
      <c r="K153" s="53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564257149.157595</v>
      </c>
      <c r="L153" s="53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686354308.269252</v>
      </c>
      <c r="M153" s="53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859011443.879061</v>
      </c>
      <c r="N153" s="53" t="n">
        <f aca="false">IF(COUNT('Business Case'!B11:G11)=0,"",H153+NPV(G153,I153:M153))</f>
        <v>-716597559.525307</v>
      </c>
      <c r="P153" s="54" t="n">
        <f aca="true">RAND()</f>
        <v>0.909363094313844</v>
      </c>
      <c r="Q153" s="54" t="n">
        <f aca="true">RAND()</f>
        <v>0.259342606975851</v>
      </c>
      <c r="R153" s="54" t="n">
        <f aca="true">RAND()</f>
        <v>0.752621954852237</v>
      </c>
      <c r="S153" s="54" t="n">
        <f aca="true">RAND()</f>
        <v>0.643823217052487</v>
      </c>
      <c r="T153" s="54" t="n">
        <f aca="true">RAND()</f>
        <v>0.887308266314902</v>
      </c>
      <c r="U153" s="54" t="n">
        <f aca="true">RAND()</f>
        <v>0.305131013611463</v>
      </c>
    </row>
    <row r="154" customFormat="false" ht="15" hidden="false" customHeight="false" outlineLevel="0" collapsed="false">
      <c r="A154" s="50" t="n">
        <v>74</v>
      </c>
      <c r="B154" s="51" t="n">
        <f aca="false">1+IF($G$6=$E$6,$F$6,IF(P154&lt;($F$6-$E$6)/($G$6-$E$6),$E$6+SQRT(P154*($G$6-$E$6)*($F$6-$E$6)),$G$6-SQRT((1-P154)*($G$6-$E$6)*($G$6-$F$6))))</f>
        <v>1.01694848078129</v>
      </c>
      <c r="C154" s="51" t="n">
        <f aca="false">1+IF($G$7=$E$7,$F$7,IF(Q154&lt;($F$7-$E$7)/($G$7-$E$7),$E$7+SQRT(Q154*($G$7-$E$7)*($F$7-$E$7)),$G$7-SQRT((1-Q154)*($G$7-$E$7)*($G$7-$F$7))))</f>
        <v>1.10636133519317</v>
      </c>
      <c r="D154" s="51" t="n">
        <f aca="false">1+IF($G$8=$E$8,$F$8,IF(R154&lt;($F$8-$E$8)/($G$8-$E$8),$E$8+SQRT(R154*($G$8-$E$8)*($F$8-$E$8)),$G$8-SQRT((1-R154)*($G$8-$E$8)*($G$8-$F$8))))</f>
        <v>1.01989236053854</v>
      </c>
      <c r="E154" s="51" t="n">
        <f aca="false">1+IF($G$9=$E$9,$F$9,IF(S154&lt;($F$9-$E$9)/($G$9-$E$9),$E$9+SQRT(S154*($G$9-$E$9)*($F$9-$E$9)),$G$9-SQRT((1-S154)*($G$9-$E$9)*($G$9-$F$9))))</f>
        <v>0.978684165069844</v>
      </c>
      <c r="F154" s="51" t="n">
        <f aca="false">1+IF($G$10=$E$10,$F$10,IF(T154&lt;($F$10-$E$10)/($G$10-$E$10),$E$10+SQRT(T154*($G$10-$E$10)*($F$10-$E$10)),$G$10-SQRT((1-T154)*($G$10-$E$10)*($G$10-$F$10))))</f>
        <v>1.16927040490291</v>
      </c>
      <c r="G154" s="52" t="n">
        <f aca="false">IF($G$11=$E$11,$F$11,IF(U154&lt;($F$11-$E$11)/($G$11-$E$11),$E$11+SQRT(U154*($G$11-$E$11)*($F$11-$E$11)),$G$11-SQRT((1-U154)*($G$11-$E$11)*($G$11-$F$11))))</f>
        <v>0.122059449096918</v>
      </c>
      <c r="H154" s="53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-2338540809.80582</v>
      </c>
      <c r="I154" s="53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29491467.7335679</v>
      </c>
      <c r="J154" s="53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373404695.142748</v>
      </c>
      <c r="K154" s="53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775781442.797073</v>
      </c>
      <c r="L154" s="53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929303072.541725</v>
      </c>
      <c r="M154" s="53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1143164452.55382</v>
      </c>
      <c r="N154" s="53" t="n">
        <f aca="false">IF(COUNT('Business Case'!B11:G11)=0,"",H154+NPV(G154,I154:M154))</f>
        <v>-237526142.9519</v>
      </c>
      <c r="P154" s="54" t="n">
        <f aca="true">RAND()</f>
        <v>0.85434627697806</v>
      </c>
      <c r="Q154" s="54" t="n">
        <f aca="true">RAND()</f>
        <v>0.971787658279657</v>
      </c>
      <c r="R154" s="54" t="n">
        <f aca="true">RAND()</f>
        <v>0.572184406660873</v>
      </c>
      <c r="S154" s="54" t="n">
        <f aca="true">RAND()</f>
        <v>0.247647913309539</v>
      </c>
      <c r="T154" s="54" t="n">
        <f aca="true">RAND()</f>
        <v>0.913103099672795</v>
      </c>
      <c r="U154" s="54" t="n">
        <f aca="true">RAND()</f>
        <v>0.957965100903709</v>
      </c>
    </row>
    <row r="155" customFormat="false" ht="15" hidden="false" customHeight="false" outlineLevel="0" collapsed="false">
      <c r="A155" s="50" t="n">
        <v>75</v>
      </c>
      <c r="B155" s="51" t="n">
        <f aca="false">1+IF($G$6=$E$6,$F$6,IF(P155&lt;($F$6-$E$6)/($G$6-$E$6),$E$6+SQRT(P155*($G$6-$E$6)*($F$6-$E$6)),$G$6-SQRT((1-P155)*($G$6-$E$6)*($G$6-$F$6))))</f>
        <v>1.02546420441992</v>
      </c>
      <c r="C155" s="51" t="n">
        <f aca="false">1+IF($G$7=$E$7,$F$7,IF(Q155&lt;($F$7-$E$7)/($G$7-$E$7),$E$7+SQRT(Q155*($G$7-$E$7)*($F$7-$E$7)),$G$7-SQRT((1-Q155)*($G$7-$E$7)*($G$7-$F$7))))</f>
        <v>0.973768129984915</v>
      </c>
      <c r="D155" s="51" t="n">
        <f aca="false">1+IF($G$8=$E$8,$F$8,IF(R155&lt;($F$8-$E$8)/($G$8-$E$8),$E$8+SQRT(R155*($G$8-$E$8)*($F$8-$E$8)),$G$8-SQRT((1-R155)*($G$8-$E$8)*($G$8-$F$8))))</f>
        <v>0.997485635546174</v>
      </c>
      <c r="E155" s="51" t="n">
        <f aca="false">1+IF($G$9=$E$9,$F$9,IF(S155&lt;($F$9-$E$9)/($G$9-$E$9),$E$9+SQRT(S155*($G$9-$E$9)*($F$9-$E$9)),$G$9-SQRT((1-S155)*($G$9-$E$9)*($G$9-$F$9))))</f>
        <v>0.947126921932331</v>
      </c>
      <c r="F155" s="51" t="n">
        <f aca="false">1+IF($G$10=$E$10,$F$10,IF(T155&lt;($F$10-$E$10)/($G$10-$E$10),$E$10+SQRT(T155*($G$10-$E$10)*($F$10-$E$10)),$G$10-SQRT((1-T155)*($G$10-$E$10)*($G$10-$F$10))))</f>
        <v>1.02868515046571</v>
      </c>
      <c r="G155" s="52" t="n">
        <f aca="false">IF($G$11=$E$11,$F$11,IF(U155&lt;($F$11-$E$11)/($G$11-$E$11),$E$11+SQRT(U155*($G$11-$E$11)*($F$11-$E$11)),$G$11-SQRT((1-U155)*($G$11-$E$11)*($G$11-$F$11))))</f>
        <v>0.111359835008216</v>
      </c>
      <c r="H155" s="53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-2057370300.93141</v>
      </c>
      <c r="I155" s="53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31342576.1539519</v>
      </c>
      <c r="J155" s="53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352000692.11217</v>
      </c>
      <c r="K155" s="53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724093065.593674</v>
      </c>
      <c r="L155" s="53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865489488.552359</v>
      </c>
      <c r="M155" s="53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1055296602.23506</v>
      </c>
      <c r="N155" s="53" t="n">
        <f aca="false">IF(COUNT('Business Case'!B11:G11)=0,"",H155+NPV(G155,I155:M155))</f>
        <v>-26881241.2641501</v>
      </c>
      <c r="P155" s="54" t="n">
        <f aca="true">RAND()</f>
        <v>0.919732631366973</v>
      </c>
      <c r="Q155" s="54" t="n">
        <f aca="true">RAND()</f>
        <v>0.5551776962625</v>
      </c>
      <c r="R155" s="54" t="n">
        <f aca="true">RAND()</f>
        <v>0.300651411096544</v>
      </c>
      <c r="S155" s="54" t="n">
        <f aca="true">RAND()</f>
        <v>0.0888378708326391</v>
      </c>
      <c r="T155" s="54" t="n">
        <f aca="true">RAND()</f>
        <v>0.346929831674833</v>
      </c>
      <c r="U155" s="54" t="n">
        <f aca="true">RAND()</f>
        <v>0.76836283271938</v>
      </c>
    </row>
    <row r="156" customFormat="false" ht="15" hidden="false" customHeight="false" outlineLevel="0" collapsed="false">
      <c r="A156" s="50" t="n">
        <v>76</v>
      </c>
      <c r="B156" s="51" t="n">
        <f aca="false">1+IF($G$6=$E$6,$F$6,IF(P156&lt;($F$6-$E$6)/($G$6-$E$6),$E$6+SQRT(P156*($G$6-$E$6)*($F$6-$E$6)),$G$6-SQRT((1-P156)*($G$6-$E$6)*($G$6-$F$6))))</f>
        <v>0.996345649845909</v>
      </c>
      <c r="C156" s="51" t="n">
        <f aca="false">1+IF($G$7=$E$7,$F$7,IF(Q156&lt;($F$7-$E$7)/($G$7-$E$7),$E$7+SQRT(Q156*($G$7-$E$7)*($F$7-$E$7)),$G$7-SQRT((1-Q156)*($G$7-$E$7)*($G$7-$F$7))))</f>
        <v>0.918195516062446</v>
      </c>
      <c r="D156" s="51" t="n">
        <f aca="false">1+IF($G$8=$E$8,$F$8,IF(R156&lt;($F$8-$E$8)/($G$8-$E$8),$E$8+SQRT(R156*($G$8-$E$8)*($F$8-$E$8)),$G$8-SQRT((1-R156)*($G$8-$E$8)*($G$8-$F$8))))</f>
        <v>0.980387951001127</v>
      </c>
      <c r="E156" s="51" t="n">
        <f aca="false">1+IF($G$9=$E$9,$F$9,IF(S156&lt;($F$9-$E$9)/($G$9-$E$9),$E$9+SQRT(S156*($G$9-$E$9)*($F$9-$E$9)),$G$9-SQRT((1-S156)*($G$9-$E$9)*($G$9-$F$9))))</f>
        <v>1.02552892075224</v>
      </c>
      <c r="F156" s="51" t="n">
        <f aca="false">1+IF($G$10=$E$10,$F$10,IF(T156&lt;($F$10-$E$10)/($G$10-$E$10),$E$10+SQRT(T156*($G$10-$E$10)*($F$10-$E$10)),$G$10-SQRT((1-T156)*($G$10-$E$10)*($G$10-$F$10))))</f>
        <v>1.03822329209839</v>
      </c>
      <c r="G156" s="52" t="n">
        <f aca="false">IF($G$11=$E$11,$F$11,IF(U156&lt;($F$11-$E$11)/($G$11-$E$11),$E$11+SQRT(U156*($G$11-$E$11)*($F$11-$E$11)),$G$11-SQRT((1-U156)*($G$11-$E$11)*($G$11-$F$11))))</f>
        <v>0.0966112562801446</v>
      </c>
      <c r="H156" s="53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-2076446584.19678</v>
      </c>
      <c r="I156" s="53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-8582085.02188931</v>
      </c>
      <c r="J156" s="53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279913682.902843</v>
      </c>
      <c r="K156" s="53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620320615.432494</v>
      </c>
      <c r="L156" s="53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748102745.544614</v>
      </c>
      <c r="M156" s="53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921995553.299264</v>
      </c>
      <c r="N156" s="53" t="n">
        <f aca="false">IF(COUNT('Business Case'!B11:G11)=0,"",H156+NPV(G156,I156:M156))</f>
        <v>-282420473.179882</v>
      </c>
      <c r="P156" s="54" t="n">
        <f aca="true">RAND()</f>
        <v>0.618832282948693</v>
      </c>
      <c r="Q156" s="54" t="n">
        <f aca="true">RAND()</f>
        <v>0.352661357257461</v>
      </c>
      <c r="R156" s="54" t="n">
        <f aca="true">RAND()</f>
        <v>0.123123675472916</v>
      </c>
      <c r="S156" s="54" t="n">
        <f aca="true">RAND()</f>
        <v>0.586852011490627</v>
      </c>
      <c r="T156" s="54" t="n">
        <f aca="true">RAND()</f>
        <v>0.402008346538072</v>
      </c>
      <c r="U156" s="54" t="n">
        <f aca="true">RAND()</f>
        <v>0.275933835204643</v>
      </c>
    </row>
    <row r="157" customFormat="false" ht="15" hidden="false" customHeight="false" outlineLevel="0" collapsed="false">
      <c r="A157" s="50" t="n">
        <v>77</v>
      </c>
      <c r="B157" s="51" t="n">
        <f aca="false">1+IF($G$6=$E$6,$F$6,IF(P157&lt;($F$6-$E$6)/($G$6-$E$6),$E$6+SQRT(P157*($G$6-$E$6)*($F$6-$E$6)),$G$6-SQRT((1-P157)*($G$6-$E$6)*($G$6-$F$6))))</f>
        <v>0.998957014310804</v>
      </c>
      <c r="C157" s="51" t="n">
        <f aca="false">1+IF($G$7=$E$7,$F$7,IF(Q157&lt;($F$7-$E$7)/($G$7-$E$7),$E$7+SQRT(Q157*($G$7-$E$7)*($F$7-$E$7)),$G$7-SQRT((1-Q157)*($G$7-$E$7)*($G$7-$F$7))))</f>
        <v>0.942751918597334</v>
      </c>
      <c r="D157" s="51" t="n">
        <f aca="false">1+IF($G$8=$E$8,$F$8,IF(R157&lt;($F$8-$E$8)/($G$8-$E$8),$E$8+SQRT(R157*($G$8-$E$8)*($F$8-$E$8)),$G$8-SQRT((1-R157)*($G$8-$E$8)*($G$8-$F$8))))</f>
        <v>1.03231982850558</v>
      </c>
      <c r="E157" s="51" t="n">
        <f aca="false">1+IF($G$9=$E$9,$F$9,IF(S157&lt;($F$9-$E$9)/($G$9-$E$9),$E$9+SQRT(S157*($G$9-$E$9)*($F$9-$E$9)),$G$9-SQRT((1-S157)*($G$9-$E$9)*($G$9-$F$9))))</f>
        <v>1.01819001447638</v>
      </c>
      <c r="F157" s="51" t="n">
        <f aca="false">1+IF($G$10=$E$10,$F$10,IF(T157&lt;($F$10-$E$10)/($G$10-$E$10),$E$10+SQRT(T157*($G$10-$E$10)*($F$10-$E$10)),$G$10-SQRT((1-T157)*($G$10-$E$10)*($G$10-$F$10))))</f>
        <v>1.12961973974083</v>
      </c>
      <c r="G157" s="52" t="n">
        <f aca="false">IF($G$11=$E$11,$F$11,IF(U157&lt;($F$11-$E$11)/($G$11-$E$11),$E$11+SQRT(U157*($G$11-$E$11)*($F$11-$E$11)),$G$11-SQRT((1-U157)*($G$11-$E$11)*($G$11-$F$11))))</f>
        <v>0.117725775507128</v>
      </c>
      <c r="H157" s="53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-2259239479.48167</v>
      </c>
      <c r="I157" s="53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-33405105.1502413</v>
      </c>
      <c r="J157" s="53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239759670.125012</v>
      </c>
      <c r="K157" s="53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569405432.387307</v>
      </c>
      <c r="L157" s="53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693007881.740972</v>
      </c>
      <c r="M157" s="53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872019265.181497</v>
      </c>
      <c r="N157" s="53" t="n">
        <f aca="false">IF(COUNT('Business Case'!B11:G11)=0,"",H157+NPV(G157,I157:M157))</f>
        <v>-745566090.957707</v>
      </c>
      <c r="P157" s="54" t="n">
        <f aca="true">RAND()</f>
        <v>0.652832712087238</v>
      </c>
      <c r="Q157" s="54" t="n">
        <f aca="true">RAND()</f>
        <v>0.436507362834717</v>
      </c>
      <c r="R157" s="54" t="n">
        <f aca="true">RAND()</f>
        <v>0.694626292432408</v>
      </c>
      <c r="S157" s="54" t="n">
        <f aca="true">RAND()</f>
        <v>0.536696739100353</v>
      </c>
      <c r="T157" s="54" t="n">
        <f aca="true">RAND()</f>
        <v>0.806781239199135</v>
      </c>
      <c r="U157" s="54" t="n">
        <f aca="true">RAND()</f>
        <v>0.89956227539906</v>
      </c>
    </row>
    <row r="158" customFormat="false" ht="15" hidden="false" customHeight="false" outlineLevel="0" collapsed="false">
      <c r="A158" s="50" t="n">
        <v>78</v>
      </c>
      <c r="B158" s="51" t="n">
        <f aca="false">1+IF($G$6=$E$6,$F$6,IF(P158&lt;($F$6-$E$6)/($G$6-$E$6),$E$6+SQRT(P158*($G$6-$E$6)*($F$6-$E$6)),$G$6-SQRT((1-P158)*($G$6-$E$6)*($G$6-$F$6))))</f>
        <v>1.01491842487513</v>
      </c>
      <c r="C158" s="51" t="n">
        <f aca="false">1+IF($G$7=$E$7,$F$7,IF(Q158&lt;($F$7-$E$7)/($G$7-$E$7),$E$7+SQRT(Q158*($G$7-$E$7)*($F$7-$E$7)),$G$7-SQRT((1-Q158)*($G$7-$E$7)*($G$7-$F$7))))</f>
        <v>1.02242159272163</v>
      </c>
      <c r="D158" s="51" t="n">
        <f aca="false">1+IF($G$8=$E$8,$F$8,IF(R158&lt;($F$8-$E$8)/($G$8-$E$8),$E$8+SQRT(R158*($G$8-$E$8)*($F$8-$E$8)),$G$8-SQRT((1-R158)*($G$8-$E$8)*($G$8-$F$8))))</f>
        <v>1.04320231982342</v>
      </c>
      <c r="E158" s="51" t="n">
        <f aca="false">1+IF($G$9=$E$9,$F$9,IF(S158&lt;($F$9-$E$9)/($G$9-$E$9),$E$9+SQRT(S158*($G$9-$E$9)*($F$9-$E$9)),$G$9-SQRT((1-S158)*($G$9-$E$9)*($G$9-$F$9))))</f>
        <v>1.01049683642267</v>
      </c>
      <c r="F158" s="51" t="n">
        <f aca="false">1+IF($G$10=$E$10,$F$10,IF(T158&lt;($F$10-$E$10)/($G$10-$E$10),$E$10+SQRT(T158*($G$10-$E$10)*($F$10-$E$10)),$G$10-SQRT((1-T158)*($G$10-$E$10)*($G$10-$F$10))))</f>
        <v>1.00440140568355</v>
      </c>
      <c r="G158" s="52" t="n">
        <f aca="false">IF($G$11=$E$11,$F$11,IF(U158&lt;($F$11-$E$11)/($G$11-$E$11),$E$11+SQRT(U158*($G$11-$E$11)*($F$11-$E$11)),$G$11-SQRT((1-U158)*($G$11-$E$11)*($G$11-$F$11))))</f>
        <v>0.111794287776544</v>
      </c>
      <c r="H158" s="53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-2008802811.36711</v>
      </c>
      <c r="I158" s="53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5994228.61871597</v>
      </c>
      <c r="J158" s="53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309914294.670154</v>
      </c>
      <c r="K158" s="53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664054431.00577</v>
      </c>
      <c r="L158" s="53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801223150.839626</v>
      </c>
      <c r="M158" s="53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998464322.164859</v>
      </c>
      <c r="N158" s="53" t="n">
        <f aca="false">IF(COUNT('Business Case'!B11:G11)=0,"",H158+NPV(G158,I158:M158))</f>
        <v>-157319733.664101</v>
      </c>
      <c r="P158" s="54" t="n">
        <f aca="true">RAND()</f>
        <v>0.835904411567732</v>
      </c>
      <c r="Q158" s="54" t="n">
        <f aca="true">RAND()</f>
        <v>0.758870370315757</v>
      </c>
      <c r="R158" s="54" t="n">
        <f aca="true">RAND()</f>
        <v>0.784934901770563</v>
      </c>
      <c r="S158" s="54" t="n">
        <f aca="true">RAND()</f>
        <v>0.481036462717773</v>
      </c>
      <c r="T158" s="54" t="n">
        <f aca="true">RAND()</f>
        <v>0.19575107293047</v>
      </c>
      <c r="U158" s="54" t="n">
        <f aca="true">RAND()</f>
        <v>0.779034694957812</v>
      </c>
    </row>
    <row r="159" customFormat="false" ht="15" hidden="false" customHeight="false" outlineLevel="0" collapsed="false">
      <c r="A159" s="50" t="n">
        <v>79</v>
      </c>
      <c r="B159" s="51" t="n">
        <f aca="false">1+IF($G$6=$E$6,$F$6,IF(P159&lt;($F$6-$E$6)/($G$6-$E$6),$E$6+SQRT(P159*($G$6-$E$6)*($F$6-$E$6)),$G$6-SQRT((1-P159)*($G$6-$E$6)*($G$6-$F$6))))</f>
        <v>0.993357196181191</v>
      </c>
      <c r="C159" s="51" t="n">
        <f aca="false">1+IF($G$7=$E$7,$F$7,IF(Q159&lt;($F$7-$E$7)/($G$7-$E$7),$E$7+SQRT(Q159*($G$7-$E$7)*($F$7-$E$7)),$G$7-SQRT((1-Q159)*($G$7-$E$7)*($G$7-$F$7))))</f>
        <v>0.983387671822628</v>
      </c>
      <c r="D159" s="51" t="n">
        <f aca="false">1+IF($G$8=$E$8,$F$8,IF(R159&lt;($F$8-$E$8)/($G$8-$E$8),$E$8+SQRT(R159*($G$8-$E$8)*($F$8-$E$8)),$G$8-SQRT((1-R159)*($G$8-$E$8)*($G$8-$F$8))))</f>
        <v>1.07109258499567</v>
      </c>
      <c r="E159" s="51" t="n">
        <f aca="false">1+IF($G$9=$E$9,$F$9,IF(S159&lt;($F$9-$E$9)/($G$9-$E$9),$E$9+SQRT(S159*($G$9-$E$9)*($F$9-$E$9)),$G$9-SQRT((1-S159)*($G$9-$E$9)*($G$9-$F$9))))</f>
        <v>1.12735918026364</v>
      </c>
      <c r="F159" s="51" t="n">
        <f aca="false">1+IF($G$10=$E$10,$F$10,IF(T159&lt;($F$10-$E$10)/($G$10-$E$10),$E$10+SQRT(T159*($G$10-$E$10)*($F$10-$E$10)),$G$10-SQRT((1-T159)*($G$10-$E$10)*($G$10-$F$10))))</f>
        <v>1.04647973791629</v>
      </c>
      <c r="G159" s="52" t="n">
        <f aca="false">IF($G$11=$E$11,$F$11,IF(U159&lt;($F$11-$E$11)/($G$11-$E$11),$E$11+SQRT(U159*($G$11-$E$11)*($F$11-$E$11)),$G$11-SQRT((1-U159)*($G$11-$E$11)*($G$11-$F$11))))</f>
        <v>0.117597918798375</v>
      </c>
      <c r="H159" s="53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-2092959475.83258</v>
      </c>
      <c r="I159" s="53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-54688813.4506203</v>
      </c>
      <c r="J159" s="53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206220996.951533</v>
      </c>
      <c r="K159" s="53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519454794.249501</v>
      </c>
      <c r="L159" s="53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640184847.468655</v>
      </c>
      <c r="M159" s="53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825865487.770056</v>
      </c>
      <c r="N159" s="53" t="n">
        <f aca="false">IF(COUNT('Business Case'!B11:G11)=0,"",H159+NPV(G159,I159:M159))</f>
        <v>-720627151.622813</v>
      </c>
      <c r="P159" s="54" t="n">
        <f aca="true">RAND()</f>
        <v>0.581037738587562</v>
      </c>
      <c r="Q159" s="54" t="n">
        <f aca="true">RAND()</f>
        <v>0.594878315118885</v>
      </c>
      <c r="R159" s="54" t="n">
        <f aca="true">RAND()</f>
        <v>0.944290757184511</v>
      </c>
      <c r="S159" s="54" t="n">
        <f aca="true">RAND()</f>
        <v>0.986330487511082</v>
      </c>
      <c r="T159" s="54" t="n">
        <f aca="true">RAND()</f>
        <v>0.447726705618386</v>
      </c>
      <c r="U159" s="54" t="n">
        <f aca="true">RAND()</f>
        <v>0.897458921245534</v>
      </c>
    </row>
    <row r="160" customFormat="false" ht="15" hidden="false" customHeight="false" outlineLevel="0" collapsed="false">
      <c r="A160" s="50" t="n">
        <v>80</v>
      </c>
      <c r="B160" s="51" t="n">
        <f aca="false">1+IF($G$6=$E$6,$F$6,IF(P160&lt;($F$6-$E$6)/($G$6-$E$6),$E$6+SQRT(P160*($G$6-$E$6)*($F$6-$E$6)),$G$6-SQRT((1-P160)*($G$6-$E$6)*($G$6-$F$6))))</f>
        <v>0.997637695903774</v>
      </c>
      <c r="C160" s="51" t="n">
        <f aca="false">1+IF($G$7=$E$7,$F$7,IF(Q160&lt;($F$7-$E$7)/($G$7-$E$7),$E$7+SQRT(Q160*($G$7-$E$7)*($F$7-$E$7)),$G$7-SQRT((1-Q160)*($G$7-$E$7)*($G$7-$F$7))))</f>
        <v>0.984639844911429</v>
      </c>
      <c r="D160" s="51" t="n">
        <f aca="false">1+IF($G$8=$E$8,$F$8,IF(R160&lt;($F$8-$E$8)/($G$8-$E$8),$E$8+SQRT(R160*($G$8-$E$8)*($F$8-$E$8)),$G$8-SQRT((1-R160)*($G$8-$E$8)*($G$8-$F$8))))</f>
        <v>1.04744987136552</v>
      </c>
      <c r="E160" s="51" t="n">
        <f aca="false">1+IF($G$9=$E$9,$F$9,IF(S160&lt;($F$9-$E$9)/($G$9-$E$9),$E$9+SQRT(S160*($G$9-$E$9)*($F$9-$E$9)),$G$9-SQRT((1-S160)*($G$9-$E$9)*($G$9-$F$9))))</f>
        <v>1.02101159611911</v>
      </c>
      <c r="F160" s="51" t="n">
        <f aca="false">1+IF($G$10=$E$10,$F$10,IF(T160&lt;($F$10-$E$10)/($G$10-$E$10),$E$10+SQRT(T160*($G$10-$E$10)*($F$10-$E$10)),$G$10-SQRT((1-T160)*($G$10-$E$10)*($G$10-$F$10))))</f>
        <v>0.991363264594844</v>
      </c>
      <c r="G160" s="52" t="n">
        <f aca="false">IF($G$11=$E$11,$F$11,IF(U160&lt;($F$11-$E$11)/($G$11-$E$11),$E$11+SQRT(U160*($G$11-$E$11)*($F$11-$E$11)),$G$11-SQRT((1-U160)*($G$11-$E$11)*($G$11-$F$11))))</f>
        <v>0.114902584789489</v>
      </c>
      <c r="H160" s="53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-1982726529.18969</v>
      </c>
      <c r="I160" s="53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-18635835.0689848</v>
      </c>
      <c r="J160" s="53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257975654.038433</v>
      </c>
      <c r="K160" s="53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584155306.375594</v>
      </c>
      <c r="L160" s="53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710307901.910587</v>
      </c>
      <c r="M160" s="53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897026113.989454</v>
      </c>
      <c r="N160" s="53" t="n">
        <f aca="false">IF(COUNT('Business Case'!B11:G11)=0,"",H160+NPV(G160,I160:M160))</f>
        <v>-389915558.531307</v>
      </c>
      <c r="P160" s="54" t="n">
        <f aca="true">RAND()</f>
        <v>0.63554131075985</v>
      </c>
      <c r="Q160" s="54" t="n">
        <f aca="true">RAND()</f>
        <v>0.600146972675572</v>
      </c>
      <c r="R160" s="54" t="n">
        <f aca="true">RAND()</f>
        <v>0.815898932033272</v>
      </c>
      <c r="S160" s="54" t="n">
        <f aca="true">RAND()</f>
        <v>0.556319777713583</v>
      </c>
      <c r="T160" s="54" t="n">
        <f aca="true">RAND()</f>
        <v>0.114061310529536</v>
      </c>
      <c r="U160" s="54" t="n">
        <f aca="true">RAND()</f>
        <v>0.84804536930763</v>
      </c>
    </row>
    <row r="161" customFormat="false" ht="15" hidden="false" customHeight="false" outlineLevel="0" collapsed="false">
      <c r="A161" s="50" t="n">
        <v>81</v>
      </c>
      <c r="B161" s="51" t="n">
        <f aca="false">1+IF($G$6=$E$6,$F$6,IF(P161&lt;($F$6-$E$6)/($G$6-$E$6),$E$6+SQRT(P161*($G$6-$E$6)*($F$6-$E$6)),$G$6-SQRT((1-P161)*($G$6-$E$6)*($G$6-$F$6))))</f>
        <v>0.956877654674809</v>
      </c>
      <c r="C161" s="51" t="n">
        <f aca="false">1+IF($G$7=$E$7,$F$7,IF(Q161&lt;($F$7-$E$7)/($G$7-$E$7),$E$7+SQRT(Q161*($G$7-$E$7)*($F$7-$E$7)),$G$7-SQRT((1-Q161)*($G$7-$E$7)*($G$7-$F$7))))</f>
        <v>1.04551829527839</v>
      </c>
      <c r="D161" s="51" t="n">
        <f aca="false">1+IF($G$8=$E$8,$F$8,IF(R161&lt;($F$8-$E$8)/($G$8-$E$8),$E$8+SQRT(R161*($G$8-$E$8)*($F$8-$E$8)),$G$8-SQRT((1-R161)*($G$8-$E$8)*($G$8-$F$8))))</f>
        <v>0.970177752462775</v>
      </c>
      <c r="E161" s="51" t="n">
        <f aca="false">1+IF($G$9=$E$9,$F$9,IF(S161&lt;($F$9-$E$9)/($G$9-$E$9),$E$9+SQRT(S161*($G$9-$E$9)*($F$9-$E$9)),$G$9-SQRT((1-S161)*($G$9-$E$9)*($G$9-$F$9))))</f>
        <v>1.01332069718846</v>
      </c>
      <c r="F161" s="51" t="n">
        <f aca="false">1+IF($G$10=$E$10,$F$10,IF(T161&lt;($F$10-$E$10)/($G$10-$E$10),$E$10+SQRT(T161*($G$10-$E$10)*($F$10-$E$10)),$G$10-SQRT((1-T161)*($G$10-$E$10)*($G$10-$F$10))))</f>
        <v>1.18491544847886</v>
      </c>
      <c r="G161" s="52" t="n">
        <f aca="false">IF($G$11=$E$11,$F$11,IF(U161&lt;($F$11-$E$11)/($G$11-$E$11),$E$11+SQRT(U161*($G$11-$E$11)*($F$11-$E$11)),$G$11-SQRT((1-U161)*($G$11-$E$11)*($G$11-$F$11))))</f>
        <v>0.100996566310048</v>
      </c>
      <c r="H161" s="53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-2369830896.95772</v>
      </c>
      <c r="I161" s="53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-14281675.1050411</v>
      </c>
      <c r="J161" s="53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285884849.386805</v>
      </c>
      <c r="K161" s="53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645297146.302594</v>
      </c>
      <c r="L161" s="53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779927622.205744</v>
      </c>
      <c r="M161" s="53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970089944.771351</v>
      </c>
      <c r="N161" s="53" t="n">
        <f aca="false">IF(COUNT('Business Case'!B11:G11)=0,"",H161+NPV(G161,I161:M161))</f>
        <v>-533052194.85726</v>
      </c>
      <c r="P161" s="54" t="n">
        <f aca="true">RAND()</f>
        <v>0.215671173420455</v>
      </c>
      <c r="Q161" s="54" t="n">
        <f aca="true">RAND()</f>
        <v>0.838275161162474</v>
      </c>
      <c r="R161" s="54" t="n">
        <f aca="true">RAND()</f>
        <v>0.0542855592598704</v>
      </c>
      <c r="S161" s="54" t="n">
        <f aca="true">RAND()</f>
        <v>0.501833818212036</v>
      </c>
      <c r="T161" s="54" t="n">
        <f aca="true">RAND()</f>
        <v>0.943520015377231</v>
      </c>
      <c r="U161" s="54" t="n">
        <f aca="true">RAND()</f>
        <v>0.439200556128377</v>
      </c>
    </row>
    <row r="162" customFormat="false" ht="15" hidden="false" customHeight="false" outlineLevel="0" collapsed="false">
      <c r="A162" s="50" t="n">
        <v>82</v>
      </c>
      <c r="B162" s="51" t="n">
        <f aca="false">1+IF($G$6=$E$6,$F$6,IF(P162&lt;($F$6-$E$6)/($G$6-$E$6),$E$6+SQRT(P162*($G$6-$E$6)*($F$6-$E$6)),$G$6-SQRT((1-P162)*($G$6-$E$6)*($G$6-$F$6))))</f>
        <v>0.977386548721862</v>
      </c>
      <c r="C162" s="51" t="n">
        <f aca="false">1+IF($G$7=$E$7,$F$7,IF(Q162&lt;($F$7-$E$7)/($G$7-$E$7),$E$7+SQRT(Q162*($G$7-$E$7)*($F$7-$E$7)),$G$7-SQRT((1-Q162)*($G$7-$E$7)*($G$7-$F$7))))</f>
        <v>0.933351421165366</v>
      </c>
      <c r="D162" s="51" t="n">
        <f aca="false">1+IF($G$8=$E$8,$F$8,IF(R162&lt;($F$8-$E$8)/($G$8-$E$8),$E$8+SQRT(R162*($G$8-$E$8)*($F$8-$E$8)),$G$8-SQRT((1-R162)*($G$8-$E$8)*($G$8-$F$8))))</f>
        <v>0.998610902626885</v>
      </c>
      <c r="E162" s="51" t="n">
        <f aca="false">1+IF($G$9=$E$9,$F$9,IF(S162&lt;($F$9-$E$9)/($G$9-$E$9),$E$9+SQRT(S162*($G$9-$E$9)*($F$9-$E$9)),$G$9-SQRT((1-S162)*($G$9-$E$9)*($G$9-$F$9))))</f>
        <v>1.10008288533837</v>
      </c>
      <c r="F162" s="51" t="n">
        <f aca="false">1+IF($G$10=$E$10,$F$10,IF(T162&lt;($F$10-$E$10)/($G$10-$E$10),$E$10+SQRT(T162*($G$10-$E$10)*($F$10-$E$10)),$G$10-SQRT((1-T162)*($G$10-$E$10)*($G$10-$F$10))))</f>
        <v>1.08702541577371</v>
      </c>
      <c r="G162" s="52" t="n">
        <f aca="false">IF($G$11=$E$11,$F$11,IF(U162&lt;($F$11-$E$11)/($G$11-$E$11),$E$11+SQRT(U162*($G$11-$E$11)*($F$11-$E$11)),$G$11-SQRT((1-U162)*($G$11-$E$11)*($G$11-$F$11))))</f>
        <v>0.0955423539313647</v>
      </c>
      <c r="H162" s="53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-2174050831.54742</v>
      </c>
      <c r="I162" s="53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-42368223.731341</v>
      </c>
      <c r="J162" s="53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227688667.652349</v>
      </c>
      <c r="K162" s="53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552096829.824724</v>
      </c>
      <c r="L162" s="53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673642985.114316</v>
      </c>
      <c r="M162" s="53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847042538.336976</v>
      </c>
      <c r="N162" s="53" t="n">
        <f aca="false">IF(COUNT('Business Case'!B11:G11)=0,"",H162+NPV(G162,I162:M162))</f>
        <v>-598758903.23395</v>
      </c>
      <c r="P162" s="54" t="n">
        <f aca="true">RAND()</f>
        <v>0.39924519487207</v>
      </c>
      <c r="Q162" s="54" t="n">
        <f aca="true">RAND()</f>
        <v>0.403354709332565</v>
      </c>
      <c r="R162" s="54" t="n">
        <f aca="true">RAND()</f>
        <v>0.315069313893392</v>
      </c>
      <c r="S162" s="54" t="n">
        <f aca="true">RAND()</f>
        <v>0.933554177702876</v>
      </c>
      <c r="T162" s="54" t="n">
        <f aca="true">RAND()</f>
        <v>0.645857131950228</v>
      </c>
      <c r="U162" s="54" t="n">
        <f aca="true">RAND()</f>
        <v>0.241564765727807</v>
      </c>
    </row>
    <row r="163" customFormat="false" ht="15" hidden="false" customHeight="false" outlineLevel="0" collapsed="false">
      <c r="A163" s="50" t="n">
        <v>83</v>
      </c>
      <c r="B163" s="51" t="n">
        <f aca="false">1+IF($G$6=$E$6,$F$6,IF(P163&lt;($F$6-$E$6)/($G$6-$E$6),$E$6+SQRT(P163*($G$6-$E$6)*($F$6-$E$6)),$G$6-SQRT((1-P163)*($G$6-$E$6)*($G$6-$F$6))))</f>
        <v>1.02070717292809</v>
      </c>
      <c r="C163" s="51" t="n">
        <f aca="false">1+IF($G$7=$E$7,$F$7,IF(Q163&lt;($F$7-$E$7)/($G$7-$E$7),$E$7+SQRT(Q163*($G$7-$E$7)*($F$7-$E$7)),$G$7-SQRT((1-Q163)*($G$7-$E$7)*($G$7-$F$7))))</f>
        <v>1.1067568571179</v>
      </c>
      <c r="D163" s="51" t="n">
        <f aca="false">1+IF($G$8=$E$8,$F$8,IF(R163&lt;($F$8-$E$8)/($G$8-$E$8),$E$8+SQRT(R163*($G$8-$E$8)*($F$8-$E$8)),$G$8-SQRT((1-R163)*($G$8-$E$8)*($G$8-$F$8))))</f>
        <v>1.08065362871269</v>
      </c>
      <c r="E163" s="51" t="n">
        <f aca="false">1+IF($G$9=$E$9,$F$9,IF(S163&lt;($F$9-$E$9)/($G$9-$E$9),$E$9+SQRT(S163*($G$9-$E$9)*($F$9-$E$9)),$G$9-SQRT((1-S163)*($G$9-$E$9)*($G$9-$F$9))))</f>
        <v>1.05395602017286</v>
      </c>
      <c r="F163" s="51" t="n">
        <f aca="false">1+IF($G$10=$E$10,$F$10,IF(T163&lt;($F$10-$E$10)/($G$10-$E$10),$E$10+SQRT(T163*($G$10-$E$10)*($F$10-$E$10)),$G$10-SQRT((1-T163)*($G$10-$E$10)*($G$10-$F$10))))</f>
        <v>1.11442650074592</v>
      </c>
      <c r="G163" s="52" t="n">
        <f aca="false">IF($G$11=$E$11,$F$11,IF(U163&lt;($F$11-$E$11)/($G$11-$E$11),$E$11+SQRT(U163*($G$11-$E$11)*($F$11-$E$11)),$G$11-SQRT((1-U163)*($G$11-$E$11)*($G$11-$F$11))))</f>
        <v>0.118899279088473</v>
      </c>
      <c r="H163" s="53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-2228853001.49184</v>
      </c>
      <c r="I163" s="53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-6859620.26743983</v>
      </c>
      <c r="J163" s="53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306158290.125128</v>
      </c>
      <c r="K163" s="53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674897525.554992</v>
      </c>
      <c r="L163" s="53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818278385.363738</v>
      </c>
      <c r="M163" s="53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1033006945.2588</v>
      </c>
      <c r="N163" s="53" t="n">
        <f aca="false">IF(COUNT('Business Case'!B11:G11)=0,"",H163+NPV(G163,I163:M163))</f>
        <v>-397513105.163101</v>
      </c>
      <c r="P163" s="54" t="n">
        <f aca="true">RAND()</f>
        <v>0.885590704284656</v>
      </c>
      <c r="Q163" s="54" t="n">
        <f aca="true">RAND()</f>
        <v>0.97229674953598</v>
      </c>
      <c r="R163" s="54" t="n">
        <f aca="true">RAND()</f>
        <v>0.975047861200914</v>
      </c>
      <c r="S163" s="54" t="n">
        <f aca="true">RAND()</f>
        <v>0.754014771705701</v>
      </c>
      <c r="T163" s="54" t="n">
        <f aca="true">RAND()</f>
        <v>0.754931017333394</v>
      </c>
      <c r="U163" s="54" t="n">
        <f aca="true">RAND()</f>
        <v>0.917849330162925</v>
      </c>
    </row>
    <row r="164" customFormat="false" ht="15" hidden="false" customHeight="false" outlineLevel="0" collapsed="false">
      <c r="A164" s="50" t="n">
        <v>84</v>
      </c>
      <c r="B164" s="51" t="n">
        <f aca="false">1+IF($G$6=$E$6,$F$6,IF(P164&lt;($F$6-$E$6)/($G$6-$E$6),$E$6+SQRT(P164*($G$6-$E$6)*($F$6-$E$6)),$G$6-SQRT((1-P164)*($G$6-$E$6)*($G$6-$F$6))))</f>
        <v>0.994773525807445</v>
      </c>
      <c r="C164" s="51" t="n">
        <f aca="false">1+IF($G$7=$E$7,$F$7,IF(Q164&lt;($F$7-$E$7)/($G$7-$E$7),$E$7+SQRT(Q164*($G$7-$E$7)*($F$7-$E$7)),$G$7-SQRT((1-Q164)*($G$7-$E$7)*($G$7-$F$7))))</f>
        <v>0.983752684062338</v>
      </c>
      <c r="D164" s="51" t="n">
        <f aca="false">1+IF($G$8=$E$8,$F$8,IF(R164&lt;($F$8-$E$8)/($G$8-$E$8),$E$8+SQRT(R164*($G$8-$E$8)*($F$8-$E$8)),$G$8-SQRT((1-R164)*($G$8-$E$8)*($G$8-$F$8))))</f>
        <v>0.966795543477121</v>
      </c>
      <c r="E164" s="51" t="n">
        <f aca="false">1+IF($G$9=$E$9,$F$9,IF(S164&lt;($F$9-$E$9)/($G$9-$E$9),$E$9+SQRT(S164*($G$9-$E$9)*($F$9-$E$9)),$G$9-SQRT((1-S164)*($G$9-$E$9)*($G$9-$F$9))))</f>
        <v>1.12779692265691</v>
      </c>
      <c r="F164" s="51" t="n">
        <f aca="false">1+IF($G$10=$E$10,$F$10,IF(T164&lt;($F$10-$E$10)/($G$10-$E$10),$E$10+SQRT(T164*($G$10-$E$10)*($F$10-$E$10)),$G$10-SQRT((1-T164)*($G$10-$E$10)*($G$10-$F$10))))</f>
        <v>1.09928723172344</v>
      </c>
      <c r="G164" s="52" t="n">
        <f aca="false">IF($G$11=$E$11,$F$11,IF(U164&lt;($F$11-$E$11)/($G$11-$E$11),$E$11+SQRT(U164*($G$11-$E$11)*($F$11-$E$11)),$G$11-SQRT((1-U164)*($G$11-$E$11)*($G$11-$F$11))))</f>
        <v>0.0988456829887599</v>
      </c>
      <c r="H164" s="53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-2198574463.44688</v>
      </c>
      <c r="I164" s="53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-6360495.0454061</v>
      </c>
      <c r="J164" s="53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308311656.257633</v>
      </c>
      <c r="K164" s="53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677948169.146845</v>
      </c>
      <c r="L164" s="53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816659686.76405</v>
      </c>
      <c r="M164" s="53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1002674089.60311</v>
      </c>
      <c r="N164" s="53" t="n">
        <f aca="false">IF(COUNT('Business Case'!B11:G11)=0,"",H164+NPV(G164,I164:M164))</f>
        <v>-252069101.517645</v>
      </c>
      <c r="P164" s="54" t="n">
        <f aca="true">RAND()</f>
        <v>0.598801412931631</v>
      </c>
      <c r="Q164" s="54" t="n">
        <f aca="true">RAND()</f>
        <v>0.59641174601912</v>
      </c>
      <c r="R164" s="54" t="n">
        <f aca="true">RAND()</f>
        <v>0.0376120374255828</v>
      </c>
      <c r="S164" s="54" t="n">
        <f aca="true">RAND()</f>
        <v>0.986853956173252</v>
      </c>
      <c r="T164" s="54" t="n">
        <f aca="true">RAND()</f>
        <v>0.697142153045542</v>
      </c>
      <c r="U164" s="54" t="n">
        <f aca="true">RAND()</f>
        <v>0.355159767312835</v>
      </c>
    </row>
    <row r="165" customFormat="false" ht="15" hidden="false" customHeight="false" outlineLevel="0" collapsed="false">
      <c r="A165" s="50" t="n">
        <v>85</v>
      </c>
      <c r="B165" s="51" t="n">
        <f aca="false">1+IF($G$6=$E$6,$F$6,IF(P165&lt;($F$6-$E$6)/($G$6-$E$6),$E$6+SQRT(P165*($G$6-$E$6)*($F$6-$E$6)),$G$6-SQRT((1-P165)*($G$6-$E$6)*($G$6-$F$6))))</f>
        <v>0.944634554734555</v>
      </c>
      <c r="C165" s="51" t="n">
        <f aca="false">1+IF($G$7=$E$7,$F$7,IF(Q165&lt;($F$7-$E$7)/($G$7-$E$7),$E$7+SQRT(Q165*($G$7-$E$7)*($F$7-$E$7)),$G$7-SQRT((1-Q165)*($G$7-$E$7)*($G$7-$F$7))))</f>
        <v>0.912574386780204</v>
      </c>
      <c r="D165" s="51" t="n">
        <f aca="false">1+IF($G$8=$E$8,$F$8,IF(R165&lt;($F$8-$E$8)/($G$8-$E$8),$E$8+SQRT(R165*($G$8-$E$8)*($F$8-$E$8)),$G$8-SQRT((1-R165)*($G$8-$E$8)*($G$8-$F$8))))</f>
        <v>1.05821301399498</v>
      </c>
      <c r="E165" s="51" t="n">
        <f aca="false">1+IF($G$9=$E$9,$F$9,IF(S165&lt;($F$9-$E$9)/($G$9-$E$9),$E$9+SQRT(S165*($G$9-$E$9)*($F$9-$E$9)),$G$9-SQRT((1-S165)*($G$9-$E$9)*($G$9-$F$9))))</f>
        <v>0.959313840469566</v>
      </c>
      <c r="F165" s="51" t="n">
        <f aca="false">1+IF($G$10=$E$10,$F$10,IF(T165&lt;($F$10-$E$10)/($G$10-$E$10),$E$10+SQRT(T165*($G$10-$E$10)*($F$10-$E$10)),$G$10-SQRT((1-T165)*($G$10-$E$10)*($G$10-$F$10))))</f>
        <v>1.00164695268488</v>
      </c>
      <c r="G165" s="52" t="n">
        <f aca="false">IF($G$11=$E$11,$F$11,IF(U165&lt;($F$11-$E$11)/($G$11-$E$11),$E$11+SQRT(U165*($G$11-$E$11)*($F$11-$E$11)),$G$11-SQRT((1-U165)*($G$11-$E$11)*($G$11-$F$11))))</f>
        <v>0.115371792129499</v>
      </c>
      <c r="H165" s="53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-2003293905.36976</v>
      </c>
      <c r="I165" s="53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-69547482.6404709</v>
      </c>
      <c r="J165" s="53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142172793.789346</v>
      </c>
      <c r="K165" s="53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403975417.853407</v>
      </c>
      <c r="L165" s="53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504341267.121365</v>
      </c>
      <c r="M165" s="53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668199597.973799</v>
      </c>
      <c r="N165" s="53" t="n">
        <f aca="false">IF(COUNT('Business Case'!B11:G11)=0,"",H165+NPV(G165,I165:M165))</f>
        <v>-947272135.818421</v>
      </c>
      <c r="P165" s="54" t="n">
        <f aca="true">RAND()</f>
        <v>0.132816231756796</v>
      </c>
      <c r="Q165" s="54" t="n">
        <f aca="true">RAND()</f>
        <v>0.334724962333184</v>
      </c>
      <c r="R165" s="54" t="n">
        <f aca="true">RAND()</f>
        <v>0.88358985337444</v>
      </c>
      <c r="S165" s="54" t="n">
        <f aca="true">RAND()</f>
        <v>0.140725266849964</v>
      </c>
      <c r="T165" s="54" t="n">
        <f aca="true">RAND()</f>
        <v>0.177610185190588</v>
      </c>
      <c r="U165" s="54" t="n">
        <f aca="true">RAND()</f>
        <v>0.857343689664945</v>
      </c>
    </row>
    <row r="166" customFormat="false" ht="15" hidden="false" customHeight="false" outlineLevel="0" collapsed="false">
      <c r="A166" s="50" t="n">
        <v>86</v>
      </c>
      <c r="B166" s="51" t="n">
        <f aca="false">1+IF($G$6=$E$6,$F$6,IF(P166&lt;($F$6-$E$6)/($G$6-$E$6),$E$6+SQRT(P166*($G$6-$E$6)*($F$6-$E$6)),$G$6-SQRT((1-P166)*($G$6-$E$6)*($G$6-$F$6))))</f>
        <v>0.965560471236805</v>
      </c>
      <c r="C166" s="51" t="n">
        <f aca="false">1+IF($G$7=$E$7,$F$7,IF(Q166&lt;($F$7-$E$7)/($G$7-$E$7),$E$7+SQRT(Q166*($G$7-$E$7)*($F$7-$E$7)),$G$7-SQRT((1-Q166)*($G$7-$E$7)*($G$7-$F$7))))</f>
        <v>0.959828915623787</v>
      </c>
      <c r="D166" s="51" t="n">
        <f aca="false">1+IF($G$8=$E$8,$F$8,IF(R166&lt;($F$8-$E$8)/($G$8-$E$8),$E$8+SQRT(R166*($G$8-$E$8)*($F$8-$E$8)),$G$8-SQRT((1-R166)*($G$8-$E$8)*($G$8-$F$8))))</f>
        <v>1.0607180983624</v>
      </c>
      <c r="E166" s="51" t="n">
        <f aca="false">1+IF($G$9=$E$9,$F$9,IF(S166&lt;($F$9-$E$9)/($G$9-$E$9),$E$9+SQRT(S166*($G$9-$E$9)*($F$9-$E$9)),$G$9-SQRT((1-S166)*($G$9-$E$9)*($G$9-$F$9))))</f>
        <v>1.04473820426093</v>
      </c>
      <c r="F166" s="51" t="n">
        <f aca="false">1+IF($G$10=$E$10,$F$10,IF(T166&lt;($F$10-$E$10)/($G$10-$E$10),$E$10+SQRT(T166*($G$10-$E$10)*($F$10-$E$10)),$G$10-SQRT((1-T166)*($G$10-$E$10)*($G$10-$F$10))))</f>
        <v>0.996656867171093</v>
      </c>
      <c r="G166" s="52" t="n">
        <f aca="false">IF($G$11=$E$11,$F$11,IF(U166&lt;($F$11-$E$11)/($G$11-$E$11),$E$11+SQRT(U166*($G$11-$E$11)*($F$11-$E$11)),$G$11-SQRT((1-U166)*($G$11-$E$11)*($G$11-$F$11))))</f>
        <v>0.0996861227399492</v>
      </c>
      <c r="H166" s="53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-1993313734.34219</v>
      </c>
      <c r="I166" s="53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-58367461.6411532</v>
      </c>
      <c r="J166" s="53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179536441.147069</v>
      </c>
      <c r="K166" s="53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467273187.293845</v>
      </c>
      <c r="L166" s="53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578603758.267493</v>
      </c>
      <c r="M166" s="53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754764743.510818</v>
      </c>
      <c r="N166" s="53" t="n">
        <f aca="false">IF(COUNT('Business Case'!B11:G11)=0,"",H166+NPV(G166,I166:M166))</f>
        <v>-681594049.50712</v>
      </c>
      <c r="P166" s="54" t="n">
        <f aca="true">RAND()</f>
        <v>0.286545025919463</v>
      </c>
      <c r="Q166" s="54" t="n">
        <f aca="true">RAND()</f>
        <v>0.500081965883209</v>
      </c>
      <c r="R166" s="54" t="n">
        <f aca="true">RAND()</f>
        <v>0.897128813582265</v>
      </c>
      <c r="S166" s="54" t="n">
        <f aca="true">RAND()</f>
        <v>0.704532116207637</v>
      </c>
      <c r="T166" s="54" t="n">
        <f aca="true">RAND()</f>
        <v>0.145124216948068</v>
      </c>
      <c r="U166" s="54" t="n">
        <f aca="true">RAND()</f>
        <v>0.387543428532346</v>
      </c>
    </row>
    <row r="167" customFormat="false" ht="15" hidden="false" customHeight="false" outlineLevel="0" collapsed="false">
      <c r="A167" s="50" t="n">
        <v>87</v>
      </c>
      <c r="B167" s="51" t="n">
        <f aca="false">1+IF($G$6=$E$6,$F$6,IF(P167&lt;($F$6-$E$6)/($G$6-$E$6),$E$6+SQRT(P167*($G$6-$E$6)*($F$6-$E$6)),$G$6-SQRT((1-P167)*($G$6-$E$6)*($G$6-$F$6))))</f>
        <v>0.989725418365272</v>
      </c>
      <c r="C167" s="51" t="n">
        <f aca="false">1+IF($G$7=$E$7,$F$7,IF(Q167&lt;($F$7-$E$7)/($G$7-$E$7),$E$7+SQRT(Q167*($G$7-$E$7)*($F$7-$E$7)),$G$7-SQRT((1-Q167)*($G$7-$E$7)*($G$7-$F$7))))</f>
        <v>0.949643933792099</v>
      </c>
      <c r="D167" s="51" t="n">
        <f aca="false">1+IF($G$8=$E$8,$F$8,IF(R167&lt;($F$8-$E$8)/($G$8-$E$8),$E$8+SQRT(R167*($G$8-$E$8)*($F$8-$E$8)),$G$8-SQRT((1-R167)*($G$8-$E$8)*($G$8-$F$8))))</f>
        <v>0.990677398097999</v>
      </c>
      <c r="E167" s="51" t="n">
        <f aca="false">1+IF($G$9=$E$9,$F$9,IF(S167&lt;($F$9-$E$9)/($G$9-$E$9),$E$9+SQRT(S167*($G$9-$E$9)*($F$9-$E$9)),$G$9-SQRT((1-S167)*($G$9-$E$9)*($G$9-$F$9))))</f>
        <v>1.04050640311699</v>
      </c>
      <c r="F167" s="51" t="n">
        <f aca="false">1+IF($G$10=$E$10,$F$10,IF(T167&lt;($F$10-$E$10)/($G$10-$E$10),$E$10+SQRT(T167*($G$10-$E$10)*($F$10-$E$10)),$G$10-SQRT((1-T167)*($G$10-$E$10)*($G$10-$F$10))))</f>
        <v>1.02023620949318</v>
      </c>
      <c r="G167" s="52" t="n">
        <f aca="false">IF($G$11=$E$11,$F$11,IF(U167&lt;($F$11-$E$11)/($G$11-$E$11),$E$11+SQRT(U167*($G$11-$E$11)*($F$11-$E$11)),$G$11-SQRT((1-U167)*($G$11-$E$11)*($G$11-$F$11))))</f>
        <v>0.0985527189362698</v>
      </c>
      <c r="H167" s="53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-2040472418.98636</v>
      </c>
      <c r="I167" s="53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-10482065.2609534</v>
      </c>
      <c r="J167" s="53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277743229.535162</v>
      </c>
      <c r="K167" s="53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616980334.805936</v>
      </c>
      <c r="L167" s="53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745537918.794318</v>
      </c>
      <c r="M167" s="53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924191590.270873</v>
      </c>
      <c r="N167" s="53" t="n">
        <f aca="false">IF(COUNT('Business Case'!B11:G11)=0,"",H167+NPV(G167,I167:M167))</f>
        <v>-264946607.032638</v>
      </c>
      <c r="P167" s="54" t="n">
        <f aca="true">RAND()</f>
        <v>0.536710046721539</v>
      </c>
      <c r="Q167" s="54" t="n">
        <f aca="true">RAND()</f>
        <v>0.461645138364399</v>
      </c>
      <c r="R167" s="54" t="n">
        <f aca="true">RAND()</f>
        <v>0.220620095469747</v>
      </c>
      <c r="S167" s="54" t="n">
        <f aca="true">RAND()</f>
        <v>0.680297393109899</v>
      </c>
      <c r="T167" s="54" t="n">
        <f aca="true">RAND()</f>
        <v>0.296114674292493</v>
      </c>
      <c r="U167" s="54" t="n">
        <f aca="true">RAND()</f>
        <v>0.344203379928223</v>
      </c>
    </row>
    <row r="168" customFormat="false" ht="15" hidden="false" customHeight="false" outlineLevel="0" collapsed="false">
      <c r="A168" s="50" t="n">
        <v>88</v>
      </c>
      <c r="B168" s="51" t="n">
        <f aca="false">1+IF($G$6=$E$6,$F$6,IF(P168&lt;($F$6-$E$6)/($G$6-$E$6),$E$6+SQRT(P168*($G$6-$E$6)*($F$6-$E$6)),$G$6-SQRT((1-P168)*($G$6-$E$6)*($G$6-$F$6))))</f>
        <v>0.948945915156429</v>
      </c>
      <c r="C168" s="51" t="n">
        <f aca="false">1+IF($G$7=$E$7,$F$7,IF(Q168&lt;($F$7-$E$7)/($G$7-$E$7),$E$7+SQRT(Q168*($G$7-$E$7)*($F$7-$E$7)),$G$7-SQRT((1-Q168)*($G$7-$E$7)*($G$7-$F$7))))</f>
        <v>0.966651633759535</v>
      </c>
      <c r="D168" s="51" t="n">
        <f aca="false">1+IF($G$8=$E$8,$F$8,IF(R168&lt;($F$8-$E$8)/($G$8-$E$8),$E$8+SQRT(R168*($G$8-$E$8)*($F$8-$E$8)),$G$8-SQRT((1-R168)*($G$8-$E$8)*($G$8-$F$8))))</f>
        <v>1.02181006992291</v>
      </c>
      <c r="E168" s="51" t="n">
        <f aca="false">1+IF($G$9=$E$9,$F$9,IF(S168&lt;($F$9-$E$9)/($G$9-$E$9),$E$9+SQRT(S168*($G$9-$E$9)*($F$9-$E$9)),$G$9-SQRT((1-S168)*($G$9-$E$9)*($G$9-$F$9))))</f>
        <v>1.00890808274368</v>
      </c>
      <c r="F168" s="51" t="n">
        <f aca="false">1+IF($G$10=$E$10,$F$10,IF(T168&lt;($F$10-$E$10)/($G$10-$E$10),$E$10+SQRT(T168*($G$10-$E$10)*($F$10-$E$10)),$G$10-SQRT((1-T168)*($G$10-$E$10)*($G$10-$F$10))))</f>
        <v>1.15087522444158</v>
      </c>
      <c r="G168" s="52" t="n">
        <f aca="false">IF($G$11=$E$11,$F$11,IF(U168&lt;($F$11-$E$11)/($G$11-$E$11),$E$11+SQRT(U168*($G$11-$E$11)*($F$11-$E$11)),$G$11-SQRT((1-U168)*($G$11-$E$11)*($G$11-$F$11))))</f>
        <v>0.115424913755118</v>
      </c>
      <c r="H168" s="53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-2301750448.88316</v>
      </c>
      <c r="I168" s="53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-60413227.2024735</v>
      </c>
      <c r="J168" s="53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185280635.586525</v>
      </c>
      <c r="K168" s="53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488518259.597603</v>
      </c>
      <c r="L168" s="53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602118105.981377</v>
      </c>
      <c r="M168" s="53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776478512.645642</v>
      </c>
      <c r="N168" s="53" t="n">
        <f aca="false">IF(COUNT('Business Case'!B11:G11)=0,"",H168+NPV(G168,I168:M168))</f>
        <v>-1016300660.94592</v>
      </c>
      <c r="P168" s="54" t="n">
        <f aca="true">RAND()</f>
        <v>0.159713507366691</v>
      </c>
      <c r="Q168" s="54" t="n">
        <f aca="true">RAND()</f>
        <v>0.52668958360466</v>
      </c>
      <c r="R168" s="54" t="n">
        <f aca="true">RAND()</f>
        <v>0.592422322302635</v>
      </c>
      <c r="S168" s="54" t="n">
        <f aca="true">RAND()</f>
        <v>0.469148556931611</v>
      </c>
      <c r="T168" s="54" t="n">
        <f aca="true">RAND()</f>
        <v>0.868990384939899</v>
      </c>
      <c r="U168" s="54" t="n">
        <f aca="true">RAND()</f>
        <v>0.858377907302832</v>
      </c>
    </row>
    <row r="169" customFormat="false" ht="15" hidden="false" customHeight="false" outlineLevel="0" collapsed="false">
      <c r="A169" s="50" t="n">
        <v>89</v>
      </c>
      <c r="B169" s="51" t="n">
        <f aca="false">1+IF($G$6=$E$6,$F$6,IF(P169&lt;($F$6-$E$6)/($G$6-$E$6),$E$6+SQRT(P169*($G$6-$E$6)*($F$6-$E$6)),$G$6-SQRT((1-P169)*($G$6-$E$6)*($G$6-$F$6))))</f>
        <v>0.929227559909338</v>
      </c>
      <c r="C169" s="51" t="n">
        <f aca="false">1+IF($G$7=$E$7,$F$7,IF(Q169&lt;($F$7-$E$7)/($G$7-$E$7),$E$7+SQRT(Q169*($G$7-$E$7)*($F$7-$E$7)),$G$7-SQRT((1-Q169)*($G$7-$E$7)*($G$7-$F$7))))</f>
        <v>0.907344201725241</v>
      </c>
      <c r="D169" s="51" t="n">
        <f aca="false">1+IF($G$8=$E$8,$F$8,IF(R169&lt;($F$8-$E$8)/($G$8-$E$8),$E$8+SQRT(R169*($G$8-$E$8)*($F$8-$E$8)),$G$8-SQRT((1-R169)*($G$8-$E$8)*($G$8-$F$8))))</f>
        <v>1.00094417756199</v>
      </c>
      <c r="E169" s="51" t="n">
        <f aca="false">1+IF($G$9=$E$9,$F$9,IF(S169&lt;($F$9-$E$9)/($G$9-$E$9),$E$9+SQRT(S169*($G$9-$E$9)*($F$9-$E$9)),$G$9-SQRT((1-S169)*($G$9-$E$9)*($G$9-$F$9))))</f>
        <v>0.997418185244508</v>
      </c>
      <c r="F169" s="51" t="n">
        <f aca="false">1+IF($G$10=$E$10,$F$10,IF(T169&lt;($F$10-$E$10)/($G$10-$E$10),$E$10+SQRT(T169*($G$10-$E$10)*($F$10-$E$10)),$G$10-SQRT((1-T169)*($G$10-$E$10)*($G$10-$F$10))))</f>
        <v>0.996339653430087</v>
      </c>
      <c r="G169" s="52" t="n">
        <f aca="false">IF($G$11=$E$11,$F$11,IF(U169&lt;($F$11-$E$11)/($G$11-$E$11),$E$11+SQRT(U169*($G$11-$E$11)*($F$11-$E$11)),$G$11-SQRT((1-U169)*($G$11-$E$11)*($G$11-$F$11))))</f>
        <v>0.115727466388797</v>
      </c>
      <c r="H169" s="53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-1992679306.86017</v>
      </c>
      <c r="I169" s="53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-59517301.878749</v>
      </c>
      <c r="J169" s="53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166140047.254595</v>
      </c>
      <c r="K169" s="53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441614379.059443</v>
      </c>
      <c r="L169" s="53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545972041.922101</v>
      </c>
      <c r="M169" s="53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706234047.588922</v>
      </c>
      <c r="N169" s="53" t="n">
        <f aca="false">IF(COUNT('Business Case'!B11:G11)=0,"",H169+NPV(G169,I169:M169))</f>
        <v>-833815302.582585</v>
      </c>
      <c r="P169" s="54" t="n">
        <f aca="true">RAND()</f>
        <v>0.0569500172169299</v>
      </c>
      <c r="Q169" s="54" t="n">
        <f aca="true">RAND()</f>
        <v>0.318456429548722</v>
      </c>
      <c r="R169" s="54" t="n">
        <f aca="true">RAND()</f>
        <v>0.345862936075276</v>
      </c>
      <c r="S169" s="54" t="n">
        <f aca="true">RAND()</f>
        <v>0.379612112653332</v>
      </c>
      <c r="T169" s="54" t="n">
        <f aca="true">RAND()</f>
        <v>0.143157565334702</v>
      </c>
      <c r="U169" s="54" t="n">
        <f aca="true">RAND()</f>
        <v>0.864196522878053</v>
      </c>
    </row>
    <row r="170" customFormat="false" ht="15" hidden="false" customHeight="false" outlineLevel="0" collapsed="false">
      <c r="A170" s="50" t="n">
        <v>90</v>
      </c>
      <c r="B170" s="51" t="n">
        <f aca="false">1+IF($G$6=$E$6,$F$6,IF(P170&lt;($F$6-$E$6)/($G$6-$E$6),$E$6+SQRT(P170*($G$6-$E$6)*($F$6-$E$6)),$G$6-SQRT((1-P170)*($G$6-$E$6)*($G$6-$F$6))))</f>
        <v>0.924693038813394</v>
      </c>
      <c r="C170" s="51" t="n">
        <f aca="false">1+IF($G$7=$E$7,$F$7,IF(Q170&lt;($F$7-$E$7)/($G$7-$E$7),$E$7+SQRT(Q170*($G$7-$E$7)*($F$7-$E$7)),$G$7-SQRT((1-Q170)*($G$7-$E$7)*($G$7-$F$7))))</f>
        <v>0.745580149816371</v>
      </c>
      <c r="D170" s="51" t="n">
        <f aca="false">1+IF($G$8=$E$8,$F$8,IF(R170&lt;($F$8-$E$8)/($G$8-$E$8),$E$8+SQRT(R170*($G$8-$E$8)*($F$8-$E$8)),$G$8-SQRT((1-R170)*($G$8-$E$8)*($G$8-$F$8))))</f>
        <v>0.995247812525467</v>
      </c>
      <c r="E170" s="51" t="n">
        <f aca="false">1+IF($G$9=$E$9,$F$9,IF(S170&lt;($F$9-$E$9)/($G$9-$E$9),$E$9+SQRT(S170*($G$9-$E$9)*($F$9-$E$9)),$G$9-SQRT((1-S170)*($G$9-$E$9)*($G$9-$F$9))))</f>
        <v>0.911694500232853</v>
      </c>
      <c r="F170" s="51" t="n">
        <f aca="false">1+IF($G$10=$E$10,$F$10,IF(T170&lt;($F$10-$E$10)/($G$10-$E$10),$E$10+SQRT(T170*($G$10-$E$10)*($F$10-$E$10)),$G$10-SQRT((1-T170)*($G$10-$E$10)*($G$10-$F$10))))</f>
        <v>1.13854194798771</v>
      </c>
      <c r="G170" s="52" t="n">
        <f aca="false">IF($G$11=$E$11,$F$11,IF(U170&lt;($F$11-$E$11)/($G$11-$E$11),$E$11+SQRT(U170*($G$11-$E$11)*($F$11-$E$11)),$G$11-SQRT((1-U170)*($G$11-$E$11)*($G$11-$F$11))))</f>
        <v>0.114032921220362</v>
      </c>
      <c r="H170" s="53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-2277083895.97542</v>
      </c>
      <c r="I170" s="53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-94405854.1342488</v>
      </c>
      <c r="J170" s="53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90425639.4889365</v>
      </c>
      <c r="K170" s="53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332184230.511507</v>
      </c>
      <c r="L170" s="53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417621525.069604</v>
      </c>
      <c r="M170" s="53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548668906.829959</v>
      </c>
      <c r="N170" s="53" t="n">
        <f aca="false">IF(COUNT('Business Case'!B11:G11)=0,"",H170+NPV(G170,I170:M170))</f>
        <v>-1457807976.4889</v>
      </c>
      <c r="P170" s="54" t="n">
        <f aca="true">RAND()</f>
        <v>0.0406497443893186</v>
      </c>
      <c r="Q170" s="54" t="n">
        <f aca="true">RAND()</f>
        <v>0.0153892596835763</v>
      </c>
      <c r="R170" s="54" t="n">
        <f aca="true">RAND()</f>
        <v>0.272981938445308</v>
      </c>
      <c r="S170" s="54" t="n">
        <f aca="true">RAND()</f>
        <v>0.00547045342784811</v>
      </c>
      <c r="T170" s="54" t="n">
        <f aca="true">RAND()</f>
        <v>0.834361368555007</v>
      </c>
      <c r="U170" s="54" t="n">
        <f aca="true">RAND()</f>
        <v>0.830034930163219</v>
      </c>
    </row>
    <row r="171" customFormat="false" ht="15" hidden="false" customHeight="false" outlineLevel="0" collapsed="false">
      <c r="A171" s="50" t="n">
        <v>91</v>
      </c>
      <c r="B171" s="51" t="n">
        <f aca="false">1+IF($G$6=$E$6,$F$6,IF(P171&lt;($F$6-$E$6)/($G$6-$E$6),$E$6+SQRT(P171*($G$6-$E$6)*($F$6-$E$6)),$G$6-SQRT((1-P171)*($G$6-$E$6)*($G$6-$F$6))))</f>
        <v>1.01394029128583</v>
      </c>
      <c r="C171" s="51" t="n">
        <f aca="false">1+IF($G$7=$E$7,$F$7,IF(Q171&lt;($F$7-$E$7)/($G$7-$E$7),$E$7+SQRT(Q171*($G$7-$E$7)*($F$7-$E$7)),$G$7-SQRT((1-Q171)*($G$7-$E$7)*($G$7-$F$7))))</f>
        <v>1.01282851881708</v>
      </c>
      <c r="D171" s="51" t="n">
        <f aca="false">1+IF($G$8=$E$8,$F$8,IF(R171&lt;($F$8-$E$8)/($G$8-$E$8),$E$8+SQRT(R171*($G$8-$E$8)*($F$8-$E$8)),$G$8-SQRT((1-R171)*($G$8-$E$8)*($G$8-$F$8))))</f>
        <v>1.01879002964435</v>
      </c>
      <c r="E171" s="51" t="n">
        <f aca="false">1+IF($G$9=$E$9,$F$9,IF(S171&lt;($F$9-$E$9)/($G$9-$E$9),$E$9+SQRT(S171*($G$9-$E$9)*($F$9-$E$9)),$G$9-SQRT((1-S171)*($G$9-$E$9)*($G$9-$F$9))))</f>
        <v>1.10161980327607</v>
      </c>
      <c r="F171" s="51" t="n">
        <f aca="false">1+IF($G$10=$E$10,$F$10,IF(T171&lt;($F$10-$E$10)/($G$10-$E$10),$E$10+SQRT(T171*($G$10-$E$10)*($F$10-$E$10)),$G$10-SQRT((1-T171)*($G$10-$E$10)*($G$10-$F$10))))</f>
        <v>1.06430101066323</v>
      </c>
      <c r="G171" s="52" t="n">
        <f aca="false">IF($G$11=$E$11,$F$11,IF(U171&lt;($F$11-$E$11)/($G$11-$E$11),$E$11+SQRT(U171*($G$11-$E$11)*($F$11-$E$11)),$G$11-SQRT((1-U171)*($G$11-$E$11)*($G$11-$F$11))))</f>
        <v>0.106430247016983</v>
      </c>
      <c r="H171" s="53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-2128602021.32646</v>
      </c>
      <c r="I171" s="53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-3402907.50519918</v>
      </c>
      <c r="J171" s="53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309511587.915222</v>
      </c>
      <c r="K171" s="53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675641133.868804</v>
      </c>
      <c r="L171" s="53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815437276.231238</v>
      </c>
      <c r="M171" s="53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1010639484.28719</v>
      </c>
      <c r="N171" s="53" t="n">
        <f aca="false">IF(COUNT('Business Case'!B11:G11)=0,"",H171+NPV(G171,I171:M171))</f>
        <v>-226404400.104585</v>
      </c>
      <c r="P171" s="54" t="n">
        <f aca="true">RAND()</f>
        <v>0.826626320993184</v>
      </c>
      <c r="Q171" s="54" t="n">
        <f aca="true">RAND()</f>
        <v>0.721244218519767</v>
      </c>
      <c r="R171" s="54" t="n">
        <f aca="true">RAND()</f>
        <v>0.560329380988999</v>
      </c>
      <c r="S171" s="54" t="n">
        <f aca="true">RAND()</f>
        <v>0.937582841732091</v>
      </c>
      <c r="T171" s="54" t="n">
        <f aca="true">RAND()</f>
        <v>0.540211804790691</v>
      </c>
      <c r="U171" s="54" t="n">
        <f aca="true">RAND()</f>
        <v>0.629644496213046</v>
      </c>
    </row>
    <row r="172" customFormat="false" ht="15" hidden="false" customHeight="false" outlineLevel="0" collapsed="false">
      <c r="A172" s="50" t="n">
        <v>92</v>
      </c>
      <c r="B172" s="51" t="n">
        <f aca="false">1+IF($G$6=$E$6,$F$6,IF(P172&lt;($F$6-$E$6)/($G$6-$E$6),$E$6+SQRT(P172*($G$6-$E$6)*($F$6-$E$6)),$G$6-SQRT((1-P172)*($G$6-$E$6)*($G$6-$F$6))))</f>
        <v>0.918632423815266</v>
      </c>
      <c r="C172" s="51" t="n">
        <f aca="false">1+IF($G$7=$E$7,$F$7,IF(Q172&lt;($F$7-$E$7)/($G$7-$E$7),$E$7+SQRT(Q172*($G$7-$E$7)*($F$7-$E$7)),$G$7-SQRT((1-Q172)*($G$7-$E$7)*($G$7-$F$7))))</f>
        <v>0.852253105527226</v>
      </c>
      <c r="D172" s="51" t="n">
        <f aca="false">1+IF($G$8=$E$8,$F$8,IF(R172&lt;($F$8-$E$8)/($G$8-$E$8),$E$8+SQRT(R172*($G$8-$E$8)*($F$8-$E$8)),$G$8-SQRT((1-R172)*($G$8-$E$8)*($G$8-$F$8))))</f>
        <v>1.02985445622444</v>
      </c>
      <c r="E172" s="51" t="n">
        <f aca="false">1+IF($G$9=$E$9,$F$9,IF(S172&lt;($F$9-$E$9)/($G$9-$E$9),$E$9+SQRT(S172*($G$9-$E$9)*($F$9-$E$9)),$G$9-SQRT((1-S172)*($G$9-$E$9)*($G$9-$F$9))))</f>
        <v>1.00706428646354</v>
      </c>
      <c r="F172" s="51" t="n">
        <f aca="false">1+IF($G$10=$E$10,$F$10,IF(T172&lt;($F$10-$E$10)/($G$10-$E$10),$E$10+SQRT(T172*($G$10-$E$10)*($F$10-$E$10)),$G$10-SQRT((1-T172)*($G$10-$E$10)*($G$10-$F$10))))</f>
        <v>1.02649994839245</v>
      </c>
      <c r="G172" s="52" t="n">
        <f aca="false">IF($G$11=$E$11,$F$11,IF(U172&lt;($F$11-$E$11)/($G$11-$E$11),$E$11+SQRT(U172*($G$11-$E$11)*($F$11-$E$11)),$G$11-SQRT((1-U172)*($G$11-$E$11)*($G$11-$F$11))))</f>
        <v>0.112524570546896</v>
      </c>
      <c r="H172" s="53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-2052999896.78489</v>
      </c>
      <c r="I172" s="53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-94493448.5830686</v>
      </c>
      <c r="J172" s="53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97453555.508254</v>
      </c>
      <c r="K172" s="53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340725557.019199</v>
      </c>
      <c r="L172" s="53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431765169.249661</v>
      </c>
      <c r="M172" s="53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580580195.683111</v>
      </c>
      <c r="N172" s="53" t="n">
        <f aca="false">IF(COUNT('Business Case'!B11:G11)=0,"",H172+NPV(G172,I172:M172))</f>
        <v>-1189256862.15973</v>
      </c>
      <c r="P172" s="54" t="n">
        <f aca="true">RAND()</f>
        <v>0.023144481148779</v>
      </c>
      <c r="Q172" s="54" t="n">
        <f aca="true">RAND()</f>
        <v>0.171711171427293</v>
      </c>
      <c r="R172" s="54" t="n">
        <f aca="true">RAND()</f>
        <v>0.67197351256202</v>
      </c>
      <c r="S172" s="54" t="n">
        <f aca="true">RAND()</f>
        <v>0.455183514555253</v>
      </c>
      <c r="T172" s="54" t="n">
        <f aca="true">RAND()</f>
        <v>0.33396969241895</v>
      </c>
      <c r="U172" s="54" t="n">
        <f aca="true">RAND()</f>
        <v>0.796406243619716</v>
      </c>
    </row>
    <row r="173" customFormat="false" ht="15" hidden="false" customHeight="false" outlineLevel="0" collapsed="false">
      <c r="A173" s="50" t="n">
        <v>93</v>
      </c>
      <c r="B173" s="51" t="n">
        <f aca="false">1+IF($G$6=$E$6,$F$6,IF(P173&lt;($F$6-$E$6)/($G$6-$E$6),$E$6+SQRT(P173*($G$6-$E$6)*($F$6-$E$6)),$G$6-SQRT((1-P173)*($G$6-$E$6)*($G$6-$F$6))))</f>
        <v>1.00076692526685</v>
      </c>
      <c r="C173" s="51" t="n">
        <f aca="false">1+IF($G$7=$E$7,$F$7,IF(Q173&lt;($F$7-$E$7)/($G$7-$E$7),$E$7+SQRT(Q173*($G$7-$E$7)*($F$7-$E$7)),$G$7-SQRT((1-Q173)*($G$7-$E$7)*($G$7-$F$7))))</f>
        <v>0.939128417103619</v>
      </c>
      <c r="D173" s="51" t="n">
        <f aca="false">1+IF($G$8=$E$8,$F$8,IF(R173&lt;($F$8-$E$8)/($G$8-$E$8),$E$8+SQRT(R173*($G$8-$E$8)*($F$8-$E$8)),$G$8-SQRT((1-R173)*($G$8-$E$8)*($G$8-$F$8))))</f>
        <v>0.983909396893613</v>
      </c>
      <c r="E173" s="51" t="n">
        <f aca="false">1+IF($G$9=$E$9,$F$9,IF(S173&lt;($F$9-$E$9)/($G$9-$E$9),$E$9+SQRT(S173*($G$9-$E$9)*($F$9-$E$9)),$G$9-SQRT((1-S173)*($G$9-$E$9)*($G$9-$F$9))))</f>
        <v>1.05233452854749</v>
      </c>
      <c r="F173" s="51" t="n">
        <f aca="false">1+IF($G$10=$E$10,$F$10,IF(T173&lt;($F$10-$E$10)/($G$10-$E$10),$E$10+SQRT(T173*($G$10-$E$10)*($F$10-$E$10)),$G$10-SQRT((1-T173)*($G$10-$E$10)*($G$10-$F$10))))</f>
        <v>1.20722021512372</v>
      </c>
      <c r="G173" s="52" t="n">
        <f aca="false">IF($G$11=$E$11,$F$11,IF(U173&lt;($F$11-$E$11)/($G$11-$E$11),$E$11+SQRT(U173*($G$11-$E$11)*($F$11-$E$11)),$G$11-SQRT((1-U173)*($G$11-$E$11)*($G$11-$F$11))))</f>
        <v>0.117889653770943</v>
      </c>
      <c r="H173" s="53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-2414440430.24744</v>
      </c>
      <c r="I173" s="53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-22304948.7291878</v>
      </c>
      <c r="J173" s="53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274475848.46571</v>
      </c>
      <c r="K173" s="53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631617656.416793</v>
      </c>
      <c r="L173" s="53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763025758.449932</v>
      </c>
      <c r="M173" s="53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941672191.441553</v>
      </c>
      <c r="N173" s="53" t="n">
        <f aca="false">IF(COUNT('Business Case'!B11:G11)=0,"",H173+NPV(G173,I173:M173))</f>
        <v>-734650453.572792</v>
      </c>
      <c r="P173" s="54" t="n">
        <f aca="true">RAND()</f>
        <v>0.676813913642729</v>
      </c>
      <c r="Q173" s="54" t="n">
        <f aca="true">RAND()</f>
        <v>0.423573332344313</v>
      </c>
      <c r="R173" s="54" t="n">
        <f aca="true">RAND()</f>
        <v>0.153312959691812</v>
      </c>
      <c r="S173" s="54" t="n">
        <f aca="true">RAND()</f>
        <v>0.745638818292234</v>
      </c>
      <c r="T173" s="54" t="n">
        <f aca="true">RAND()</f>
        <v>0.975598533412521</v>
      </c>
      <c r="U173" s="54" t="n">
        <f aca="true">RAND()</f>
        <v>0.902226342808245</v>
      </c>
    </row>
    <row r="174" customFormat="false" ht="15" hidden="false" customHeight="false" outlineLevel="0" collapsed="false">
      <c r="A174" s="50" t="n">
        <v>94</v>
      </c>
      <c r="B174" s="51" t="n">
        <f aca="false">1+IF($G$6=$E$6,$F$6,IF(P174&lt;($F$6-$E$6)/($G$6-$E$6),$E$6+SQRT(P174*($G$6-$E$6)*($F$6-$E$6)),$G$6-SQRT((1-P174)*($G$6-$E$6)*($G$6-$F$6))))</f>
        <v>0.942899182590415</v>
      </c>
      <c r="C174" s="51" t="n">
        <f aca="false">1+IF($G$7=$E$7,$F$7,IF(Q174&lt;($F$7-$E$7)/($G$7-$E$7),$E$7+SQRT(Q174*($G$7-$E$7)*($F$7-$E$7)),$G$7-SQRT((1-Q174)*($G$7-$E$7)*($G$7-$F$7))))</f>
        <v>1.00157790488715</v>
      </c>
      <c r="D174" s="51" t="n">
        <f aca="false">1+IF($G$8=$E$8,$F$8,IF(R174&lt;($F$8-$E$8)/($G$8-$E$8),$E$8+SQRT(R174*($G$8-$E$8)*($F$8-$E$8)),$G$8-SQRT((1-R174)*($G$8-$E$8)*($G$8-$F$8))))</f>
        <v>0.971338967537283</v>
      </c>
      <c r="E174" s="51" t="n">
        <f aca="false">1+IF($G$9=$E$9,$F$9,IF(S174&lt;($F$9-$E$9)/($G$9-$E$9),$E$9+SQRT(S174*($G$9-$E$9)*($F$9-$E$9)),$G$9-SQRT((1-S174)*($G$9-$E$9)*($G$9-$F$9))))</f>
        <v>1.00591947999724</v>
      </c>
      <c r="F174" s="51" t="n">
        <f aca="false">1+IF($G$10=$E$10,$F$10,IF(T174&lt;($F$10-$E$10)/($G$10-$E$10),$E$10+SQRT(T174*($G$10-$E$10)*($F$10-$E$10)),$G$10-SQRT((1-T174)*($G$10-$E$10)*($G$10-$F$10))))</f>
        <v>1.08086046405736</v>
      </c>
      <c r="G174" s="52" t="n">
        <f aca="false">IF($G$11=$E$11,$F$11,IF(U174&lt;($F$11-$E$11)/($G$11-$E$11),$E$11+SQRT(U174*($G$11-$E$11)*($F$11-$E$11)),$G$11-SQRT((1-U174)*($G$11-$E$11)*($G$11-$F$11))))</f>
        <v>0.0952204383401228</v>
      </c>
      <c r="H174" s="53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-2161720928.11473</v>
      </c>
      <c r="I174" s="53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-24596333.0884874</v>
      </c>
      <c r="J174" s="53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250892151.732891</v>
      </c>
      <c r="K174" s="53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580423659.757137</v>
      </c>
      <c r="L174" s="53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704891168.996611</v>
      </c>
      <c r="M174" s="53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884400247.641192</v>
      </c>
      <c r="N174" s="53" t="n">
        <f aca="false">IF(COUNT('Business Case'!B11:G11)=0,"",H174+NPV(G174,I174:M174))</f>
        <v>-482061279.871069</v>
      </c>
      <c r="P174" s="54" t="n">
        <f aca="true">RAND()</f>
        <v>0.122689324461719</v>
      </c>
      <c r="Q174" s="54" t="n">
        <f aca="true">RAND()</f>
        <v>0.673642691589802</v>
      </c>
      <c r="R174" s="54" t="n">
        <f aca="true">RAND()</f>
        <v>0.0607135380742972</v>
      </c>
      <c r="S174" s="54" t="n">
        <f aca="true">RAND()</f>
        <v>0.446421433486229</v>
      </c>
      <c r="T174" s="54" t="n">
        <f aca="true">RAND()</f>
        <v>0.618557565081462</v>
      </c>
      <c r="U174" s="54" t="n">
        <f aca="true">RAND()</f>
        <v>0.231661743265481</v>
      </c>
    </row>
    <row r="175" customFormat="false" ht="15" hidden="false" customHeight="false" outlineLevel="0" collapsed="false">
      <c r="A175" s="50" t="n">
        <v>95</v>
      </c>
      <c r="B175" s="51" t="n">
        <f aca="false">1+IF($G$6=$E$6,$F$6,IF(P175&lt;($F$6-$E$6)/($G$6-$E$6),$E$6+SQRT(P175*($G$6-$E$6)*($F$6-$E$6)),$G$6-SQRT((1-P175)*($G$6-$E$6)*($G$6-$F$6))))</f>
        <v>0.970022490475765</v>
      </c>
      <c r="C175" s="51" t="n">
        <f aca="false">1+IF($G$7=$E$7,$F$7,IF(Q175&lt;($F$7-$E$7)/($G$7-$E$7),$E$7+SQRT(Q175*($G$7-$E$7)*($F$7-$E$7)),$G$7-SQRT((1-Q175)*($G$7-$E$7)*($G$7-$F$7))))</f>
        <v>0.794641417545803</v>
      </c>
      <c r="D175" s="51" t="n">
        <f aca="false">1+IF($G$8=$E$8,$F$8,IF(R175&lt;($F$8-$E$8)/($G$8-$E$8),$E$8+SQRT(R175*($G$8-$E$8)*($F$8-$E$8)),$G$8-SQRT((1-R175)*($G$8-$E$8)*($G$8-$F$8))))</f>
        <v>1.07888408371565</v>
      </c>
      <c r="E175" s="51" t="n">
        <f aca="false">1+IF($G$9=$E$9,$F$9,IF(S175&lt;($F$9-$E$9)/($G$9-$E$9),$E$9+SQRT(S175*($G$9-$E$9)*($F$9-$E$9)),$G$9-SQRT((1-S175)*($G$9-$E$9)*($G$9-$F$9))))</f>
        <v>0.969134515021857</v>
      </c>
      <c r="F175" s="51" t="n">
        <f aca="false">1+IF($G$10=$E$10,$F$10,IF(T175&lt;($F$10-$E$10)/($G$10-$E$10),$E$10+SQRT(T175*($G$10-$E$10)*($F$10-$E$10)),$G$10-SQRT((1-T175)*($G$10-$E$10)*($G$10-$F$10))))</f>
        <v>1.01167524311848</v>
      </c>
      <c r="G175" s="52" t="n">
        <f aca="false">IF($G$11=$E$11,$F$11,IF(U175&lt;($F$11-$E$11)/($G$11-$E$11),$E$11+SQRT(U175*($G$11-$E$11)*($F$11-$E$11)),$G$11-SQRT((1-U175)*($G$11-$E$11)*($G$11-$F$11))))</f>
        <v>0.0991799996184494</v>
      </c>
      <c r="H175" s="53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-2023350486.23697</v>
      </c>
      <c r="I175" s="53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-86462960.6171488</v>
      </c>
      <c r="J175" s="53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106011842.344072</v>
      </c>
      <c r="K175" s="53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349070407.461217</v>
      </c>
      <c r="L175" s="53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439868215.935233</v>
      </c>
      <c r="M175" s="53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586385690.446749</v>
      </c>
      <c r="N175" s="53" t="n">
        <f aca="false">IF(COUNT('Business Case'!B11:G11)=0,"",H175+NPV(G175,I175:M175))</f>
        <v>-1084625856.68293</v>
      </c>
      <c r="P175" s="54" t="n">
        <f aca="true">RAND()</f>
        <v>0.326876611495242</v>
      </c>
      <c r="Q175" s="54" t="n">
        <f aca="true">RAND()</f>
        <v>0.0663481327042893</v>
      </c>
      <c r="R175" s="54" t="n">
        <f aca="true">RAND()</f>
        <v>0.970274538631486</v>
      </c>
      <c r="S175" s="54" t="n">
        <f aca="true">RAND()</f>
        <v>0.191183246692297</v>
      </c>
      <c r="T175" s="54" t="n">
        <f aca="true">RAND()</f>
        <v>0.242684136764879</v>
      </c>
      <c r="U175" s="54" t="n">
        <f aca="true">RAND()</f>
        <v>0.367872385363718</v>
      </c>
    </row>
    <row r="176" customFormat="false" ht="15" hidden="false" customHeight="false" outlineLevel="0" collapsed="false">
      <c r="A176" s="50" t="n">
        <v>96</v>
      </c>
      <c r="B176" s="51" t="n">
        <f aca="false">1+IF($G$6=$E$6,$F$6,IF(P176&lt;($F$6-$E$6)/($G$6-$E$6),$E$6+SQRT(P176*($G$6-$E$6)*($F$6-$E$6)),$G$6-SQRT((1-P176)*($G$6-$E$6)*($G$6-$F$6))))</f>
        <v>1.01171668650429</v>
      </c>
      <c r="C176" s="51" t="n">
        <f aca="false">1+IF($G$7=$E$7,$F$7,IF(Q176&lt;($F$7-$E$7)/($G$7-$E$7),$E$7+SQRT(Q176*($G$7-$E$7)*($F$7-$E$7)),$G$7-SQRT((1-Q176)*($G$7-$E$7)*($G$7-$F$7))))</f>
        <v>1.00756746509175</v>
      </c>
      <c r="D176" s="51" t="n">
        <f aca="false">1+IF($G$8=$E$8,$F$8,IF(R176&lt;($F$8-$E$8)/($G$8-$E$8),$E$8+SQRT(R176*($G$8-$E$8)*($F$8-$E$8)),$G$8-SQRT((1-R176)*($G$8-$E$8)*($G$8-$F$8))))</f>
        <v>1.0139097234396</v>
      </c>
      <c r="E176" s="51" t="n">
        <f aca="false">1+IF($G$9=$E$9,$F$9,IF(S176&lt;($F$9-$E$9)/($G$9-$E$9),$E$9+SQRT(S176*($G$9-$E$9)*($F$9-$E$9)),$G$9-SQRT((1-S176)*($G$9-$E$9)*($G$9-$F$9))))</f>
        <v>0.966519484565172</v>
      </c>
      <c r="F176" s="51" t="n">
        <f aca="false">1+IF($G$10=$E$10,$F$10,IF(T176&lt;($F$10-$E$10)/($G$10-$E$10),$E$10+SQRT(T176*($G$10-$E$10)*($F$10-$E$10)),$G$10-SQRT((1-T176)*($G$10-$E$10)*($G$10-$F$10))))</f>
        <v>1.05306658562534</v>
      </c>
      <c r="G176" s="52" t="n">
        <f aca="false">IF($G$11=$E$11,$F$11,IF(U176&lt;($F$11-$E$11)/($G$11-$E$11),$E$11+SQRT(U176*($G$11-$E$11)*($F$11-$E$11)),$G$11-SQRT((1-U176)*($G$11-$E$11)*($G$11-$F$11))))</f>
        <v>0.0939235710818261</v>
      </c>
      <c r="H176" s="53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-2106133171.25069</v>
      </c>
      <c r="I176" s="53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16381228.2861106</v>
      </c>
      <c r="J176" s="53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328352472.684201</v>
      </c>
      <c r="K176" s="53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692977046.363558</v>
      </c>
      <c r="L176" s="53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832196985.725773</v>
      </c>
      <c r="M176" s="53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1025959370.82146</v>
      </c>
      <c r="N176" s="53" t="n">
        <f aca="false">IF(COUNT('Business Case'!B11:G11)=0,"",H176+NPV(G176,I176:M176))</f>
        <v>-51334229.9296145</v>
      </c>
      <c r="P176" s="54" t="n">
        <f aca="true">RAND()</f>
        <v>0.804585054371889</v>
      </c>
      <c r="Q176" s="54" t="n">
        <f aca="true">RAND()</f>
        <v>0.699451451846056</v>
      </c>
      <c r="R176" s="54" t="n">
        <f aca="true">RAND()</f>
        <v>0.505897618783537</v>
      </c>
      <c r="S176" s="54" t="n">
        <f aca="true">RAND()</f>
        <v>0.176993673072647</v>
      </c>
      <c r="T176" s="54" t="n">
        <f aca="true">RAND()</f>
        <v>0.482896404036529</v>
      </c>
      <c r="U176" s="54" t="n">
        <f aca="true">RAND()</f>
        <v>0.193865831670665</v>
      </c>
    </row>
    <row r="177" customFormat="false" ht="15" hidden="false" customHeight="false" outlineLevel="0" collapsed="false">
      <c r="A177" s="50" t="n">
        <v>97</v>
      </c>
      <c r="B177" s="51" t="n">
        <f aca="false">1+IF($G$6=$E$6,$F$6,IF(P177&lt;($F$6-$E$6)/($G$6-$E$6),$E$6+SQRT(P177*($G$6-$E$6)*($F$6-$E$6)),$G$6-SQRT((1-P177)*($G$6-$E$6)*($G$6-$F$6))))</f>
        <v>0.990431965411637</v>
      </c>
      <c r="C177" s="51" t="n">
        <f aca="false">1+IF($G$7=$E$7,$F$7,IF(Q177&lt;($F$7-$E$7)/($G$7-$E$7),$E$7+SQRT(Q177*($G$7-$E$7)*($F$7-$E$7)),$G$7-SQRT((1-Q177)*($G$7-$E$7)*($G$7-$F$7))))</f>
        <v>0.951743422136969</v>
      </c>
      <c r="D177" s="51" t="n">
        <f aca="false">1+IF($G$8=$E$8,$F$8,IF(R177&lt;($F$8-$E$8)/($G$8-$E$8),$E$8+SQRT(R177*($G$8-$E$8)*($F$8-$E$8)),$G$8-SQRT((1-R177)*($G$8-$E$8)*($G$8-$F$8))))</f>
        <v>1.01394077850141</v>
      </c>
      <c r="E177" s="51" t="n">
        <f aca="false">1+IF($G$9=$E$9,$F$9,IF(S177&lt;($F$9-$E$9)/($G$9-$E$9),$E$9+SQRT(S177*($G$9-$E$9)*($F$9-$E$9)),$G$9-SQRT((1-S177)*($G$9-$E$9)*($G$9-$F$9))))</f>
        <v>1.0724330329299</v>
      </c>
      <c r="F177" s="51" t="n">
        <f aca="false">1+IF($G$10=$E$10,$F$10,IF(T177&lt;($F$10-$E$10)/($G$10-$E$10),$E$10+SQRT(T177*($G$10-$E$10)*($F$10-$E$10)),$G$10-SQRT((1-T177)*($G$10-$E$10)*($G$10-$F$10))))</f>
        <v>1.16530717152775</v>
      </c>
      <c r="G177" s="52" t="n">
        <f aca="false">IF($G$11=$E$11,$F$11,IF(U177&lt;($F$11-$E$11)/($G$11-$E$11),$E$11+SQRT(U177*($G$11-$E$11)*($F$11-$E$11)),$G$11-SQRT((1-U177)*($G$11-$E$11)*($G$11-$F$11))))</f>
        <v>0.0821929635169105</v>
      </c>
      <c r="H177" s="53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-2330614343.05551</v>
      </c>
      <c r="I177" s="53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-39818010.5384198</v>
      </c>
      <c r="J177" s="53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238260981.045308</v>
      </c>
      <c r="K177" s="53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574605331.205424</v>
      </c>
      <c r="L177" s="53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699875866.857827</v>
      </c>
      <c r="M177" s="53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879052328.375875</v>
      </c>
      <c r="N177" s="53" t="n">
        <f aca="false">IF(COUNT('Business Case'!B11:G11)=0,"",H177+NPV(G177,I177:M177))</f>
        <v>-608088304.58857</v>
      </c>
      <c r="P177" s="54" t="n">
        <f aca="true">RAND()</f>
        <v>0.545196024547433</v>
      </c>
      <c r="Q177" s="54" t="n">
        <f aca="true">RAND()</f>
        <v>0.469442596957277</v>
      </c>
      <c r="R177" s="54" t="n">
        <f aca="true">RAND()</f>
        <v>0.506254026337154</v>
      </c>
      <c r="S177" s="54" t="n">
        <f aca="true">RAND()</f>
        <v>0.839556416521241</v>
      </c>
      <c r="T177" s="54" t="n">
        <f aca="true">RAND()</f>
        <v>0.904361664071606</v>
      </c>
      <c r="U177" s="54" t="n">
        <f aca="true">RAND()</f>
        <v>0.0048090889865004</v>
      </c>
    </row>
    <row r="178" customFormat="false" ht="15" hidden="false" customHeight="false" outlineLevel="0" collapsed="false">
      <c r="A178" s="50" t="n">
        <v>98</v>
      </c>
      <c r="B178" s="51" t="n">
        <f aca="false">1+IF($G$6=$E$6,$F$6,IF(P178&lt;($F$6-$E$6)/($G$6-$E$6),$E$6+SQRT(P178*($G$6-$E$6)*($F$6-$E$6)),$G$6-SQRT((1-P178)*($G$6-$E$6)*($G$6-$F$6))))</f>
        <v>1.00849407590282</v>
      </c>
      <c r="C178" s="51" t="n">
        <f aca="false">1+IF($G$7=$E$7,$F$7,IF(Q178&lt;($F$7-$E$7)/($G$7-$E$7),$E$7+SQRT(Q178*($G$7-$E$7)*($F$7-$E$7)),$G$7-SQRT((1-Q178)*($G$7-$E$7)*($G$7-$F$7))))</f>
        <v>0.967757274382877</v>
      </c>
      <c r="D178" s="51" t="n">
        <f aca="false">1+IF($G$8=$E$8,$F$8,IF(R178&lt;($F$8-$E$8)/($G$8-$E$8),$E$8+SQRT(R178*($G$8-$E$8)*($F$8-$E$8)),$G$8-SQRT((1-R178)*($G$8-$E$8)*($G$8-$F$8))))</f>
        <v>0.972609715288693</v>
      </c>
      <c r="E178" s="51" t="n">
        <f aca="false">1+IF($G$9=$E$9,$F$9,IF(S178&lt;($F$9-$E$9)/($G$9-$E$9),$E$9+SQRT(S178*($G$9-$E$9)*($F$9-$E$9)),$G$9-SQRT((1-S178)*($G$9-$E$9)*($G$9-$F$9))))</f>
        <v>0.974357985615331</v>
      </c>
      <c r="F178" s="51" t="n">
        <f aca="false">1+IF($G$10=$E$10,$F$10,IF(T178&lt;($F$10-$E$10)/($G$10-$E$10),$E$10+SQRT(T178*($G$10-$E$10)*($F$10-$E$10)),$G$10-SQRT((1-T178)*($G$10-$E$10)*($G$10-$F$10))))</f>
        <v>1.08767212842941</v>
      </c>
      <c r="G178" s="52" t="n">
        <f aca="false">IF($G$11=$E$11,$F$11,IF(U178&lt;($F$11-$E$11)/($G$11-$E$11),$E$11+SQRT(U178*($G$11-$E$11)*($F$11-$E$11)),$G$11-SQRT((1-U178)*($G$11-$E$11)*($G$11-$F$11))))</f>
        <v>0.106804069506892</v>
      </c>
      <c r="H178" s="53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-2175344256.85882</v>
      </c>
      <c r="I178" s="53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19635469.032736</v>
      </c>
      <c r="J178" s="53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337186528.929016</v>
      </c>
      <c r="K178" s="53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709121195.246767</v>
      </c>
      <c r="L178" s="53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848701330.189596</v>
      </c>
      <c r="M178" s="53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1034215129.23197</v>
      </c>
      <c r="N178" s="53" t="n">
        <f aca="false">IF(COUNT('Business Case'!B11:G11)=0,"",H178+NPV(G178,I178:M178))</f>
        <v>-171124792.377498</v>
      </c>
      <c r="P178" s="54" t="n">
        <f aca="true">RAND()</f>
        <v>0.770301101978547</v>
      </c>
      <c r="Q178" s="54" t="n">
        <f aca="true">RAND()</f>
        <v>0.531066355444053</v>
      </c>
      <c r="R178" s="54" t="n">
        <f aca="true">RAND()</f>
        <v>0.0681598967247699</v>
      </c>
      <c r="S178" s="54" t="n">
        <f aca="true">RAND()</f>
        <v>0.221164400990792</v>
      </c>
      <c r="T178" s="54" t="n">
        <f aca="true">RAND()</f>
        <v>0.648662161484818</v>
      </c>
      <c r="U178" s="54" t="n">
        <f aca="true">RAND()</f>
        <v>0.641299205705924</v>
      </c>
    </row>
    <row r="179" customFormat="false" ht="15" hidden="false" customHeight="false" outlineLevel="0" collapsed="false">
      <c r="A179" s="50" t="n">
        <v>99</v>
      </c>
      <c r="B179" s="51" t="n">
        <f aca="false">1+IF($G$6=$E$6,$F$6,IF(P179&lt;($F$6-$E$6)/($G$6-$E$6),$E$6+SQRT(P179*($G$6-$E$6)*($F$6-$E$6)),$G$6-SQRT((1-P179)*($G$6-$E$6)*($G$6-$F$6))))</f>
        <v>1.02983476302861</v>
      </c>
      <c r="C179" s="51" t="n">
        <f aca="false">1+IF($G$7=$E$7,$F$7,IF(Q179&lt;($F$7-$E$7)/($G$7-$E$7),$E$7+SQRT(Q179*($G$7-$E$7)*($F$7-$E$7)),$G$7-SQRT((1-Q179)*($G$7-$E$7)*($G$7-$F$7))))</f>
        <v>0.95043225092548</v>
      </c>
      <c r="D179" s="51" t="n">
        <f aca="false">1+IF($G$8=$E$8,$F$8,IF(R179&lt;($F$8-$E$8)/($G$8-$E$8),$E$8+SQRT(R179*($G$8-$E$8)*($F$8-$E$8)),$G$8-SQRT((1-R179)*($G$8-$E$8)*($G$8-$F$8))))</f>
        <v>1.02694871863143</v>
      </c>
      <c r="E179" s="51" t="n">
        <f aca="false">1+IF($G$9=$E$9,$F$9,IF(S179&lt;($F$9-$E$9)/($G$9-$E$9),$E$9+SQRT(S179*($G$9-$E$9)*($F$9-$E$9)),$G$9-SQRT((1-S179)*($G$9-$E$9)*($G$9-$F$9))))</f>
        <v>0.966220718243158</v>
      </c>
      <c r="F179" s="51" t="n">
        <f aca="false">1+IF($G$10=$E$10,$F$10,IF(T179&lt;($F$10-$E$10)/($G$10-$E$10),$E$10+SQRT(T179*($G$10-$E$10)*($F$10-$E$10)),$G$10-SQRT((1-T179)*($G$10-$E$10)*($G$10-$F$10))))</f>
        <v>0.979651099959367</v>
      </c>
      <c r="G179" s="52" t="n">
        <f aca="false">IF($G$11=$E$11,$F$11,IF(U179&lt;($F$11-$E$11)/($G$11-$E$11),$E$11+SQRT(U179*($G$11-$E$11)*($F$11-$E$11)),$G$11-SQRT((1-U179)*($G$11-$E$11)*($G$11-$F$11))))</f>
        <v>0.109680086668104</v>
      </c>
      <c r="H179" s="53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-1959302199.91873</v>
      </c>
      <c r="I179" s="53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15938860.8889392</v>
      </c>
      <c r="J179" s="53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317979796.73963</v>
      </c>
      <c r="K179" s="53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669003287.588288</v>
      </c>
      <c r="L179" s="53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803510518.75961</v>
      </c>
      <c r="M179" s="53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989558574.475614</v>
      </c>
      <c r="N179" s="53" t="n">
        <f aca="false">IF(COUNT('Business Case'!B11:G11)=0,"",H179+NPV(G179,I179:M179))</f>
        <v>-79107981.5378935</v>
      </c>
      <c r="P179" s="54" t="n">
        <f aca="true">RAND()</f>
        <v>0.945781762385011</v>
      </c>
      <c r="Q179" s="54" t="n">
        <f aca="true">RAND()</f>
        <v>0.464565276322982</v>
      </c>
      <c r="R179" s="54" t="n">
        <f aca="true">RAND()</f>
        <v>0.644234019360675</v>
      </c>
      <c r="S179" s="54" t="n">
        <f aca="true">RAND()</f>
        <v>0.175407340985587</v>
      </c>
      <c r="T179" s="54" t="n">
        <f aca="true">RAND()</f>
        <v>0.0586125152533561</v>
      </c>
      <c r="U179" s="54" t="n">
        <f aca="true">RAND()</f>
        <v>0.724734081456155</v>
      </c>
    </row>
    <row r="180" customFormat="false" ht="15" hidden="false" customHeight="false" outlineLevel="0" collapsed="false">
      <c r="A180" s="50" t="n">
        <v>100</v>
      </c>
      <c r="B180" s="51" t="n">
        <f aca="false">1+IF($G$6=$E$6,$F$6,IF(P180&lt;($F$6-$E$6)/($G$6-$E$6),$E$6+SQRT(P180*($G$6-$E$6)*($F$6-$E$6)),$G$6-SQRT((1-P180)*($G$6-$E$6)*($G$6-$F$6))))</f>
        <v>0.992904325874348</v>
      </c>
      <c r="C180" s="51" t="n">
        <f aca="false">1+IF($G$7=$E$7,$F$7,IF(Q180&lt;($F$7-$E$7)/($G$7-$E$7),$E$7+SQRT(Q180*($G$7-$E$7)*($F$7-$E$7)),$G$7-SQRT((1-Q180)*($G$7-$E$7)*($G$7-$F$7))))</f>
        <v>1.12008432248526</v>
      </c>
      <c r="D180" s="51" t="n">
        <f aca="false">1+IF($G$8=$E$8,$F$8,IF(R180&lt;($F$8-$E$8)/($G$8-$E$8),$E$8+SQRT(R180*($G$8-$E$8)*($F$8-$E$8)),$G$8-SQRT((1-R180)*($G$8-$E$8)*($G$8-$F$8))))</f>
        <v>1.06605917024996</v>
      </c>
      <c r="E180" s="51" t="n">
        <f aca="false">1+IF($G$9=$E$9,$F$9,IF(S180&lt;($F$9-$E$9)/($G$9-$E$9),$E$9+SQRT(S180*($G$9-$E$9)*($F$9-$E$9)),$G$9-SQRT((1-S180)*($G$9-$E$9)*($G$9-$F$9))))</f>
        <v>1.00626585047986</v>
      </c>
      <c r="F180" s="51" t="n">
        <f aca="false">1+IF($G$10=$E$10,$F$10,IF(T180&lt;($F$10-$E$10)/($G$10-$E$10),$E$10+SQRT(T180*($G$10-$E$10)*($F$10-$E$10)),$G$10-SQRT((1-T180)*($G$10-$E$10)*($G$10-$F$10))))</f>
        <v>1.04126295953997</v>
      </c>
      <c r="G180" s="52" t="n">
        <f aca="false">IF($G$11=$E$11,$F$11,IF(U180&lt;($F$11-$E$11)/($G$11-$E$11),$E$11+SQRT(U180*($G$11-$E$11)*($F$11-$E$11)),$G$11-SQRT((1-U180)*($G$11-$E$11)*($G$11-$F$11))))</f>
        <v>0.099106716842119</v>
      </c>
      <c r="H180" s="53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-2082525919.07995</v>
      </c>
      <c r="I180" s="53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-5222005.2655796</v>
      </c>
      <c r="J180" s="53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294426449.105273</v>
      </c>
      <c r="K180" s="53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646138051.453125</v>
      </c>
      <c r="L180" s="53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784456309.406209</v>
      </c>
      <c r="M180" s="53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995851228.468273</v>
      </c>
      <c r="N180" s="53" t="n">
        <f aca="false">IF(COUNT('Business Case'!B11:G11)=0,"",H180+NPV(G180,I180:M180))</f>
        <v>-198515768.094339</v>
      </c>
      <c r="P180" s="54" t="n">
        <f aca="true">RAND()</f>
        <v>0.575414251077803</v>
      </c>
      <c r="Q180" s="54" t="n">
        <f aca="true">RAND()</f>
        <v>0.986741514649391</v>
      </c>
      <c r="R180" s="54" t="n">
        <f aca="true">RAND()</f>
        <v>0.923201338391913</v>
      </c>
      <c r="S180" s="54" t="n">
        <f aca="true">RAND()</f>
        <v>0.449079846979229</v>
      </c>
      <c r="T180" s="54" t="n">
        <f aca="true">RAND()</f>
        <v>0.419051305866523</v>
      </c>
      <c r="U180" s="54" t="n">
        <f aca="true">RAND()</f>
        <v>0.365066628484915</v>
      </c>
    </row>
    <row r="181" customFormat="false" ht="15" hidden="false" customHeight="false" outlineLevel="0" collapsed="false">
      <c r="A181" s="50" t="n">
        <v>101</v>
      </c>
      <c r="B181" s="51" t="n">
        <f aca="false">1+IF($G$6=$E$6,$F$6,IF(P181&lt;($F$6-$E$6)/($G$6-$E$6),$E$6+SQRT(P181*($G$6-$E$6)*($F$6-$E$6)),$G$6-SQRT((1-P181)*($G$6-$E$6)*($G$6-$F$6))))</f>
        <v>0.945717852026252</v>
      </c>
      <c r="C181" s="51" t="n">
        <f aca="false">1+IF($G$7=$E$7,$F$7,IF(Q181&lt;($F$7-$E$7)/($G$7-$E$7),$E$7+SQRT(Q181*($G$7-$E$7)*($F$7-$E$7)),$G$7-SQRT((1-Q181)*($G$7-$E$7)*($G$7-$F$7))))</f>
        <v>1.00191183005289</v>
      </c>
      <c r="D181" s="51" t="n">
        <f aca="false">1+IF($G$8=$E$8,$F$8,IF(R181&lt;($F$8-$E$8)/($G$8-$E$8),$E$8+SQRT(R181*($G$8-$E$8)*($F$8-$E$8)),$G$8-SQRT((1-R181)*($G$8-$E$8)*($G$8-$F$8))))</f>
        <v>1.03631584536611</v>
      </c>
      <c r="E181" s="51" t="n">
        <f aca="false">1+IF($G$9=$E$9,$F$9,IF(S181&lt;($F$9-$E$9)/($G$9-$E$9),$E$9+SQRT(S181*($G$9-$E$9)*($F$9-$E$9)),$G$9-SQRT((1-S181)*($G$9-$E$9)*($G$9-$F$9))))</f>
        <v>1.05140223471639</v>
      </c>
      <c r="F181" s="51" t="n">
        <f aca="false">1+IF($G$10=$E$10,$F$10,IF(T181&lt;($F$10-$E$10)/($G$10-$E$10),$E$10+SQRT(T181*($G$10-$E$10)*($F$10-$E$10)),$G$10-SQRT((1-T181)*($G$10-$E$10)*($G$10-$F$10))))</f>
        <v>1.18564265693346</v>
      </c>
      <c r="G181" s="52" t="n">
        <f aca="false">IF($G$11=$E$11,$F$11,IF(U181&lt;($F$11-$E$11)/($G$11-$E$11),$E$11+SQRT(U181*($G$11-$E$11)*($F$11-$E$11)),$G$11-SQRT((1-U181)*($G$11-$E$11)*($G$11-$F$11))))</f>
        <v>0.100487194944741</v>
      </c>
      <c r="H181" s="53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-2371285313.86693</v>
      </c>
      <c r="I181" s="53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-72626523.2822051</v>
      </c>
      <c r="J181" s="53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171940359.760532</v>
      </c>
      <c r="K181" s="53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475789375.649943</v>
      </c>
      <c r="L181" s="53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590058165.23414</v>
      </c>
      <c r="M181" s="53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770163889.035536</v>
      </c>
      <c r="N181" s="53" t="n">
        <f aca="false">IF(COUNT('Business Case'!B11:G11)=0,"",H181+NPV(G181,I181:M181))</f>
        <v>-1058855426.56075</v>
      </c>
      <c r="P181" s="54" t="n">
        <f aca="true">RAND()</f>
        <v>0.139341466259618</v>
      </c>
      <c r="Q181" s="54" t="n">
        <f aca="true">RAND()</f>
        <v>0.675109539580974</v>
      </c>
      <c r="R181" s="54" t="n">
        <f aca="true">RAND()</f>
        <v>0.729621896571135</v>
      </c>
      <c r="S181" s="54" t="n">
        <f aca="true">RAND()</f>
        <v>0.740759484828735</v>
      </c>
      <c r="T181" s="54" t="n">
        <f aca="true">RAND()</f>
        <v>0.94477509857888</v>
      </c>
      <c r="U181" s="54" t="n">
        <f aca="true">RAND()</f>
        <v>0.419329558513515</v>
      </c>
    </row>
    <row r="182" customFormat="false" ht="15" hidden="false" customHeight="false" outlineLevel="0" collapsed="false">
      <c r="A182" s="50" t="n">
        <v>102</v>
      </c>
      <c r="B182" s="51" t="n">
        <f aca="false">1+IF($G$6=$E$6,$F$6,IF(P182&lt;($F$6-$E$6)/($G$6-$E$6),$E$6+SQRT(P182*($G$6-$E$6)*($F$6-$E$6)),$G$6-SQRT((1-P182)*($G$6-$E$6)*($G$6-$F$6))))</f>
        <v>1.00212394485552</v>
      </c>
      <c r="C182" s="51" t="n">
        <f aca="false">1+IF($G$7=$E$7,$F$7,IF(Q182&lt;($F$7-$E$7)/($G$7-$E$7),$E$7+SQRT(Q182*($G$7-$E$7)*($F$7-$E$7)),$G$7-SQRT((1-Q182)*($G$7-$E$7)*($G$7-$F$7))))</f>
        <v>0.78926068836898</v>
      </c>
      <c r="D182" s="51" t="n">
        <f aca="false">1+IF($G$8=$E$8,$F$8,IF(R182&lt;($F$8-$E$8)/($G$8-$E$8),$E$8+SQRT(R182*($G$8-$E$8)*($F$8-$E$8)),$G$8-SQRT((1-R182)*($G$8-$E$8)*($G$8-$F$8))))</f>
        <v>1.04124938106814</v>
      </c>
      <c r="E182" s="51" t="n">
        <f aca="false">1+IF($G$9=$E$9,$F$9,IF(S182&lt;($F$9-$E$9)/($G$9-$E$9),$E$9+SQRT(S182*($G$9-$E$9)*($F$9-$E$9)),$G$9-SQRT((1-S182)*($G$9-$E$9)*($G$9-$F$9))))</f>
        <v>1.05987492580865</v>
      </c>
      <c r="F182" s="51" t="n">
        <f aca="false">1+IF($G$10=$E$10,$F$10,IF(T182&lt;($F$10-$E$10)/($G$10-$E$10),$E$10+SQRT(T182*($G$10-$E$10)*($F$10-$E$10)),$G$10-SQRT((1-T182)*($G$10-$E$10)*($G$10-$F$10))))</f>
        <v>1.07190449053029</v>
      </c>
      <c r="G182" s="52" t="n">
        <f aca="false">IF($G$11=$E$11,$F$11,IF(U182&lt;($F$11-$E$11)/($G$11-$E$11),$E$11+SQRT(U182*($G$11-$E$11)*($F$11-$E$11)),$G$11-SQRT((1-U182)*($G$11-$E$11)*($G$11-$F$11))))</f>
        <v>0.106736332207452</v>
      </c>
      <c r="H182" s="53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-2143808981.06058</v>
      </c>
      <c r="I182" s="53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-71777123.308647</v>
      </c>
      <c r="J182" s="53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155352592.756677</v>
      </c>
      <c r="K182" s="53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436077533.348517</v>
      </c>
      <c r="L182" s="53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539122222.617594</v>
      </c>
      <c r="M182" s="53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689463534.144421</v>
      </c>
      <c r="N182" s="53" t="n">
        <f aca="false">IF(COUNT('Business Case'!B11:G11)=0,"",H182+NPV(G182,I182:M182))</f>
        <v>-985570257.004414</v>
      </c>
      <c r="P182" s="54" t="n">
        <f aca="true">RAND()</f>
        <v>0.694384445840346</v>
      </c>
      <c r="Q182" s="54" t="n">
        <f aca="true">RAND()</f>
        <v>0.0590182999118831</v>
      </c>
      <c r="R182" s="54" t="n">
        <f aca="true">RAND()</f>
        <v>0.76989098500822</v>
      </c>
      <c r="S182" s="54" t="n">
        <f aca="true">RAND()</f>
        <v>0.783399226720074</v>
      </c>
      <c r="T182" s="54" t="n">
        <f aca="true">RAND()</f>
        <v>0.577093193422998</v>
      </c>
      <c r="U182" s="54" t="n">
        <f aca="true">RAND()</f>
        <v>0.63920117389197</v>
      </c>
    </row>
    <row r="183" customFormat="false" ht="15" hidden="false" customHeight="false" outlineLevel="0" collapsed="false">
      <c r="A183" s="50" t="n">
        <v>103</v>
      </c>
      <c r="B183" s="51" t="n">
        <f aca="false">1+IF($G$6=$E$6,$F$6,IF(P183&lt;($F$6-$E$6)/($G$6-$E$6),$E$6+SQRT(P183*($G$6-$E$6)*($F$6-$E$6)),$G$6-SQRT((1-P183)*($G$6-$E$6)*($G$6-$F$6))))</f>
        <v>0.997813650069344</v>
      </c>
      <c r="C183" s="51" t="n">
        <f aca="false">1+IF($G$7=$E$7,$F$7,IF(Q183&lt;($F$7-$E$7)/($G$7-$E$7),$E$7+SQRT(Q183*($G$7-$E$7)*($F$7-$E$7)),$G$7-SQRT((1-Q183)*($G$7-$E$7)*($G$7-$F$7))))</f>
        <v>0.960940026167577</v>
      </c>
      <c r="D183" s="51" t="n">
        <f aca="false">1+IF($G$8=$E$8,$F$8,IF(R183&lt;($F$8-$E$8)/($G$8-$E$8),$E$8+SQRT(R183*($G$8-$E$8)*($F$8-$E$8)),$G$8-SQRT((1-R183)*($G$8-$E$8)*($G$8-$F$8))))</f>
        <v>0.973307884631615</v>
      </c>
      <c r="E183" s="51" t="n">
        <f aca="false">1+IF($G$9=$E$9,$F$9,IF(S183&lt;($F$9-$E$9)/($G$9-$E$9),$E$9+SQRT(S183*($G$9-$E$9)*($F$9-$E$9)),$G$9-SQRT((1-S183)*($G$9-$E$9)*($G$9-$F$9))))</f>
        <v>1.06307701907858</v>
      </c>
      <c r="F183" s="51" t="n">
        <f aca="false">1+IF($G$10=$E$10,$F$10,IF(T183&lt;($F$10-$E$10)/($G$10-$E$10),$E$10+SQRT(T183*($G$10-$E$10)*($F$10-$E$10)),$G$10-SQRT((1-T183)*($G$10-$E$10)*($G$10-$F$10))))</f>
        <v>1.09123488653591</v>
      </c>
      <c r="G183" s="52" t="n">
        <f aca="false">IF($G$11=$E$11,$F$11,IF(U183&lt;($F$11-$E$11)/($G$11-$E$11),$E$11+SQRT(U183*($G$11-$E$11)*($F$11-$E$11)),$G$11-SQRT((1-U183)*($G$11-$E$11)*($G$11-$F$11))))</f>
        <v>0.101071728331165</v>
      </c>
      <c r="H183" s="53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-2182469773.07182</v>
      </c>
      <c r="I183" s="53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-3434934.44272646</v>
      </c>
      <c r="J183" s="53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303129389.529526</v>
      </c>
      <c r="K183" s="53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664255457.828574</v>
      </c>
      <c r="L183" s="53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799581044.251601</v>
      </c>
      <c r="M183" s="53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981837175.629122</v>
      </c>
      <c r="N183" s="53" t="n">
        <f aca="false">IF(COUNT('Business Case'!B11:G11)=0,"",H183+NPV(G183,I183:M183))</f>
        <v>-287263757.689467</v>
      </c>
      <c r="P183" s="54" t="n">
        <f aca="true">RAND()</f>
        <v>0.637834009325873</v>
      </c>
      <c r="Q183" s="54" t="n">
        <f aca="true">RAND()</f>
        <v>0.504368127824709</v>
      </c>
      <c r="R183" s="54" t="n">
        <f aca="true">RAND()</f>
        <v>0.0724343314667589</v>
      </c>
      <c r="S183" s="54" t="n">
        <f aca="true">RAND()</f>
        <v>0.798517210339565</v>
      </c>
      <c r="T183" s="54" t="n">
        <f aca="true">RAND()</f>
        <v>0.663915183289794</v>
      </c>
      <c r="U183" s="54" t="n">
        <f aca="true">RAND()</f>
        <v>0.442103398836061</v>
      </c>
    </row>
    <row r="184" customFormat="false" ht="15" hidden="false" customHeight="false" outlineLevel="0" collapsed="false">
      <c r="A184" s="50" t="n">
        <v>104</v>
      </c>
      <c r="B184" s="51" t="n">
        <f aca="false">1+IF($G$6=$E$6,$F$6,IF(P184&lt;($F$6-$E$6)/($G$6-$E$6),$E$6+SQRT(P184*($G$6-$E$6)*($F$6-$E$6)),$G$6-SQRT((1-P184)*($G$6-$E$6)*($G$6-$F$6))))</f>
        <v>1.01294433724883</v>
      </c>
      <c r="C184" s="51" t="n">
        <f aca="false">1+IF($G$7=$E$7,$F$7,IF(Q184&lt;($F$7-$E$7)/($G$7-$E$7),$E$7+SQRT(Q184*($G$7-$E$7)*($F$7-$E$7)),$G$7-SQRT((1-Q184)*($G$7-$E$7)*($G$7-$F$7))))</f>
        <v>0.887058619698095</v>
      </c>
      <c r="D184" s="51" t="n">
        <f aca="false">1+IF($G$8=$E$8,$F$8,IF(R184&lt;($F$8-$E$8)/($G$8-$E$8),$E$8+SQRT(R184*($G$8-$E$8)*($F$8-$E$8)),$G$8-SQRT((1-R184)*($G$8-$E$8)*($G$8-$F$8))))</f>
        <v>0.951422408949982</v>
      </c>
      <c r="E184" s="51" t="n">
        <f aca="false">1+IF($G$9=$E$9,$F$9,IF(S184&lt;($F$9-$E$9)/($G$9-$E$9),$E$9+SQRT(S184*($G$9-$E$9)*($F$9-$E$9)),$G$9-SQRT((1-S184)*($G$9-$E$9)*($G$9-$F$9))))</f>
        <v>0.997065167499881</v>
      </c>
      <c r="F184" s="51" t="n">
        <f aca="false">1+IF($G$10=$E$10,$F$10,IF(T184&lt;($F$10-$E$10)/($G$10-$E$10),$E$10+SQRT(T184*($G$10-$E$10)*($F$10-$E$10)),$G$10-SQRT((1-T184)*($G$10-$E$10)*($G$10-$F$10))))</f>
        <v>1.04368712657605</v>
      </c>
      <c r="G184" s="52" t="n">
        <f aca="false">IF($G$11=$E$11,$F$11,IF(U184&lt;($F$11-$E$11)/($G$11-$E$11),$E$11+SQRT(U184*($G$11-$E$11)*($F$11-$E$11)),$G$11-SQRT((1-U184)*($G$11-$E$11)*($G$11-$F$11))))</f>
        <v>0.101794944674992</v>
      </c>
      <c r="H184" s="53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-2087374253.1521</v>
      </c>
      <c r="I184" s="53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11194216.9495616</v>
      </c>
      <c r="J184" s="53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315120179.107119</v>
      </c>
      <c r="K184" s="53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671230497.593479</v>
      </c>
      <c r="L184" s="53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803592728.800604</v>
      </c>
      <c r="M184" s="53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974387403.150934</v>
      </c>
      <c r="N184" s="53" t="n">
        <f aca="false">IF(COUNT('Business Case'!B11:G11)=0,"",H184+NPV(G184,I184:M184))</f>
        <v>-170385024.272784</v>
      </c>
      <c r="P184" s="54" t="n">
        <f aca="true">RAND()</f>
        <v>0.81691704774285</v>
      </c>
      <c r="Q184" s="54" t="n">
        <f aca="true">RAND()</f>
        <v>0.259192053358196</v>
      </c>
      <c r="R184" s="54" t="n">
        <f aca="true">RAND()</f>
        <v>0.000269766296131694</v>
      </c>
      <c r="S184" s="54" t="n">
        <f aca="true">RAND()</f>
        <v>0.376865869671201</v>
      </c>
      <c r="T184" s="54" t="n">
        <f aca="true">RAND()</f>
        <v>0.432466643460697</v>
      </c>
      <c r="U184" s="54" t="n">
        <f aca="true">RAND()</f>
        <v>0.469649902742171</v>
      </c>
    </row>
    <row r="185" customFormat="false" ht="15" hidden="false" customHeight="false" outlineLevel="0" collapsed="false">
      <c r="A185" s="50" t="n">
        <v>105</v>
      </c>
      <c r="B185" s="51" t="n">
        <f aca="false">1+IF($G$6=$E$6,$F$6,IF(P185&lt;($F$6-$E$6)/($G$6-$E$6),$E$6+SQRT(P185*($G$6-$E$6)*($F$6-$E$6)),$G$6-SQRT((1-P185)*($G$6-$E$6)*($G$6-$F$6))))</f>
        <v>0.933761628081287</v>
      </c>
      <c r="C185" s="51" t="n">
        <f aca="false">1+IF($G$7=$E$7,$F$7,IF(Q185&lt;($F$7-$E$7)/($G$7-$E$7),$E$7+SQRT(Q185*($G$7-$E$7)*($F$7-$E$7)),$G$7-SQRT((1-Q185)*($G$7-$E$7)*($G$7-$F$7))))</f>
        <v>1.00905137161941</v>
      </c>
      <c r="D185" s="51" t="n">
        <f aca="false">1+IF($G$8=$E$8,$F$8,IF(R185&lt;($F$8-$E$8)/($G$8-$E$8),$E$8+SQRT(R185*($G$8-$E$8)*($F$8-$E$8)),$G$8-SQRT((1-R185)*($G$8-$E$8)*($G$8-$F$8))))</f>
        <v>1.04644919157772</v>
      </c>
      <c r="E185" s="51" t="n">
        <f aca="false">1+IF($G$9=$E$9,$F$9,IF(S185&lt;($F$9-$E$9)/($G$9-$E$9),$E$9+SQRT(S185*($G$9-$E$9)*($F$9-$E$9)),$G$9-SQRT((1-S185)*($G$9-$E$9)*($G$9-$F$9))))</f>
        <v>1.1201512070713</v>
      </c>
      <c r="F185" s="51" t="n">
        <f aca="false">1+IF($G$10=$E$10,$F$10,IF(T185&lt;($F$10-$E$10)/($G$10-$E$10),$E$10+SQRT(T185*($G$10-$E$10)*($F$10-$E$10)),$G$10-SQRT((1-T185)*($G$10-$E$10)*($G$10-$F$10))))</f>
        <v>0.997069616306811</v>
      </c>
      <c r="G185" s="52" t="n">
        <f aca="false">IF($G$11=$E$11,$F$11,IF(U185&lt;($F$11-$E$11)/($G$11-$E$11),$E$11+SQRT(U185*($G$11-$E$11)*($F$11-$E$11)),$G$11-SQRT((1-U185)*($G$11-$E$11)*($G$11-$F$11))))</f>
        <v>0.0958770216124891</v>
      </c>
      <c r="H185" s="53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-1994139232.61362</v>
      </c>
      <c r="I185" s="53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-76643226.6643184</v>
      </c>
      <c r="J185" s="53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154550355.277542</v>
      </c>
      <c r="K185" s="53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435597418.034743</v>
      </c>
      <c r="L185" s="53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545224842.235336</v>
      </c>
      <c r="M185" s="53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724320775.111852</v>
      </c>
      <c r="N185" s="53" t="n">
        <f aca="false">IF(COUNT('Business Case'!B11:G11)=0,"",H185+NPV(G185,I185:M185))</f>
        <v>-768105779.221038</v>
      </c>
      <c r="P185" s="54" t="n">
        <f aca="true">RAND()</f>
        <v>0.0759898353799434</v>
      </c>
      <c r="Q185" s="54" t="n">
        <f aca="true">RAND()</f>
        <v>0.705681246779717</v>
      </c>
      <c r="R185" s="54" t="n">
        <f aca="true">RAND()</f>
        <v>0.808820727821326</v>
      </c>
      <c r="S185" s="54" t="n">
        <f aca="true">RAND()</f>
        <v>0.976241321618654</v>
      </c>
      <c r="T185" s="54" t="n">
        <f aca="true">RAND()</f>
        <v>0.147703251951362</v>
      </c>
      <c r="U185" s="54" t="n">
        <f aca="true">RAND()</f>
        <v>0.252079815283445</v>
      </c>
    </row>
    <row r="186" customFormat="false" ht="15" hidden="false" customHeight="false" outlineLevel="0" collapsed="false">
      <c r="A186" s="50" t="n">
        <v>106</v>
      </c>
      <c r="B186" s="51" t="n">
        <f aca="false">1+IF($G$6=$E$6,$F$6,IF(P186&lt;($F$6-$E$6)/($G$6-$E$6),$E$6+SQRT(P186*($G$6-$E$6)*($F$6-$E$6)),$G$6-SQRT((1-P186)*($G$6-$E$6)*($G$6-$F$6))))</f>
        <v>0.991434750226304</v>
      </c>
      <c r="C186" s="51" t="n">
        <f aca="false">1+IF($G$7=$E$7,$F$7,IF(Q186&lt;($F$7-$E$7)/($G$7-$E$7),$E$7+SQRT(Q186*($G$7-$E$7)*($F$7-$E$7)),$G$7-SQRT((1-Q186)*($G$7-$E$7)*($G$7-$F$7))))</f>
        <v>0.875273576723813</v>
      </c>
      <c r="D186" s="51" t="n">
        <f aca="false">1+IF($G$8=$E$8,$F$8,IF(R186&lt;($F$8-$E$8)/($G$8-$E$8),$E$8+SQRT(R186*($G$8-$E$8)*($F$8-$E$8)),$G$8-SQRT((1-R186)*($G$8-$E$8)*($G$8-$F$8))))</f>
        <v>0.960419821048031</v>
      </c>
      <c r="E186" s="51" t="n">
        <f aca="false">1+IF($G$9=$E$9,$F$9,IF(S186&lt;($F$9-$E$9)/($G$9-$E$9),$E$9+SQRT(S186*($G$9-$E$9)*($F$9-$E$9)),$G$9-SQRT((1-S186)*($G$9-$E$9)*($G$9-$F$9))))</f>
        <v>1.10658371422006</v>
      </c>
      <c r="F186" s="51" t="n">
        <f aca="false">1+IF($G$10=$E$10,$F$10,IF(T186&lt;($F$10-$E$10)/($G$10-$E$10),$E$10+SQRT(T186*($G$10-$E$10)*($F$10-$E$10)),$G$10-SQRT((1-T186)*($G$10-$E$10)*($G$10-$F$10))))</f>
        <v>1.11650370097263</v>
      </c>
      <c r="G186" s="52" t="n">
        <f aca="false">IF($G$11=$E$11,$F$11,IF(U186&lt;($F$11-$E$11)/($G$11-$E$11),$E$11+SQRT(U186*($G$11-$E$11)*($F$11-$E$11)),$G$11-SQRT((1-U186)*($G$11-$E$11)*($G$11-$F$11))))</f>
        <v>0.119630041841048</v>
      </c>
      <c r="H186" s="53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-2233007401.94527</v>
      </c>
      <c r="I186" s="53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-33555923.9194574</v>
      </c>
      <c r="J186" s="53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246880267.433835</v>
      </c>
      <c r="K186" s="53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583141643.835759</v>
      </c>
      <c r="L186" s="53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706610734.962452</v>
      </c>
      <c r="M186" s="53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871557718.678228</v>
      </c>
      <c r="N186" s="53" t="n">
        <f aca="false">IF(COUNT('Business Case'!B11:G11)=0,"",H186+NPV(G186,I186:M186))</f>
        <v>-705535550.894732</v>
      </c>
      <c r="P186" s="54" t="n">
        <f aca="true">RAND()</f>
        <v>0.557354236596434</v>
      </c>
      <c r="Q186" s="54" t="n">
        <f aca="true">RAND()</f>
        <v>0.227561679241172</v>
      </c>
      <c r="R186" s="54" t="n">
        <f aca="true">RAND()</f>
        <v>0.0144763560897328</v>
      </c>
      <c r="S186" s="54" t="n">
        <f aca="true">RAND()</f>
        <v>0.949734030108665</v>
      </c>
      <c r="T186" s="54" t="n">
        <f aca="true">RAND()</f>
        <v>0.762383175279943</v>
      </c>
      <c r="U186" s="54" t="n">
        <f aca="true">RAND()</f>
        <v>0.928309311854391</v>
      </c>
    </row>
    <row r="187" customFormat="false" ht="15" hidden="false" customHeight="false" outlineLevel="0" collapsed="false">
      <c r="A187" s="50" t="n">
        <v>107</v>
      </c>
      <c r="B187" s="51" t="n">
        <f aca="false">1+IF($G$6=$E$6,$F$6,IF(P187&lt;($F$6-$E$6)/($G$6-$E$6),$E$6+SQRT(P187*($G$6-$E$6)*($F$6-$E$6)),$G$6-SQRT((1-P187)*($G$6-$E$6)*($G$6-$F$6))))</f>
        <v>1.00584855182523</v>
      </c>
      <c r="C187" s="51" t="n">
        <f aca="false">1+IF($G$7=$E$7,$F$7,IF(Q187&lt;($F$7-$E$7)/($G$7-$E$7),$E$7+SQRT(Q187*($G$7-$E$7)*($F$7-$E$7)),$G$7-SQRT((1-Q187)*($G$7-$E$7)*($G$7-$F$7))))</f>
        <v>0.9142061392771</v>
      </c>
      <c r="D187" s="51" t="n">
        <f aca="false">1+IF($G$8=$E$8,$F$8,IF(R187&lt;($F$8-$E$8)/($G$8-$E$8),$E$8+SQRT(R187*($G$8-$E$8)*($F$8-$E$8)),$G$8-SQRT((1-R187)*($G$8-$E$8)*($G$8-$F$8))))</f>
        <v>1.00244751901701</v>
      </c>
      <c r="E187" s="51" t="n">
        <f aca="false">1+IF($G$9=$E$9,$F$9,IF(S187&lt;($F$9-$E$9)/($G$9-$E$9),$E$9+SQRT(S187*($G$9-$E$9)*($F$9-$E$9)),$G$9-SQRT((1-S187)*($G$9-$E$9)*($G$9-$F$9))))</f>
        <v>0.961409128312341</v>
      </c>
      <c r="F187" s="51" t="n">
        <f aca="false">1+IF($G$10=$E$10,$F$10,IF(T187&lt;($F$10-$E$10)/($G$10-$E$10),$E$10+SQRT(T187*($G$10-$E$10)*($F$10-$E$10)),$G$10-SQRT((1-T187)*($G$10-$E$10)*($G$10-$F$10))))</f>
        <v>0.984556553774106</v>
      </c>
      <c r="G187" s="52" t="n">
        <f aca="false">IF($G$11=$E$11,$F$11,IF(U187&lt;($F$11-$E$11)/($G$11-$E$11),$E$11+SQRT(U187*($G$11-$E$11)*($F$11-$E$11)),$G$11-SQRT((1-U187)*($G$11-$E$11)*($G$11-$F$11))))</f>
        <v>0.123594114831105</v>
      </c>
      <c r="H187" s="53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-1969113107.54821</v>
      </c>
      <c r="I187" s="53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1196546.74756663</v>
      </c>
      <c r="J187" s="53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285230750.35676</v>
      </c>
      <c r="K187" s="53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618492781.65466</v>
      </c>
      <c r="L187" s="53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744950598.483192</v>
      </c>
      <c r="M187" s="53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919739217.756599</v>
      </c>
      <c r="N187" s="53" t="n">
        <f aca="false">IF(COUNT('Business Case'!B11:G11)=0,"",H187+NPV(G187,I187:M187))</f>
        <v>-325104446.461394</v>
      </c>
      <c r="P187" s="54" t="n">
        <f aca="true">RAND()</f>
        <v>0.74008661654275</v>
      </c>
      <c r="Q187" s="54" t="n">
        <f aca="true">RAND()</f>
        <v>0.339883482251856</v>
      </c>
      <c r="R187" s="54" t="n">
        <f aca="true">RAND()</f>
        <v>0.365567563604278</v>
      </c>
      <c r="S187" s="54" t="n">
        <f aca="true">RAND()</f>
        <v>0.150843241603263</v>
      </c>
      <c r="T187" s="54" t="n">
        <f aca="true">RAND()</f>
        <v>0.0796103605828455</v>
      </c>
      <c r="U187" s="54" t="n">
        <f aca="true">RAND()</f>
        <v>0.972643090135288</v>
      </c>
    </row>
    <row r="188" customFormat="false" ht="15" hidden="false" customHeight="false" outlineLevel="0" collapsed="false">
      <c r="A188" s="50" t="n">
        <v>108</v>
      </c>
      <c r="B188" s="51" t="n">
        <f aca="false">1+IF($G$6=$E$6,$F$6,IF(P188&lt;($F$6-$E$6)/($G$6-$E$6),$E$6+SQRT(P188*($G$6-$E$6)*($F$6-$E$6)),$G$6-SQRT((1-P188)*($G$6-$E$6)*($G$6-$F$6))))</f>
        <v>0.947288850673747</v>
      </c>
      <c r="C188" s="51" t="n">
        <f aca="false">1+IF($G$7=$E$7,$F$7,IF(Q188&lt;($F$7-$E$7)/($G$7-$E$7),$E$7+SQRT(Q188*($G$7-$E$7)*($F$7-$E$7)),$G$7-SQRT((1-Q188)*($G$7-$E$7)*($G$7-$F$7))))</f>
        <v>1.02833773936571</v>
      </c>
      <c r="D188" s="51" t="n">
        <f aca="false">1+IF($G$8=$E$8,$F$8,IF(R188&lt;($F$8-$E$8)/($G$8-$E$8),$E$8+SQRT(R188*($G$8-$E$8)*($F$8-$E$8)),$G$8-SQRT((1-R188)*($G$8-$E$8)*($G$8-$F$8))))</f>
        <v>1.01920617335463</v>
      </c>
      <c r="E188" s="51" t="n">
        <f aca="false">1+IF($G$9=$E$9,$F$9,IF(S188&lt;($F$9-$E$9)/($G$9-$E$9),$E$9+SQRT(S188*($G$9-$E$9)*($F$9-$E$9)),$G$9-SQRT((1-S188)*($G$9-$E$9)*($G$9-$F$9))))</f>
        <v>0.999542939723071</v>
      </c>
      <c r="F188" s="51" t="n">
        <f aca="false">1+IF($G$10=$E$10,$F$10,IF(T188&lt;($F$10-$E$10)/($G$10-$E$10),$E$10+SQRT(T188*($G$10-$E$10)*($F$10-$E$10)),$G$10-SQRT((1-T188)*($G$10-$E$10)*($G$10-$F$10))))</f>
        <v>1.15923702124028</v>
      </c>
      <c r="G188" s="52" t="n">
        <f aca="false">IF($G$11=$E$11,$F$11,IF(U188&lt;($F$11-$E$11)/($G$11-$E$11),$E$11+SQRT(U188*($G$11-$E$11)*($F$11-$E$11)),$G$11-SQRT((1-U188)*($G$11-$E$11)*($G$11-$F$11))))</f>
        <v>0.102212321426613</v>
      </c>
      <c r="H188" s="53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-2318474042.48056</v>
      </c>
      <c r="I188" s="53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-47210091.1663988</v>
      </c>
      <c r="J188" s="53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214137574.07168</v>
      </c>
      <c r="K188" s="53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533447090.371773</v>
      </c>
      <c r="L188" s="53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654229010.952352</v>
      </c>
      <c r="M188" s="53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839392187.875726</v>
      </c>
      <c r="N188" s="53" t="n">
        <f aca="false">IF(COUNT('Business Case'!B11:G11)=0,"",H188+NPV(G188,I188:M188))</f>
        <v>-827407227.952509</v>
      </c>
      <c r="P188" s="54" t="n">
        <f aca="true">RAND()</f>
        <v>0.149082359869598</v>
      </c>
      <c r="Q188" s="54" t="n">
        <f aca="true">RAND()</f>
        <v>0.780715471664521</v>
      </c>
      <c r="R188" s="54" t="n">
        <f aca="true">RAND()</f>
        <v>0.564823838399893</v>
      </c>
      <c r="S188" s="54" t="n">
        <f aca="true">RAND()</f>
        <v>0.396351873948441</v>
      </c>
      <c r="T188" s="54" t="n">
        <f aca="true">RAND()</f>
        <v>0.890161089155499</v>
      </c>
      <c r="U188" s="54" t="n">
        <f aca="true">RAND()</f>
        <v>0.485229946334751</v>
      </c>
    </row>
    <row r="189" customFormat="false" ht="15" hidden="false" customHeight="false" outlineLevel="0" collapsed="false">
      <c r="A189" s="50" t="n">
        <v>109</v>
      </c>
      <c r="B189" s="51" t="n">
        <f aca="false">1+IF($G$6=$E$6,$F$6,IF(P189&lt;($F$6-$E$6)/($G$6-$E$6),$E$6+SQRT(P189*($G$6-$E$6)*($F$6-$E$6)),$G$6-SQRT((1-P189)*($G$6-$E$6)*($G$6-$F$6))))</f>
        <v>1.03573590829605</v>
      </c>
      <c r="C189" s="51" t="n">
        <f aca="false">1+IF($G$7=$E$7,$F$7,IF(Q189&lt;($F$7-$E$7)/($G$7-$E$7),$E$7+SQRT(Q189*($G$7-$E$7)*($F$7-$E$7)),$G$7-SQRT((1-Q189)*($G$7-$E$7)*($G$7-$F$7))))</f>
        <v>1.12479337065763</v>
      </c>
      <c r="D189" s="51" t="n">
        <f aca="false">1+IF($G$8=$E$8,$F$8,IF(R189&lt;($F$8-$E$8)/($G$8-$E$8),$E$8+SQRT(R189*($G$8-$E$8)*($F$8-$E$8)),$G$8-SQRT((1-R189)*($G$8-$E$8)*($G$8-$F$8))))</f>
        <v>1.04991938550195</v>
      </c>
      <c r="E189" s="51" t="n">
        <f aca="false">1+IF($G$9=$E$9,$F$9,IF(S189&lt;($F$9-$E$9)/($G$9-$E$9),$E$9+SQRT(S189*($G$9-$E$9)*($F$9-$E$9)),$G$9-SQRT((1-S189)*($G$9-$E$9)*($G$9-$F$9))))</f>
        <v>1.04993251133454</v>
      </c>
      <c r="F189" s="51" t="n">
        <f aca="false">1+IF($G$10=$E$10,$F$10,IF(T189&lt;($F$10-$E$10)/($G$10-$E$10),$E$10+SQRT(T189*($G$10-$E$10)*($F$10-$E$10)),$G$10-SQRT((1-T189)*($G$10-$E$10)*($G$10-$F$10))))</f>
        <v>0.98790318365344</v>
      </c>
      <c r="G189" s="52" t="n">
        <f aca="false">IF($G$11=$E$11,$F$11,IF(U189&lt;($F$11-$E$11)/($G$11-$E$11),$E$11+SQRT(U189*($G$11-$E$11)*($F$11-$E$11)),$G$11-SQRT((1-U189)*($G$11-$E$11)*($G$11-$F$11))))</f>
        <v>0.106659194584953</v>
      </c>
      <c r="H189" s="53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-1975806367.30688</v>
      </c>
      <c r="I189" s="53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41178014.2602394</v>
      </c>
      <c r="J189" s="53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390839773.713229</v>
      </c>
      <c r="K189" s="53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789896692.348891</v>
      </c>
      <c r="L189" s="53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946712627.976978</v>
      </c>
      <c r="M189" s="53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1168153714.93431</v>
      </c>
      <c r="N189" s="53" t="n">
        <f aca="false">IF(COUNT('Business Case'!B11:G11)=0,"",H189+NPV(G189,I189:M189))</f>
        <v>298310747.372521</v>
      </c>
      <c r="P189" s="54" t="n">
        <f aca="true">RAND()</f>
        <v>0.972871425048189</v>
      </c>
      <c r="Q189" s="54" t="n">
        <f aca="true">RAND()</f>
        <v>0.990587049439945</v>
      </c>
      <c r="R189" s="54" t="n">
        <f aca="true">RAND()</f>
        <v>0.832795470099829</v>
      </c>
      <c r="S189" s="54" t="n">
        <f aca="true">RAND()</f>
        <v>0.732973272325002</v>
      </c>
      <c r="T189" s="54" t="n">
        <f aca="true">RAND()</f>
        <v>0.0957767554044276</v>
      </c>
      <c r="U189" s="54" t="n">
        <f aca="true">RAND()</f>
        <v>0.63680453505127</v>
      </c>
    </row>
    <row r="190" customFormat="false" ht="15" hidden="false" customHeight="false" outlineLevel="0" collapsed="false">
      <c r="A190" s="50" t="n">
        <v>110</v>
      </c>
      <c r="B190" s="51" t="n">
        <f aca="false">1+IF($G$6=$E$6,$F$6,IF(P190&lt;($F$6-$E$6)/($G$6-$E$6),$E$6+SQRT(P190*($G$6-$E$6)*($F$6-$E$6)),$G$6-SQRT((1-P190)*($G$6-$E$6)*($G$6-$F$6))))</f>
        <v>0.986909979883836</v>
      </c>
      <c r="C190" s="51" t="n">
        <f aca="false">1+IF($G$7=$E$7,$F$7,IF(Q190&lt;($F$7-$E$7)/($G$7-$E$7),$E$7+SQRT(Q190*($G$7-$E$7)*($F$7-$E$7)),$G$7-SQRT((1-Q190)*($G$7-$E$7)*($G$7-$F$7))))</f>
        <v>1.00779935098808</v>
      </c>
      <c r="D190" s="51" t="n">
        <f aca="false">1+IF($G$8=$E$8,$F$8,IF(R190&lt;($F$8-$E$8)/($G$8-$E$8),$E$8+SQRT(R190*($G$8-$E$8)*($F$8-$E$8)),$G$8-SQRT((1-R190)*($G$8-$E$8)*($G$8-$F$8))))</f>
        <v>1.04627060620477</v>
      </c>
      <c r="E190" s="51" t="n">
        <f aca="false">1+IF($G$9=$E$9,$F$9,IF(S190&lt;($F$9-$E$9)/($G$9-$E$9),$E$9+SQRT(S190*($G$9-$E$9)*($F$9-$E$9)),$G$9-SQRT((1-S190)*($G$9-$E$9)*($G$9-$F$9))))</f>
        <v>1.00821483848839</v>
      </c>
      <c r="F190" s="51" t="n">
        <f aca="false">1+IF($G$10=$E$10,$F$10,IF(T190&lt;($F$10-$E$10)/($G$10-$E$10),$E$10+SQRT(T190*($G$10-$E$10)*($F$10-$E$10)),$G$10-SQRT((1-T190)*($G$10-$E$10)*($G$10-$F$10))))</f>
        <v>1.0529078642737</v>
      </c>
      <c r="G190" s="52" t="n">
        <f aca="false">IF($G$11=$E$11,$F$11,IF(U190&lt;($F$11-$E$11)/($G$11-$E$11),$E$11+SQRT(U190*($G$11-$E$11)*($F$11-$E$11)),$G$11-SQRT((1-U190)*($G$11-$E$11)*($G$11-$F$11))))</f>
        <v>0.0978875488232802</v>
      </c>
      <c r="H190" s="53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-2105815728.54741</v>
      </c>
      <c r="I190" s="53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-25348671.174061</v>
      </c>
      <c r="J190" s="53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249522033.289294</v>
      </c>
      <c r="K190" s="53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577038130.966334</v>
      </c>
      <c r="L190" s="53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703035325.238783</v>
      </c>
      <c r="M190" s="53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892090268.887771</v>
      </c>
      <c r="N190" s="53" t="n">
        <f aca="false">IF(COUNT('Business Case'!B11:G11)=0,"",H190+NPV(G190,I190:M190))</f>
        <v>-442692457.249862</v>
      </c>
      <c r="P190" s="54" t="n">
        <f aca="true">RAND()</f>
        <v>0.503556306893917</v>
      </c>
      <c r="Q190" s="54" t="n">
        <f aca="true">RAND()</f>
        <v>0.700429265490186</v>
      </c>
      <c r="R190" s="54" t="n">
        <f aca="true">RAND()</f>
        <v>0.807543482826445</v>
      </c>
      <c r="S190" s="54" t="n">
        <f aca="true">RAND()</f>
        <v>0.463919146003348</v>
      </c>
      <c r="T190" s="54" t="n">
        <f aca="true">RAND()</f>
        <v>0.482062533797968</v>
      </c>
      <c r="U190" s="54" t="n">
        <f aca="true">RAND()</f>
        <v>0.319964402905234</v>
      </c>
    </row>
    <row r="191" customFormat="false" ht="15" hidden="false" customHeight="false" outlineLevel="0" collapsed="false">
      <c r="A191" s="50" t="n">
        <v>111</v>
      </c>
      <c r="B191" s="51" t="n">
        <f aca="false">1+IF($G$6=$E$6,$F$6,IF(P191&lt;($F$6-$E$6)/($G$6-$E$6),$E$6+SQRT(P191*($G$6-$E$6)*($F$6-$E$6)),$G$6-SQRT((1-P191)*($G$6-$E$6)*($G$6-$F$6))))</f>
        <v>0.981347570198678</v>
      </c>
      <c r="C191" s="51" t="n">
        <f aca="false">1+IF($G$7=$E$7,$F$7,IF(Q191&lt;($F$7-$E$7)/($G$7-$E$7),$E$7+SQRT(Q191*($G$7-$E$7)*($F$7-$E$7)),$G$7-SQRT((1-Q191)*($G$7-$E$7)*($G$7-$F$7))))</f>
        <v>0.828963318039611</v>
      </c>
      <c r="D191" s="51" t="n">
        <f aca="false">1+IF($G$8=$E$8,$F$8,IF(R191&lt;($F$8-$E$8)/($G$8-$E$8),$E$8+SQRT(R191*($G$8-$E$8)*($F$8-$E$8)),$G$8-SQRT((1-R191)*($G$8-$E$8)*($G$8-$F$8))))</f>
        <v>1.01738047388114</v>
      </c>
      <c r="E191" s="51" t="n">
        <f aca="false">1+IF($G$9=$E$9,$F$9,IF(S191&lt;($F$9-$E$9)/($G$9-$E$9),$E$9+SQRT(S191*($G$9-$E$9)*($F$9-$E$9)),$G$9-SQRT((1-S191)*($G$9-$E$9)*($G$9-$F$9))))</f>
        <v>0.969046909575552</v>
      </c>
      <c r="F191" s="51" t="n">
        <f aca="false">1+IF($G$10=$E$10,$F$10,IF(T191&lt;($F$10-$E$10)/($G$10-$E$10),$E$10+SQRT(T191*($G$10-$E$10)*($F$10-$E$10)),$G$10-SQRT((1-T191)*($G$10-$E$10)*($G$10-$F$10))))</f>
        <v>1.20488872552669</v>
      </c>
      <c r="G191" s="52" t="n">
        <f aca="false">IF($G$11=$E$11,$F$11,IF(U191&lt;($F$11-$E$11)/($G$11-$E$11),$E$11+SQRT(U191*($G$11-$E$11)*($F$11-$E$11)),$G$11-SQRT((1-U191)*($G$11-$E$11)*($G$11-$F$11))))</f>
        <v>0.102356233477429</v>
      </c>
      <c r="H191" s="53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-2409777451.05338</v>
      </c>
      <c r="I191" s="53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-65881768.1299808</v>
      </c>
      <c r="J191" s="53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168695705.825264</v>
      </c>
      <c r="K191" s="53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463517616.056844</v>
      </c>
      <c r="L191" s="53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569824706.702535</v>
      </c>
      <c r="M191" s="53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724455003.002552</v>
      </c>
      <c r="N191" s="53" t="n">
        <f aca="false">IF(COUNT('Business Case'!B11:G11)=0,"",H191+NPV(G191,I191:M191))</f>
        <v>-1153776396.49815</v>
      </c>
      <c r="P191" s="54" t="n">
        <f aca="true">RAND()</f>
        <v>0.441161811815259</v>
      </c>
      <c r="Q191" s="54" t="n">
        <f aca="true">RAND()</f>
        <v>0.123196573331746</v>
      </c>
      <c r="R191" s="54" t="n">
        <f aca="true">RAND()</f>
        <v>0.544934260259646</v>
      </c>
      <c r="S191" s="54" t="n">
        <f aca="true">RAND()</f>
        <v>0.190699028877379</v>
      </c>
      <c r="T191" s="54" t="n">
        <f aca="true">RAND()</f>
        <v>0.972866305538581</v>
      </c>
      <c r="U191" s="54" t="n">
        <f aca="true">RAND()</f>
        <v>0.490548114963722</v>
      </c>
    </row>
    <row r="192" customFormat="false" ht="15" hidden="false" customHeight="false" outlineLevel="0" collapsed="false">
      <c r="A192" s="50" t="n">
        <v>112</v>
      </c>
      <c r="B192" s="51" t="n">
        <f aca="false">1+IF($G$6=$E$6,$F$6,IF(P192&lt;($F$6-$E$6)/($G$6-$E$6),$E$6+SQRT(P192*($G$6-$E$6)*($F$6-$E$6)),$G$6-SQRT((1-P192)*($G$6-$E$6)*($G$6-$F$6))))</f>
        <v>0.943705112582256</v>
      </c>
      <c r="C192" s="51" t="n">
        <f aca="false">1+IF($G$7=$E$7,$F$7,IF(Q192&lt;($F$7-$E$7)/($G$7-$E$7),$E$7+SQRT(Q192*($G$7-$E$7)*($F$7-$E$7)),$G$7-SQRT((1-Q192)*($G$7-$E$7)*($G$7-$F$7))))</f>
        <v>0.904911251943571</v>
      </c>
      <c r="D192" s="51" t="n">
        <f aca="false">1+IF($G$8=$E$8,$F$8,IF(R192&lt;($F$8-$E$8)/($G$8-$E$8),$E$8+SQRT(R192*($G$8-$E$8)*($F$8-$E$8)),$G$8-SQRT((1-R192)*($G$8-$E$8)*($G$8-$F$8))))</f>
        <v>1.01791599506585</v>
      </c>
      <c r="E192" s="51" t="n">
        <f aca="false">1+IF($G$9=$E$9,$F$9,IF(S192&lt;($F$9-$E$9)/($G$9-$E$9),$E$9+SQRT(S192*($G$9-$E$9)*($F$9-$E$9)),$G$9-SQRT((1-S192)*($G$9-$E$9)*($G$9-$F$9))))</f>
        <v>0.992119745951204</v>
      </c>
      <c r="F192" s="51" t="n">
        <f aca="false">1+IF($G$10=$E$10,$F$10,IF(T192&lt;($F$10-$E$10)/($G$10-$E$10),$E$10+SQRT(T192*($G$10-$E$10)*($F$10-$E$10)),$G$10-SQRT((1-T192)*($G$10-$E$10)*($G$10-$F$10))))</f>
        <v>1.20381825654729</v>
      </c>
      <c r="G192" s="52" t="n">
        <f aca="false">IF($G$11=$E$11,$F$11,IF(U192&lt;($F$11-$E$11)/($G$11-$E$11),$E$11+SQRT(U192*($G$11-$E$11)*($F$11-$E$11)),$G$11-SQRT((1-U192)*($G$11-$E$11)*($G$11-$F$11))))</f>
        <v>0.0996458611854455</v>
      </c>
      <c r="H192" s="53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-2407636513.09458</v>
      </c>
      <c r="I192" s="53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-77810234.5844106</v>
      </c>
      <c r="J192" s="53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150110556.754589</v>
      </c>
      <c r="K192" s="53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438222260.920953</v>
      </c>
      <c r="L192" s="53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543709039.630233</v>
      </c>
      <c r="M192" s="53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706031538.409773</v>
      </c>
      <c r="N192" s="53" t="n">
        <f aca="false">IF(COUNT('Business Case'!B11:G11)=0,"",H192+NPV(G192,I192:M192))</f>
        <v>-1213760961.68965</v>
      </c>
      <c r="P192" s="54" t="n">
        <f aca="true">RAND()</f>
        <v>0.127342457721847</v>
      </c>
      <c r="Q192" s="54" t="n">
        <f aca="true">RAND()</f>
        <v>0.311026823504308</v>
      </c>
      <c r="R192" s="54" t="n">
        <f aca="true">RAND()</f>
        <v>0.550814408931322</v>
      </c>
      <c r="S192" s="54" t="n">
        <f aca="true">RAND()</f>
        <v>0.339441903764574</v>
      </c>
      <c r="T192" s="54" t="n">
        <f aca="true">RAND()</f>
        <v>0.971563287622243</v>
      </c>
      <c r="U192" s="54" t="n">
        <f aca="true">RAND()</f>
        <v>0.385959861717794</v>
      </c>
    </row>
    <row r="193" customFormat="false" ht="15" hidden="false" customHeight="false" outlineLevel="0" collapsed="false">
      <c r="A193" s="50" t="n">
        <v>113</v>
      </c>
      <c r="B193" s="51" t="n">
        <f aca="false">1+IF($G$6=$E$6,$F$6,IF(P193&lt;($F$6-$E$6)/($G$6-$E$6),$E$6+SQRT(P193*($G$6-$E$6)*($F$6-$E$6)),$G$6-SQRT((1-P193)*($G$6-$E$6)*($G$6-$F$6))))</f>
        <v>1.01202753477857</v>
      </c>
      <c r="C193" s="51" t="n">
        <f aca="false">1+IF($G$7=$E$7,$F$7,IF(Q193&lt;($F$7-$E$7)/($G$7-$E$7),$E$7+SQRT(Q193*($G$7-$E$7)*($F$7-$E$7)),$G$7-SQRT((1-Q193)*($G$7-$E$7)*($G$7-$F$7))))</f>
        <v>1.06298808221288</v>
      </c>
      <c r="D193" s="51" t="n">
        <f aca="false">1+IF($G$8=$E$8,$F$8,IF(R193&lt;($F$8-$E$8)/($G$8-$E$8),$E$8+SQRT(R193*($G$8-$E$8)*($F$8-$E$8)),$G$8-SQRT((1-R193)*($G$8-$E$8)*($G$8-$F$8))))</f>
        <v>0.987240337057482</v>
      </c>
      <c r="E193" s="51" t="n">
        <f aca="false">1+IF($G$9=$E$9,$F$9,IF(S193&lt;($F$9-$E$9)/($G$9-$E$9),$E$9+SQRT(S193*($G$9-$E$9)*($F$9-$E$9)),$G$9-SQRT((1-S193)*($G$9-$E$9)*($G$9-$F$9))))</f>
        <v>0.964380203965791</v>
      </c>
      <c r="F193" s="51" t="n">
        <f aca="false">1+IF($G$10=$E$10,$F$10,IF(T193&lt;($F$10-$E$10)/($G$10-$E$10),$E$10+SQRT(T193*($G$10-$E$10)*($F$10-$E$10)),$G$10-SQRT((1-T193)*($G$10-$E$10)*($G$10-$F$10))))</f>
        <v>1.04363006604015</v>
      </c>
      <c r="G193" s="52" t="n">
        <f aca="false">IF($G$11=$E$11,$F$11,IF(U193&lt;($F$11-$E$11)/($G$11-$E$11),$E$11+SQRT(U193*($G$11-$E$11)*($F$11-$E$11)),$G$11-SQRT((1-U193)*($G$11-$E$11)*($G$11-$F$11))))</f>
        <v>0.110633287894802</v>
      </c>
      <c r="H193" s="53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-2087260132.08031</v>
      </c>
      <c r="I193" s="53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46648259.7140319</v>
      </c>
      <c r="J193" s="53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390562474.156407</v>
      </c>
      <c r="K193" s="53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786658191.90079</v>
      </c>
      <c r="L193" s="53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938474985.461843</v>
      </c>
      <c r="M193" s="53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1142957956.90328</v>
      </c>
      <c r="N193" s="53" t="n">
        <f aca="false">IF(COUNT('Business Case'!B11:G11)=0,"",H193+NPV(G193,I193:M193))</f>
        <v>138735587.887789</v>
      </c>
      <c r="P193" s="54" t="n">
        <f aca="true">RAND()</f>
        <v>0.807745584667644</v>
      </c>
      <c r="Q193" s="54" t="n">
        <f aca="true">RAND()</f>
        <v>0.887835943155656</v>
      </c>
      <c r="R193" s="54" t="n">
        <f aca="true">RAND()</f>
        <v>0.184912360553984</v>
      </c>
      <c r="S193" s="54" t="n">
        <f aca="true">RAND()</f>
        <v>0.165792426507073</v>
      </c>
      <c r="T193" s="54" t="n">
        <f aca="true">RAND()</f>
        <v>0.432152671432117</v>
      </c>
      <c r="U193" s="54" t="n">
        <f aca="true">RAND()</f>
        <v>0.749953641489579</v>
      </c>
    </row>
    <row r="194" customFormat="false" ht="15" hidden="false" customHeight="false" outlineLevel="0" collapsed="false">
      <c r="A194" s="50" t="n">
        <v>114</v>
      </c>
      <c r="B194" s="51" t="n">
        <f aca="false">1+IF($G$6=$E$6,$F$6,IF(P194&lt;($F$6-$E$6)/($G$6-$E$6),$E$6+SQRT(P194*($G$6-$E$6)*($F$6-$E$6)),$G$6-SQRT((1-P194)*($G$6-$E$6)*($G$6-$F$6))))</f>
        <v>0.983016558319988</v>
      </c>
      <c r="C194" s="51" t="n">
        <f aca="false">1+IF($G$7=$E$7,$F$7,IF(Q194&lt;($F$7-$E$7)/($G$7-$E$7),$E$7+SQRT(Q194*($G$7-$E$7)*($F$7-$E$7)),$G$7-SQRT((1-Q194)*($G$7-$E$7)*($G$7-$F$7))))</f>
        <v>0.798809170446576</v>
      </c>
      <c r="D194" s="51" t="n">
        <f aca="false">1+IF($G$8=$E$8,$F$8,IF(R194&lt;($F$8-$E$8)/($G$8-$E$8),$E$8+SQRT(R194*($G$8-$E$8)*($F$8-$E$8)),$G$8-SQRT((1-R194)*($G$8-$E$8)*($G$8-$F$8))))</f>
        <v>1.03757613562192</v>
      </c>
      <c r="E194" s="51" t="n">
        <f aca="false">1+IF($G$9=$E$9,$F$9,IF(S194&lt;($F$9-$E$9)/($G$9-$E$9),$E$9+SQRT(S194*($G$9-$E$9)*($F$9-$E$9)),$G$9-SQRT((1-S194)*($G$9-$E$9)*($G$9-$F$9))))</f>
        <v>1.04905386147769</v>
      </c>
      <c r="F194" s="51" t="n">
        <f aca="false">1+IF($G$10=$E$10,$F$10,IF(T194&lt;($F$10-$E$10)/($G$10-$E$10),$E$10+SQRT(T194*($G$10-$E$10)*($F$10-$E$10)),$G$10-SQRT((1-T194)*($G$10-$E$10)*($G$10-$F$10))))</f>
        <v>1.18068362073258</v>
      </c>
      <c r="G194" s="52" t="n">
        <f aca="false">IF($G$11=$E$11,$F$11,IF(U194&lt;($F$11-$E$11)/($G$11-$E$11),$E$11+SQRT(U194*($G$11-$E$11)*($F$11-$E$11)),$G$11-SQRT((1-U194)*($G$11-$E$11)*($G$11-$F$11))))</f>
        <v>0.101739054724916</v>
      </c>
      <c r="H194" s="53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-2361367241.46516</v>
      </c>
      <c r="I194" s="53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-89072802.907294</v>
      </c>
      <c r="J194" s="53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129805193.895475</v>
      </c>
      <c r="K194" s="53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407717371.734874</v>
      </c>
      <c r="L194" s="53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507814689.692248</v>
      </c>
      <c r="M194" s="53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657073610.986067</v>
      </c>
      <c r="N194" s="53" t="n">
        <f aca="false">IF(COUNT('Business Case'!B11:G11)=0,"",H194+NPV(G194,I194:M194))</f>
        <v>-1280959566.19031</v>
      </c>
      <c r="P194" s="54" t="n">
        <f aca="true">RAND()</f>
        <v>0.459449930353066</v>
      </c>
      <c r="Q194" s="54" t="n">
        <f aca="true">RAND()</f>
        <v>0.0723203864025219</v>
      </c>
      <c r="R194" s="54" t="n">
        <f aca="true">RAND()</f>
        <v>0.740217410407161</v>
      </c>
      <c r="S194" s="54" t="n">
        <f aca="true">RAND()</f>
        <v>0.728263389798247</v>
      </c>
      <c r="T194" s="54" t="n">
        <f aca="true">RAND()</f>
        <v>0.935936527536737</v>
      </c>
      <c r="U194" s="54" t="n">
        <f aca="true">RAND()</f>
        <v>0.467545981439155</v>
      </c>
    </row>
    <row r="195" customFormat="false" ht="15" hidden="false" customHeight="false" outlineLevel="0" collapsed="false">
      <c r="A195" s="50" t="n">
        <v>115</v>
      </c>
      <c r="B195" s="51" t="n">
        <f aca="false">1+IF($G$6=$E$6,$F$6,IF(P195&lt;($F$6-$E$6)/($G$6-$E$6),$E$6+SQRT(P195*($G$6-$E$6)*($F$6-$E$6)),$G$6-SQRT((1-P195)*($G$6-$E$6)*($G$6-$F$6))))</f>
        <v>0.969390302251559</v>
      </c>
      <c r="C195" s="51" t="n">
        <f aca="false">1+IF($G$7=$E$7,$F$7,IF(Q195&lt;($F$7-$E$7)/($G$7-$E$7),$E$7+SQRT(Q195*($G$7-$E$7)*($F$7-$E$7)),$G$7-SQRT((1-Q195)*($G$7-$E$7)*($G$7-$F$7))))</f>
        <v>0.753453024189679</v>
      </c>
      <c r="D195" s="51" t="n">
        <f aca="false">1+IF($G$8=$E$8,$F$8,IF(R195&lt;($F$8-$E$8)/($G$8-$E$8),$E$8+SQRT(R195*($G$8-$E$8)*($F$8-$E$8)),$G$8-SQRT((1-R195)*($G$8-$E$8)*($G$8-$F$8))))</f>
        <v>0.99790063640459</v>
      </c>
      <c r="E195" s="51" t="n">
        <f aca="false">1+IF($G$9=$E$9,$F$9,IF(S195&lt;($F$9-$E$9)/($G$9-$E$9),$E$9+SQRT(S195*($G$9-$E$9)*($F$9-$E$9)),$G$9-SQRT((1-S195)*($G$9-$E$9)*($G$9-$F$9))))</f>
        <v>1.02285379034096</v>
      </c>
      <c r="F195" s="51" t="n">
        <f aca="false">1+IF($G$10=$E$10,$F$10,IF(T195&lt;($F$10-$E$10)/($G$10-$E$10),$E$10+SQRT(T195*($G$10-$E$10)*($F$10-$E$10)),$G$10-SQRT((1-T195)*($G$10-$E$10)*($G$10-$F$10))))</f>
        <v>1.03723219319988</v>
      </c>
      <c r="G195" s="52" t="n">
        <f aca="false">IF($G$11=$E$11,$F$11,IF(U195&lt;($F$11-$E$11)/($G$11-$E$11),$E$11+SQRT(U195*($G$11-$E$11)*($F$11-$E$11)),$G$11-SQRT((1-U195)*($G$11-$E$11)*($G$11-$F$11))))</f>
        <v>0.0926290646444254</v>
      </c>
      <c r="H195" s="53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-2074464386.39975</v>
      </c>
      <c r="I195" s="53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-73692337.2403937</v>
      </c>
      <c r="J195" s="53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139651774.26919</v>
      </c>
      <c r="K195" s="53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404857495.438768</v>
      </c>
      <c r="L195" s="53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501214479.570966</v>
      </c>
      <c r="M195" s="53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640047021.197155</v>
      </c>
      <c r="N195" s="53" t="n">
        <f aca="false">IF(COUNT('Business Case'!B11:G11)=0,"",H195+NPV(G195,I195:M195))</f>
        <v>-951885443.75213</v>
      </c>
      <c r="P195" s="54" t="n">
        <f aca="true">RAND()</f>
        <v>0.321000936437512</v>
      </c>
      <c r="Q195" s="54" t="n">
        <f aca="true">RAND()</f>
        <v>0.0211646355186842</v>
      </c>
      <c r="R195" s="54" t="n">
        <f aca="true">RAND()</f>
        <v>0.305929462395295</v>
      </c>
      <c r="S195" s="54" t="n">
        <f aca="true">RAND()</f>
        <v>0.568902436515688</v>
      </c>
      <c r="T195" s="54" t="n">
        <f aca="true">RAND()</f>
        <v>0.396398138526201</v>
      </c>
      <c r="U195" s="54" t="n">
        <f aca="true">RAND()</f>
        <v>0.159493273793077</v>
      </c>
    </row>
    <row r="196" customFormat="false" ht="15" hidden="false" customHeight="false" outlineLevel="0" collapsed="false">
      <c r="A196" s="50" t="n">
        <v>116</v>
      </c>
      <c r="B196" s="51" t="n">
        <f aca="false">1+IF($G$6=$E$6,$F$6,IF(P196&lt;($F$6-$E$6)/($G$6-$E$6),$E$6+SQRT(P196*($G$6-$E$6)*($F$6-$E$6)),$G$6-SQRT((1-P196)*($G$6-$E$6)*($G$6-$F$6))))</f>
        <v>0.98566091860324</v>
      </c>
      <c r="C196" s="51" t="n">
        <f aca="false">1+IF($G$7=$E$7,$F$7,IF(Q196&lt;($F$7-$E$7)/($G$7-$E$7),$E$7+SQRT(Q196*($G$7-$E$7)*($F$7-$E$7)),$G$7-SQRT((1-Q196)*($G$7-$E$7)*($G$7-$F$7))))</f>
        <v>0.938371171593817</v>
      </c>
      <c r="D196" s="51" t="n">
        <f aca="false">1+IF($G$8=$E$8,$F$8,IF(R196&lt;($F$8-$E$8)/($G$8-$E$8),$E$8+SQRT(R196*($G$8-$E$8)*($F$8-$E$8)),$G$8-SQRT((1-R196)*($G$8-$E$8)*($G$8-$F$8))))</f>
        <v>1.01251607032217</v>
      </c>
      <c r="E196" s="51" t="n">
        <f aca="false">1+IF($G$9=$E$9,$F$9,IF(S196&lt;($F$9-$E$9)/($G$9-$E$9),$E$9+SQRT(S196*($G$9-$E$9)*($F$9-$E$9)),$G$9-SQRT((1-S196)*($G$9-$E$9)*($G$9-$F$9))))</f>
        <v>1.07209548818212</v>
      </c>
      <c r="F196" s="51" t="n">
        <f aca="false">1+IF($G$10=$E$10,$F$10,IF(T196&lt;($F$10-$E$10)/($G$10-$E$10),$E$10+SQRT(T196*($G$10-$E$10)*($F$10-$E$10)),$G$10-SQRT((1-T196)*($G$10-$E$10)*($G$10-$F$10))))</f>
        <v>1.10326170384269</v>
      </c>
      <c r="G196" s="52" t="n">
        <f aca="false">IF($G$11=$E$11,$F$11,IF(U196&lt;($F$11-$E$11)/($G$11-$E$11),$E$11+SQRT(U196*($G$11-$E$11)*($F$11-$E$11)),$G$11-SQRT((1-U196)*($G$11-$E$11)*($G$11-$F$11))))</f>
        <v>0.0947476638564598</v>
      </c>
      <c r="H196" s="53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-2206523407.68539</v>
      </c>
      <c r="I196" s="53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-39536483.661148</v>
      </c>
      <c r="J196" s="53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231652816.08608</v>
      </c>
      <c r="K196" s="53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558005201.025443</v>
      </c>
      <c r="L196" s="53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680366724.010925</v>
      </c>
      <c r="M196" s="53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856174717.561156</v>
      </c>
      <c r="N196" s="53" t="n">
        <f aca="false">IF(COUNT('Business Case'!B11:G11)=0,"",H196+NPV(G196,I196:M196))</f>
        <v>-605872242.614917</v>
      </c>
      <c r="P196" s="54" t="n">
        <f aca="true">RAND()</f>
        <v>0.489186198396728</v>
      </c>
      <c r="Q196" s="54" t="n">
        <f aca="true">RAND()</f>
        <v>0.420894929237105</v>
      </c>
      <c r="R196" s="54" t="n">
        <f aca="true">RAND()</f>
        <v>0.489770803208273</v>
      </c>
      <c r="S196" s="54" t="n">
        <f aca="true">RAND()</f>
        <v>0.83815698769116</v>
      </c>
      <c r="T196" s="54" t="n">
        <f aca="true">RAND()</f>
        <v>0.712904965878013</v>
      </c>
      <c r="U196" s="54" t="n">
        <f aca="true">RAND()</f>
        <v>0.21749358922313</v>
      </c>
    </row>
    <row r="197" customFormat="false" ht="15" hidden="false" customHeight="false" outlineLevel="0" collapsed="false">
      <c r="A197" s="50" t="n">
        <v>117</v>
      </c>
      <c r="B197" s="51" t="n">
        <f aca="false">1+IF($G$6=$E$6,$F$6,IF(P197&lt;($F$6-$E$6)/($G$6-$E$6),$E$6+SQRT(P197*($G$6-$E$6)*($F$6-$E$6)),$G$6-SQRT((1-P197)*($G$6-$E$6)*($G$6-$F$6))))</f>
        <v>0.992276383385659</v>
      </c>
      <c r="C197" s="51" t="n">
        <f aca="false">1+IF($G$7=$E$7,$F$7,IF(Q197&lt;($F$7-$E$7)/($G$7-$E$7),$E$7+SQRT(Q197*($G$7-$E$7)*($F$7-$E$7)),$G$7-SQRT((1-Q197)*($G$7-$E$7)*($G$7-$F$7))))</f>
        <v>0.752881347175101</v>
      </c>
      <c r="D197" s="51" t="n">
        <f aca="false">1+IF($G$8=$E$8,$F$8,IF(R197&lt;($F$8-$E$8)/($G$8-$E$8),$E$8+SQRT(R197*($G$8-$E$8)*($F$8-$E$8)),$G$8-SQRT((1-R197)*($G$8-$E$8)*($G$8-$F$8))))</f>
        <v>0.996861094709705</v>
      </c>
      <c r="E197" s="51" t="n">
        <f aca="false">1+IF($G$9=$E$9,$F$9,IF(S197&lt;($F$9-$E$9)/($G$9-$E$9),$E$9+SQRT(S197*($G$9-$E$9)*($F$9-$E$9)),$G$9-SQRT((1-S197)*($G$9-$E$9)*($G$9-$F$9))))</f>
        <v>1.03959667391111</v>
      </c>
      <c r="F197" s="51" t="n">
        <f aca="false">1+IF($G$10=$E$10,$F$10,IF(T197&lt;($F$10-$E$10)/($G$10-$E$10),$E$10+SQRT(T197*($G$10-$E$10)*($F$10-$E$10)),$G$10-SQRT((1-T197)*($G$10-$E$10)*($G$10-$F$10))))</f>
        <v>1.02848073232282</v>
      </c>
      <c r="G197" s="52" t="n">
        <f aca="false">IF($G$11=$E$11,$F$11,IF(U197&lt;($F$11-$E$11)/($G$11-$E$11),$E$11+SQRT(U197*($G$11-$E$11)*($F$11-$E$11)),$G$11-SQRT((1-U197)*($G$11-$E$11)*($G$11-$F$11))))</f>
        <v>0.0969438375009262</v>
      </c>
      <c r="H197" s="53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-2056961464.64564</v>
      </c>
      <c r="I197" s="53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-61710725.1801597</v>
      </c>
      <c r="J197" s="53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165985191.056534</v>
      </c>
      <c r="K197" s="53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445105143.909369</v>
      </c>
      <c r="L197" s="53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546822396.757875</v>
      </c>
      <c r="M197" s="53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688824774.324051</v>
      </c>
      <c r="N197" s="53" t="n">
        <f aca="false">IF(COUNT('Business Case'!B11:G11)=0,"",H197+NPV(G197,I197:M197))</f>
        <v>-826694058.252538</v>
      </c>
      <c r="P197" s="54" t="n">
        <f aca="true">RAND()</f>
        <v>0.56766206204914</v>
      </c>
      <c r="Q197" s="54" t="n">
        <f aca="true">RAND()</f>
        <v>0.0207143472522485</v>
      </c>
      <c r="R197" s="54" t="n">
        <f aca="true">RAND()</f>
        <v>0.292794959652264</v>
      </c>
      <c r="S197" s="54" t="n">
        <f aca="true">RAND()</f>
        <v>0.674962815693618</v>
      </c>
      <c r="T197" s="54" t="n">
        <f aca="true">RAND()</f>
        <v>0.345722853970215</v>
      </c>
      <c r="U197" s="54" t="n">
        <f aca="true">RAND()</f>
        <v>0.287093629257792</v>
      </c>
    </row>
    <row r="198" customFormat="false" ht="15" hidden="false" customHeight="false" outlineLevel="0" collapsed="false">
      <c r="A198" s="50" t="n">
        <v>118</v>
      </c>
      <c r="B198" s="51" t="n">
        <f aca="false">1+IF($G$6=$E$6,$F$6,IF(P198&lt;($F$6-$E$6)/($G$6-$E$6),$E$6+SQRT(P198*($G$6-$E$6)*($F$6-$E$6)),$G$6-SQRT((1-P198)*($G$6-$E$6)*($G$6-$F$6))))</f>
        <v>0.940106705020641</v>
      </c>
      <c r="C198" s="51" t="n">
        <f aca="false">1+IF($G$7=$E$7,$F$7,IF(Q198&lt;($F$7-$E$7)/($G$7-$E$7),$E$7+SQRT(Q198*($G$7-$E$7)*($F$7-$E$7)),$G$7-SQRT((1-Q198)*($G$7-$E$7)*($G$7-$F$7))))</f>
        <v>0.933555784713785</v>
      </c>
      <c r="D198" s="51" t="n">
        <f aca="false">1+IF($G$8=$E$8,$F$8,IF(R198&lt;($F$8-$E$8)/($G$8-$E$8),$E$8+SQRT(R198*($G$8-$E$8)*($F$8-$E$8)),$G$8-SQRT((1-R198)*($G$8-$E$8)*($G$8-$F$8))))</f>
        <v>1.013199490367</v>
      </c>
      <c r="E198" s="51" t="n">
        <f aca="false">1+IF($G$9=$E$9,$F$9,IF(S198&lt;($F$9-$E$9)/($G$9-$E$9),$E$9+SQRT(S198*($G$9-$E$9)*($F$9-$E$9)),$G$9-SQRT((1-S198)*($G$9-$E$9)*($G$9-$F$9))))</f>
        <v>1.08651178413743</v>
      </c>
      <c r="F198" s="51" t="n">
        <f aca="false">1+IF($G$10=$E$10,$F$10,IF(T198&lt;($F$10-$E$10)/($G$10-$E$10),$E$10+SQRT(T198*($G$10-$E$10)*($F$10-$E$10)),$G$10-SQRT((1-T198)*($G$10-$E$10)*($G$10-$F$10))))</f>
        <v>1.00410233851741</v>
      </c>
      <c r="G198" s="52" t="n">
        <f aca="false">IF($G$11=$E$11,$F$11,IF(U198&lt;($F$11-$E$11)/($G$11-$E$11),$E$11+SQRT(U198*($G$11-$E$11)*($F$11-$E$11)),$G$11-SQRT((1-U198)*($G$11-$E$11)*($G$11-$F$11))))</f>
        <v>0.114815543192545</v>
      </c>
      <c r="H198" s="53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-2008204677.03482</v>
      </c>
      <c r="I198" s="53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-65771133.4980078</v>
      </c>
      <c r="J198" s="53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168866906.573085</v>
      </c>
      <c r="K198" s="53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453710063.570048</v>
      </c>
      <c r="L198" s="53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562254052.935756</v>
      </c>
      <c r="M198" s="53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729076254.316819</v>
      </c>
      <c r="N198" s="53" t="n">
        <f aca="false">IF(COUNT('Business Case'!B11:G11)=0,"",H198+NPV(G198,I198:M198))</f>
        <v>-816436050.610293</v>
      </c>
      <c r="P198" s="54" t="n">
        <f aca="true">RAND()</f>
        <v>0.107236519174183</v>
      </c>
      <c r="Q198" s="54" t="n">
        <f aca="true">RAND()</f>
        <v>0.40406151535757</v>
      </c>
      <c r="R198" s="54" t="n">
        <f aca="true">RAND()</f>
        <v>0.497711435163451</v>
      </c>
      <c r="S198" s="54" t="n">
        <f aca="true">RAND()</f>
        <v>0.892513238575663</v>
      </c>
      <c r="T198" s="54" t="n">
        <f aca="true">RAND()</f>
        <v>0.193791201031915</v>
      </c>
      <c r="U198" s="54" t="n">
        <f aca="true">RAND()</f>
        <v>0.84628818097502</v>
      </c>
    </row>
    <row r="199" customFormat="false" ht="15" hidden="false" customHeight="false" outlineLevel="0" collapsed="false">
      <c r="A199" s="50" t="n">
        <v>119</v>
      </c>
      <c r="B199" s="51" t="n">
        <f aca="false">1+IF($G$6=$E$6,$F$6,IF(P199&lt;($F$6-$E$6)/($G$6-$E$6),$E$6+SQRT(P199*($G$6-$E$6)*($F$6-$E$6)),$G$6-SQRT((1-P199)*($G$6-$E$6)*($G$6-$F$6))))</f>
        <v>1.0413090502657</v>
      </c>
      <c r="C199" s="51" t="n">
        <f aca="false">1+IF($G$7=$E$7,$F$7,IF(Q199&lt;($F$7-$E$7)/($G$7-$E$7),$E$7+SQRT(Q199*($G$7-$E$7)*($F$7-$E$7)),$G$7-SQRT((1-Q199)*($G$7-$E$7)*($G$7-$F$7))))</f>
        <v>0.953113086510607</v>
      </c>
      <c r="D199" s="51" t="n">
        <f aca="false">1+IF($G$8=$E$8,$F$8,IF(R199&lt;($F$8-$E$8)/($G$8-$E$8),$E$8+SQRT(R199*($G$8-$E$8)*($F$8-$E$8)),$G$8-SQRT((1-R199)*($G$8-$E$8)*($G$8-$F$8))))</f>
        <v>1.04245531120448</v>
      </c>
      <c r="E199" s="51" t="n">
        <f aca="false">1+IF($G$9=$E$9,$F$9,IF(S199&lt;($F$9-$E$9)/($G$9-$E$9),$E$9+SQRT(S199*($G$9-$E$9)*($F$9-$E$9)),$G$9-SQRT((1-S199)*($G$9-$E$9)*($G$9-$F$9))))</f>
        <v>0.95326910006094</v>
      </c>
      <c r="F199" s="51" t="n">
        <f aca="false">1+IF($G$10=$E$10,$F$10,IF(T199&lt;($F$10-$E$10)/($G$10-$E$10),$E$10+SQRT(T199*($G$10-$E$10)*($F$10-$E$10)),$G$10-SQRT((1-T199)*($G$10-$E$10)*($G$10-$F$10))))</f>
        <v>1.08700819236595</v>
      </c>
      <c r="G199" s="52" t="n">
        <f aca="false">IF($G$11=$E$11,$F$11,IF(U199&lt;($F$11-$E$11)/($G$11-$E$11),$E$11+SQRT(U199*($G$11-$E$11)*($F$11-$E$11)),$G$11-SQRT((1-U199)*($G$11-$E$11)*($G$11-$F$11))))</f>
        <v>0.110411460446472</v>
      </c>
      <c r="H199" s="53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-2174016384.7319</v>
      </c>
      <c r="I199" s="53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8578436.34013781</v>
      </c>
      <c r="J199" s="53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312862995.0116</v>
      </c>
      <c r="K199" s="53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671497963.301359</v>
      </c>
      <c r="L199" s="53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807226440.902555</v>
      </c>
      <c r="M199" s="53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995878043.478121</v>
      </c>
      <c r="N199" s="53" t="n">
        <f aca="false">IF(COUNT('Business Case'!B11:G11)=0,"",H199+NPV(G199,I199:M199))</f>
        <v>-301236204.572244</v>
      </c>
      <c r="P199" s="54" t="n">
        <f aca="true">RAND()</f>
        <v>0.989928985695458</v>
      </c>
      <c r="Q199" s="54" t="n">
        <f aca="true">RAND()</f>
        <v>0.474564700466119</v>
      </c>
      <c r="R199" s="54" t="n">
        <f aca="true">RAND()</f>
        <v>0.779240586095127</v>
      </c>
      <c r="S199" s="54" t="n">
        <f aca="true">RAND()</f>
        <v>0.113503880852098</v>
      </c>
      <c r="T199" s="54" t="n">
        <f aca="true">RAND()</f>
        <v>0.645782275255795</v>
      </c>
      <c r="U199" s="54" t="n">
        <f aca="true">RAND()</f>
        <v>0.744192745439915</v>
      </c>
    </row>
    <row r="200" customFormat="false" ht="15" hidden="false" customHeight="false" outlineLevel="0" collapsed="false">
      <c r="A200" s="50" t="n">
        <v>120</v>
      </c>
      <c r="B200" s="51" t="n">
        <f aca="false">1+IF($G$6=$E$6,$F$6,IF(P200&lt;($F$6-$E$6)/($G$6-$E$6),$E$6+SQRT(P200*($G$6-$E$6)*($F$6-$E$6)),$G$6-SQRT((1-P200)*($G$6-$E$6)*($G$6-$F$6))))</f>
        <v>1.02257403075342</v>
      </c>
      <c r="C200" s="51" t="n">
        <f aca="false">1+IF($G$7=$E$7,$F$7,IF(Q200&lt;($F$7-$E$7)/($G$7-$E$7),$E$7+SQRT(Q200*($G$7-$E$7)*($F$7-$E$7)),$G$7-SQRT((1-Q200)*($G$7-$E$7)*($G$7-$F$7))))</f>
        <v>0.906731811998156</v>
      </c>
      <c r="D200" s="51" t="n">
        <f aca="false">1+IF($G$8=$E$8,$F$8,IF(R200&lt;($F$8-$E$8)/($G$8-$E$8),$E$8+SQRT(R200*($G$8-$E$8)*($F$8-$E$8)),$G$8-SQRT((1-R200)*($G$8-$E$8)*($G$8-$F$8))))</f>
        <v>0.973368874830612</v>
      </c>
      <c r="E200" s="51" t="n">
        <f aca="false">1+IF($G$9=$E$9,$F$9,IF(S200&lt;($F$9-$E$9)/($G$9-$E$9),$E$9+SQRT(S200*($G$9-$E$9)*($F$9-$E$9)),$G$9-SQRT((1-S200)*($G$9-$E$9)*($G$9-$F$9))))</f>
        <v>0.980313301002409</v>
      </c>
      <c r="F200" s="51" t="n">
        <f aca="false">1+IF($G$10=$E$10,$F$10,IF(T200&lt;($F$10-$E$10)/($G$10-$E$10),$E$10+SQRT(T200*($G$10-$E$10)*($F$10-$E$10)),$G$10-SQRT((1-T200)*($G$10-$E$10)*($G$10-$F$10))))</f>
        <v>1.03223642805601</v>
      </c>
      <c r="G200" s="52" t="n">
        <f aca="false">IF($G$11=$E$11,$F$11,IF(U200&lt;($F$11-$E$11)/($G$11-$E$11),$E$11+SQRT(U200*($G$11-$E$11)*($F$11-$E$11)),$G$11-SQRT((1-U200)*($G$11-$E$11)*($G$11-$F$11))))</f>
        <v>0.103350987438265</v>
      </c>
      <c r="H200" s="53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-2064472856.11203</v>
      </c>
      <c r="I200" s="53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16940956.6753392</v>
      </c>
      <c r="J200" s="53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324572176.492193</v>
      </c>
      <c r="K200" s="53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683815217.711848</v>
      </c>
      <c r="L200" s="53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818403003.60638</v>
      </c>
      <c r="M200" s="53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994645256.362074</v>
      </c>
      <c r="N200" s="53" t="n">
        <f aca="false">IF(COUNT('Business Case'!B11:G11)=0,"",H200+NPV(G200,I200:M200))</f>
        <v>-112915347.842386</v>
      </c>
      <c r="P200" s="54" t="n">
        <f aca="true">RAND()</f>
        <v>0.899708828118116</v>
      </c>
      <c r="Q200" s="54" t="n">
        <f aca="true">RAND()</f>
        <v>0.316578089570673</v>
      </c>
      <c r="R200" s="54" t="n">
        <f aca="true">RAND()</f>
        <v>0.0728139081131735</v>
      </c>
      <c r="S200" s="54" t="n">
        <f aca="true">RAND()</f>
        <v>0.258009052716139</v>
      </c>
      <c r="T200" s="54" t="n">
        <f aca="true">RAND()</f>
        <v>0.367720356455951</v>
      </c>
      <c r="U200" s="54" t="n">
        <f aca="true">RAND()</f>
        <v>0.526553419656324</v>
      </c>
    </row>
    <row r="201" customFormat="false" ht="15" hidden="false" customHeight="false" outlineLevel="0" collapsed="false">
      <c r="A201" s="50" t="n">
        <v>121</v>
      </c>
      <c r="B201" s="51" t="n">
        <f aca="false">1+IF($G$6=$E$6,$F$6,IF(P201&lt;($F$6-$E$6)/($G$6-$E$6),$E$6+SQRT(P201*($G$6-$E$6)*($F$6-$E$6)),$G$6-SQRT((1-P201)*($G$6-$E$6)*($G$6-$F$6))))</f>
        <v>1.01445606273559</v>
      </c>
      <c r="C201" s="51" t="n">
        <f aca="false">1+IF($G$7=$E$7,$F$7,IF(Q201&lt;($F$7-$E$7)/($G$7-$E$7),$E$7+SQRT(Q201*($G$7-$E$7)*($F$7-$E$7)),$G$7-SQRT((1-Q201)*($G$7-$E$7)*($G$7-$F$7))))</f>
        <v>0.954696117621177</v>
      </c>
      <c r="D201" s="51" t="n">
        <f aca="false">1+IF($G$8=$E$8,$F$8,IF(R201&lt;($F$8-$E$8)/($G$8-$E$8),$E$8+SQRT(R201*($G$8-$E$8)*($F$8-$E$8)),$G$8-SQRT((1-R201)*($G$8-$E$8)*($G$8-$F$8))))</f>
        <v>1.01471072133588</v>
      </c>
      <c r="E201" s="51" t="n">
        <f aca="false">1+IF($G$9=$E$9,$F$9,IF(S201&lt;($F$9-$E$9)/($G$9-$E$9),$E$9+SQRT(S201*($G$9-$E$9)*($F$9-$E$9)),$G$9-SQRT((1-S201)*($G$9-$E$9)*($G$9-$F$9))))</f>
        <v>0.990504709509754</v>
      </c>
      <c r="F201" s="51" t="n">
        <f aca="false">1+IF($G$10=$E$10,$F$10,IF(T201&lt;($F$10-$E$10)/($G$10-$E$10),$E$10+SQRT(T201*($G$10-$E$10)*($F$10-$E$10)),$G$10-SQRT((1-T201)*($G$10-$E$10)*($G$10-$F$10))))</f>
        <v>1.03632573233781</v>
      </c>
      <c r="G201" s="52" t="n">
        <f aca="false">IF($G$11=$E$11,$F$11,IF(U201&lt;($F$11-$E$11)/($G$11-$E$11),$E$11+SQRT(U201*($G$11-$E$11)*($F$11-$E$11)),$G$11-SQRT((1-U201)*($G$11-$E$11)*($G$11-$F$11))))</f>
        <v>0.119069532883299</v>
      </c>
      <c r="H201" s="53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-2072651464.67562</v>
      </c>
      <c r="I201" s="53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2662171.89346559</v>
      </c>
      <c r="J201" s="53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300013584.909393</v>
      </c>
      <c r="K201" s="53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649181284.542212</v>
      </c>
      <c r="L201" s="53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781769687.678451</v>
      </c>
      <c r="M201" s="53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965861647.731896</v>
      </c>
      <c r="N201" s="53" t="n">
        <f aca="false">IF(COUNT('Business Case'!B11:G11)=0,"",H201+NPV(G201,I201:M201))</f>
        <v>-318656408.608887</v>
      </c>
      <c r="P201" s="54" t="n">
        <f aca="true">RAND()</f>
        <v>0.831550469832502</v>
      </c>
      <c r="Q201" s="54" t="n">
        <f aca="true">RAND()</f>
        <v>0.480519350602224</v>
      </c>
      <c r="R201" s="54" t="n">
        <f aca="true">RAND()</f>
        <v>0.51504926299697</v>
      </c>
      <c r="S201" s="54" t="n">
        <f aca="true">RAND()</f>
        <v>0.327644097737801</v>
      </c>
      <c r="T201" s="54" t="n">
        <f aca="true">RAND()</f>
        <v>0.391244097853694</v>
      </c>
      <c r="U201" s="54" t="n">
        <f aca="true">RAND()</f>
        <v>0.920349925740477</v>
      </c>
    </row>
    <row r="202" customFormat="false" ht="15" hidden="false" customHeight="false" outlineLevel="0" collapsed="false">
      <c r="A202" s="50" t="n">
        <v>122</v>
      </c>
      <c r="B202" s="51" t="n">
        <f aca="false">1+IF($G$6=$E$6,$F$6,IF(P202&lt;($F$6-$E$6)/($G$6-$E$6),$E$6+SQRT(P202*($G$6-$E$6)*($F$6-$E$6)),$G$6-SQRT((1-P202)*($G$6-$E$6)*($G$6-$F$6))))</f>
        <v>1.01772521997392</v>
      </c>
      <c r="C202" s="51" t="n">
        <f aca="false">1+IF($G$7=$E$7,$F$7,IF(Q202&lt;($F$7-$E$7)/($G$7-$E$7),$E$7+SQRT(Q202*($G$7-$E$7)*($F$7-$E$7)),$G$7-SQRT((1-Q202)*($G$7-$E$7)*($G$7-$F$7))))</f>
        <v>0.911342076942619</v>
      </c>
      <c r="D202" s="51" t="n">
        <f aca="false">1+IF($G$8=$E$8,$F$8,IF(R202&lt;($F$8-$E$8)/($G$8-$E$8),$E$8+SQRT(R202*($G$8-$E$8)*($F$8-$E$8)),$G$8-SQRT((1-R202)*($G$8-$E$8)*($G$8-$F$8))))</f>
        <v>0.983727359774892</v>
      </c>
      <c r="E202" s="51" t="n">
        <f aca="false">1+IF($G$9=$E$9,$F$9,IF(S202&lt;($F$9-$E$9)/($G$9-$E$9),$E$9+SQRT(S202*($G$9-$E$9)*($F$9-$E$9)),$G$9-SQRT((1-S202)*($G$9-$E$9)*($G$9-$F$9))))</f>
        <v>1.03662021354772</v>
      </c>
      <c r="F202" s="51" t="n">
        <f aca="false">1+IF($G$10=$E$10,$F$10,IF(T202&lt;($F$10-$E$10)/($G$10-$E$10),$E$10+SQRT(T202*($G$10-$E$10)*($F$10-$E$10)),$G$10-SQRT((1-T202)*($G$10-$E$10)*($G$10-$F$10))))</f>
        <v>1.13177694658044</v>
      </c>
      <c r="G202" s="52" t="n">
        <f aca="false">IF($G$11=$E$11,$F$11,IF(U202&lt;($F$11-$E$11)/($G$11-$E$11),$E$11+SQRT(U202*($G$11-$E$11)*($F$11-$E$11)),$G$11-SQRT((1-U202)*($G$11-$E$11)*($G$11-$F$11))))</f>
        <v>0.114923980799982</v>
      </c>
      <c r="H202" s="53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-2263553893.16089</v>
      </c>
      <c r="I202" s="53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-7923111.58484529</v>
      </c>
      <c r="J202" s="53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292820248.942175</v>
      </c>
      <c r="K202" s="53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650152456.798218</v>
      </c>
      <c r="L202" s="53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782454499.032115</v>
      </c>
      <c r="M202" s="53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958752903.685678</v>
      </c>
      <c r="N202" s="53" t="n">
        <f aca="false">IF(COUNT('Business Case'!B11:G11)=0,"",H202+NPV(G202,I202:M202))</f>
        <v>-503078971.804405</v>
      </c>
      <c r="P202" s="54" t="n">
        <f aca="true">RAND()</f>
        <v>0.86111180990246</v>
      </c>
      <c r="Q202" s="54" t="n">
        <f aca="true">RAND()</f>
        <v>0.330855359158667</v>
      </c>
      <c r="R202" s="54" t="n">
        <f aca="true">RAND()</f>
        <v>0.151671306318004</v>
      </c>
      <c r="S202" s="54" t="n">
        <f aca="true">RAND()</f>
        <v>0.657200640640949</v>
      </c>
      <c r="T202" s="54" t="n">
        <f aca="true">RAND()</f>
        <v>0.813644128535422</v>
      </c>
      <c r="U202" s="54" t="n">
        <f aca="true">RAND()</f>
        <v>0.848475763387116</v>
      </c>
    </row>
    <row r="203" customFormat="false" ht="15" hidden="false" customHeight="false" outlineLevel="0" collapsed="false">
      <c r="A203" s="50" t="n">
        <v>123</v>
      </c>
      <c r="B203" s="51" t="n">
        <f aca="false">1+IF($G$6=$E$6,$F$6,IF(P203&lt;($F$6-$E$6)/($G$6-$E$6),$E$6+SQRT(P203*($G$6-$E$6)*($F$6-$E$6)),$G$6-SQRT((1-P203)*($G$6-$E$6)*($G$6-$F$6))))</f>
        <v>0.954082807984976</v>
      </c>
      <c r="C203" s="51" t="n">
        <f aca="false">1+IF($G$7=$E$7,$F$7,IF(Q203&lt;($F$7-$E$7)/($G$7-$E$7),$E$7+SQRT(Q203*($G$7-$E$7)*($F$7-$E$7)),$G$7-SQRT((1-Q203)*($G$7-$E$7)*($G$7-$F$7))))</f>
        <v>0.830953032421285</v>
      </c>
      <c r="D203" s="51" t="n">
        <f aca="false">1+IF($G$8=$E$8,$F$8,IF(R203&lt;($F$8-$E$8)/($G$8-$E$8),$E$8+SQRT(R203*($G$8-$E$8)*($F$8-$E$8)),$G$8-SQRT((1-R203)*($G$8-$E$8)*($G$8-$F$8))))</f>
        <v>1.03283052744961</v>
      </c>
      <c r="E203" s="51" t="n">
        <f aca="false">1+IF($G$9=$E$9,$F$9,IF(S203&lt;($F$9-$E$9)/($G$9-$E$9),$E$9+SQRT(S203*($G$9-$E$9)*($F$9-$E$9)),$G$9-SQRT((1-S203)*($G$9-$E$9)*($G$9-$F$9))))</f>
        <v>0.968582697324967</v>
      </c>
      <c r="F203" s="51" t="n">
        <f aca="false">1+IF($G$10=$E$10,$F$10,IF(T203&lt;($F$10-$E$10)/($G$10-$E$10),$E$10+SQRT(T203*($G$10-$E$10)*($F$10-$E$10)),$G$10-SQRT((1-T203)*($G$10-$E$10)*($G$10-$F$10))))</f>
        <v>1.09693590444991</v>
      </c>
      <c r="G203" s="52" t="n">
        <f aca="false">IF($G$11=$E$11,$F$11,IF(U203&lt;($F$11-$E$11)/($G$11-$E$11),$E$11+SQRT(U203*($G$11-$E$11)*($F$11-$E$11)),$G$11-SQRT((1-U203)*($G$11-$E$11)*($G$11-$F$11))))</f>
        <v>0.113309374912033</v>
      </c>
      <c r="H203" s="53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-2193871808.89982</v>
      </c>
      <c r="I203" s="53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-78513027.562036</v>
      </c>
      <c r="J203" s="53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131498643.328892</v>
      </c>
      <c r="K203" s="53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396357109.442316</v>
      </c>
      <c r="L203" s="53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493760098.704867</v>
      </c>
      <c r="M203" s="53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644455143.01553</v>
      </c>
      <c r="N203" s="53" t="n">
        <f aca="false">IF(COUNT('Business Case'!B11:G11)=0,"",H203+NPV(G203,I203:M203))</f>
        <v>-1172857135.53732</v>
      </c>
      <c r="P203" s="54" t="n">
        <f aca="true">RAND()</f>
        <v>0.194996674635982</v>
      </c>
      <c r="Q203" s="54" t="n">
        <f aca="true">RAND()</f>
        <v>0.127027382965409</v>
      </c>
      <c r="R203" s="54" t="n">
        <f aca="true">RAND()</f>
        <v>0.699217463820137</v>
      </c>
      <c r="S203" s="54" t="n">
        <f aca="true">RAND()</f>
        <v>0.188143454894724</v>
      </c>
      <c r="T203" s="54" t="n">
        <f aca="true">RAND()</f>
        <v>0.687618435379107</v>
      </c>
      <c r="U203" s="54" t="n">
        <f aca="true">RAND()</f>
        <v>0.814282022781943</v>
      </c>
    </row>
    <row r="204" customFormat="false" ht="15" hidden="false" customHeight="false" outlineLevel="0" collapsed="false">
      <c r="A204" s="50" t="n">
        <v>124</v>
      </c>
      <c r="B204" s="51" t="n">
        <f aca="false">1+IF($G$6=$E$6,$F$6,IF(P204&lt;($F$6-$E$6)/($G$6-$E$6),$E$6+SQRT(P204*($G$6-$E$6)*($F$6-$E$6)),$G$6-SQRT((1-P204)*($G$6-$E$6)*($G$6-$F$6))))</f>
        <v>0.986600701332693</v>
      </c>
      <c r="C204" s="51" t="n">
        <f aca="false">1+IF($G$7=$E$7,$F$7,IF(Q204&lt;($F$7-$E$7)/($G$7-$E$7),$E$7+SQRT(Q204*($G$7-$E$7)*($F$7-$E$7)),$G$7-SQRT((1-Q204)*($G$7-$E$7)*($G$7-$F$7))))</f>
        <v>0.879626414386561</v>
      </c>
      <c r="D204" s="51" t="n">
        <f aca="false">1+IF($G$8=$E$8,$F$8,IF(R204&lt;($F$8-$E$8)/($G$8-$E$8),$E$8+SQRT(R204*($G$8-$E$8)*($F$8-$E$8)),$G$8-SQRT((1-R204)*($G$8-$E$8)*($G$8-$F$8))))</f>
        <v>1.03351627870161</v>
      </c>
      <c r="E204" s="51" t="n">
        <f aca="false">1+IF($G$9=$E$9,$F$9,IF(S204&lt;($F$9-$E$9)/($G$9-$E$9),$E$9+SQRT(S204*($G$9-$E$9)*($F$9-$E$9)),$G$9-SQRT((1-S204)*($G$9-$E$9)*($G$9-$F$9))))</f>
        <v>1.10380611134256</v>
      </c>
      <c r="F204" s="51" t="n">
        <f aca="false">1+IF($G$10=$E$10,$F$10,IF(T204&lt;($F$10-$E$10)/($G$10-$E$10),$E$10+SQRT(T204*($G$10-$E$10)*($F$10-$E$10)),$G$10-SQRT((1-T204)*($G$10-$E$10)*($G$10-$F$10))))</f>
        <v>1.16100172714169</v>
      </c>
      <c r="G204" s="52" t="n">
        <f aca="false">IF($G$11=$E$11,$F$11,IF(U204&lt;($F$11-$E$11)/($G$11-$E$11),$E$11+SQRT(U204*($G$11-$E$11)*($F$11-$E$11)),$G$11-SQRT((1-U204)*($G$11-$E$11)*($G$11-$F$11))))</f>
        <v>0.125724277324662</v>
      </c>
      <c r="H204" s="53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-2322003454.28339</v>
      </c>
      <c r="I204" s="53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-72617433.4012324</v>
      </c>
      <c r="J204" s="53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172815362.480558</v>
      </c>
      <c r="K204" s="53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476298244.719434</v>
      </c>
      <c r="L204" s="53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588101728.370658</v>
      </c>
      <c r="M204" s="53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753060762.669109</v>
      </c>
      <c r="N204" s="53" t="n">
        <f aca="false">IF(COUNT('Business Case'!B11:G11)=0,"",H204+NPV(G204,I204:M204))</f>
        <v>-1133509053.35439</v>
      </c>
      <c r="P204" s="54" t="n">
        <f aca="true">RAND()</f>
        <v>0.499978764754287</v>
      </c>
      <c r="Q204" s="54" t="n">
        <f aca="true">RAND()</f>
        <v>0.239004805521279</v>
      </c>
      <c r="R204" s="54" t="n">
        <f aca="true">RAND()</f>
        <v>0.705327653487906</v>
      </c>
      <c r="S204" s="54" t="n">
        <f aca="true">RAND()</f>
        <v>0.943096657352119</v>
      </c>
      <c r="T204" s="54" t="n">
        <f aca="true">RAND()</f>
        <v>0.894390765709844</v>
      </c>
      <c r="U204" s="54" t="n">
        <f aca="true">RAND()</f>
        <v>0.987812130402397</v>
      </c>
    </row>
    <row r="205" customFormat="false" ht="15" hidden="false" customHeight="false" outlineLevel="0" collapsed="false">
      <c r="A205" s="50" t="n">
        <v>125</v>
      </c>
      <c r="B205" s="51" t="n">
        <f aca="false">1+IF($G$6=$E$6,$F$6,IF(P205&lt;($F$6-$E$6)/($G$6-$E$6),$E$6+SQRT(P205*($G$6-$E$6)*($F$6-$E$6)),$G$6-SQRT((1-P205)*($G$6-$E$6)*($G$6-$F$6))))</f>
        <v>0.9948178135274</v>
      </c>
      <c r="C205" s="51" t="n">
        <f aca="false">1+IF($G$7=$E$7,$F$7,IF(Q205&lt;($F$7-$E$7)/($G$7-$E$7),$E$7+SQRT(Q205*($G$7-$E$7)*($F$7-$E$7)),$G$7-SQRT((1-Q205)*($G$7-$E$7)*($G$7-$F$7))))</f>
        <v>0.722123036571494</v>
      </c>
      <c r="D205" s="51" t="n">
        <f aca="false">1+IF($G$8=$E$8,$F$8,IF(R205&lt;($F$8-$E$8)/($G$8-$E$8),$E$8+SQRT(R205*($G$8-$E$8)*($F$8-$E$8)),$G$8-SQRT((1-R205)*($G$8-$E$8)*($G$8-$F$8))))</f>
        <v>1.00887059236464</v>
      </c>
      <c r="E205" s="51" t="n">
        <f aca="false">1+IF($G$9=$E$9,$F$9,IF(S205&lt;($F$9-$E$9)/($G$9-$E$9),$E$9+SQRT(S205*($G$9-$E$9)*($F$9-$E$9)),$G$9-SQRT((1-S205)*($G$9-$E$9)*($G$9-$F$9))))</f>
        <v>0.996442693880092</v>
      </c>
      <c r="F205" s="51" t="n">
        <f aca="false">1+IF($G$10=$E$10,$F$10,IF(T205&lt;($F$10-$E$10)/($G$10-$E$10),$E$10+SQRT(T205*($G$10-$E$10)*($F$10-$E$10)),$G$10-SQRT((1-T205)*($G$10-$E$10)*($G$10-$F$10))))</f>
        <v>1.05360124935449</v>
      </c>
      <c r="G205" s="52" t="n">
        <f aca="false">IF($G$11=$E$11,$F$11,IF(U205&lt;($F$11-$E$11)/($G$11-$E$11),$E$11+SQRT(U205*($G$11-$E$11)*($F$11-$E$11)),$G$11-SQRT((1-U205)*($G$11-$E$11)*($G$11-$F$11))))</f>
        <v>0.0896627573732897</v>
      </c>
      <c r="H205" s="53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-2107202498.70899</v>
      </c>
      <c r="I205" s="53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-68837901.6503165</v>
      </c>
      <c r="J205" s="53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146619336.504582</v>
      </c>
      <c r="K205" s="53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414756637.127205</v>
      </c>
      <c r="L205" s="53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511402959.045515</v>
      </c>
      <c r="M205" s="53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647952792.978908</v>
      </c>
      <c r="N205" s="53" t="n">
        <f aca="false">IF(COUNT('Business Case'!B11:G11)=0,"",H205+NPV(G205,I205:M205))</f>
        <v>-941811045.794887</v>
      </c>
      <c r="P205" s="54" t="n">
        <f aca="true">RAND()</f>
        <v>0.599361184141117</v>
      </c>
      <c r="Q205" s="54" t="n">
        <f aca="true">RAND()</f>
        <v>0.00362539812698997</v>
      </c>
      <c r="R205" s="54" t="n">
        <f aca="true">RAND()</f>
        <v>0.446362070935285</v>
      </c>
      <c r="S205" s="54" t="n">
        <f aca="true">RAND()</f>
        <v>0.372047728113965</v>
      </c>
      <c r="T205" s="54" t="n">
        <f aca="true">RAND()</f>
        <v>0.485700409931795</v>
      </c>
      <c r="U205" s="54" t="n">
        <f aca="true">RAND()</f>
        <v>0.0933688800550653</v>
      </c>
    </row>
    <row r="206" customFormat="false" ht="15" hidden="false" customHeight="false" outlineLevel="0" collapsed="false">
      <c r="A206" s="50" t="n">
        <v>126</v>
      </c>
      <c r="B206" s="51" t="n">
        <f aca="false">1+IF($G$6=$E$6,$F$6,IF(P206&lt;($F$6-$E$6)/($G$6-$E$6),$E$6+SQRT(P206*($G$6-$E$6)*($F$6-$E$6)),$G$6-SQRT((1-P206)*($G$6-$E$6)*($G$6-$F$6))))</f>
        <v>0.928148058413265</v>
      </c>
      <c r="C206" s="51" t="n">
        <f aca="false">1+IF($G$7=$E$7,$F$7,IF(Q206&lt;($F$7-$E$7)/($G$7-$E$7),$E$7+SQRT(Q206*($G$7-$E$7)*($F$7-$E$7)),$G$7-SQRT((1-Q206)*($G$7-$E$7)*($G$7-$F$7))))</f>
        <v>0.88814202827857</v>
      </c>
      <c r="D206" s="51" t="n">
        <f aca="false">1+IF($G$8=$E$8,$F$8,IF(R206&lt;($F$8-$E$8)/($G$8-$E$8),$E$8+SQRT(R206*($G$8-$E$8)*($F$8-$E$8)),$G$8-SQRT((1-R206)*($G$8-$E$8)*($G$8-$F$8))))</f>
        <v>0.980286757551736</v>
      </c>
      <c r="E206" s="51" t="n">
        <f aca="false">1+IF($G$9=$E$9,$F$9,IF(S206&lt;($F$9-$E$9)/($G$9-$E$9),$E$9+SQRT(S206*($G$9-$E$9)*($F$9-$E$9)),$G$9-SQRT((1-S206)*($G$9-$E$9)*($G$9-$F$9))))</f>
        <v>1.04773734952053</v>
      </c>
      <c r="F206" s="51" t="n">
        <f aca="false">1+IF($G$10=$E$10,$F$10,IF(T206&lt;($F$10-$E$10)/($G$10-$E$10),$E$10+SQRT(T206*($G$10-$E$10)*($F$10-$E$10)),$G$10-SQRT((1-T206)*($G$10-$E$10)*($G$10-$F$10))))</f>
        <v>1.07333632698931</v>
      </c>
      <c r="G206" s="52" t="n">
        <f aca="false">IF($G$11=$E$11,$F$11,IF(U206&lt;($F$11-$E$11)/($G$11-$E$11),$E$11+SQRT(U206*($G$11-$E$11)*($F$11-$E$11)),$G$11-SQRT((1-U206)*($G$11-$E$11)*($G$11-$F$11))))</f>
        <v>0.107957178094677</v>
      </c>
      <c r="H206" s="53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-2146672653.97861</v>
      </c>
      <c r="I206" s="53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-69566491.718994</v>
      </c>
      <c r="J206" s="53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159922027.550282</v>
      </c>
      <c r="K206" s="53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443077363.169023</v>
      </c>
      <c r="L206" s="53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548062287.717129</v>
      </c>
      <c r="M206" s="53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704750420.738035</v>
      </c>
      <c r="N206" s="53" t="n">
        <f aca="false">IF(COUNT('Business Case'!B11:G11)=0,"",H206+NPV(G206,I206:M206))</f>
        <v>-967615139.786681</v>
      </c>
      <c r="P206" s="54" t="n">
        <f aca="true">RAND()</f>
        <v>0.0528208794957704</v>
      </c>
      <c r="Q206" s="54" t="n">
        <f aca="true">RAND()</f>
        <v>0.262203131887215</v>
      </c>
      <c r="R206" s="54" t="n">
        <f aca="true">RAND()</f>
        <v>0.122305024399687</v>
      </c>
      <c r="S206" s="54" t="n">
        <f aca="true">RAND()</f>
        <v>0.721129341784362</v>
      </c>
      <c r="T206" s="54" t="n">
        <f aca="true">RAND()</f>
        <v>0.583865955178275</v>
      </c>
      <c r="U206" s="54" t="n">
        <f aca="true">RAND()</f>
        <v>0.676076001633471</v>
      </c>
    </row>
    <row r="207" customFormat="false" ht="15" hidden="false" customHeight="false" outlineLevel="0" collapsed="false">
      <c r="A207" s="50" t="n">
        <v>127</v>
      </c>
      <c r="B207" s="51" t="n">
        <f aca="false">1+IF($G$6=$E$6,$F$6,IF(P207&lt;($F$6-$E$6)/($G$6-$E$6),$E$6+SQRT(P207*($G$6-$E$6)*($F$6-$E$6)),$G$6-SQRT((1-P207)*($G$6-$E$6)*($G$6-$F$6))))</f>
        <v>1.01126591733684</v>
      </c>
      <c r="C207" s="51" t="n">
        <f aca="false">1+IF($G$7=$E$7,$F$7,IF(Q207&lt;($F$7-$E$7)/($G$7-$E$7),$E$7+SQRT(Q207*($G$7-$E$7)*($F$7-$E$7)),$G$7-SQRT((1-Q207)*($G$7-$E$7)*($G$7-$F$7))))</f>
        <v>0.793019358330373</v>
      </c>
      <c r="D207" s="51" t="n">
        <f aca="false">1+IF($G$8=$E$8,$F$8,IF(R207&lt;($F$8-$E$8)/($G$8-$E$8),$E$8+SQRT(R207*($G$8-$E$8)*($F$8-$E$8)),$G$8-SQRT((1-R207)*($G$8-$E$8)*($G$8-$F$8))))</f>
        <v>1.0769120565897</v>
      </c>
      <c r="E207" s="51" t="n">
        <f aca="false">1+IF($G$9=$E$9,$F$9,IF(S207&lt;($F$9-$E$9)/($G$9-$E$9),$E$9+SQRT(S207*($G$9-$E$9)*($F$9-$E$9)),$G$9-SQRT((1-S207)*($G$9-$E$9)*($G$9-$F$9))))</f>
        <v>1.04299790462821</v>
      </c>
      <c r="F207" s="51" t="n">
        <f aca="false">1+IF($G$10=$E$10,$F$10,IF(T207&lt;($F$10-$E$10)/($G$10-$E$10),$E$10+SQRT(T207*($G$10-$E$10)*($F$10-$E$10)),$G$10-SQRT((1-T207)*($G$10-$E$10)*($G$10-$F$10))))</f>
        <v>1.04475523140031</v>
      </c>
      <c r="G207" s="52" t="n">
        <f aca="false">IF($G$11=$E$11,$F$11,IF(U207&lt;($F$11-$E$11)/($G$11-$E$11),$E$11+SQRT(U207*($G$11-$E$11)*($F$11-$E$11)),$G$11-SQRT((1-U207)*($G$11-$E$11)*($G$11-$F$11))))</f>
        <v>0.0978480123745792</v>
      </c>
      <c r="H207" s="53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-2089510462.80062</v>
      </c>
      <c r="I207" s="53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-74691355.0723928</v>
      </c>
      <c r="J207" s="53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144980381.822686</v>
      </c>
      <c r="K207" s="53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416889880.28778</v>
      </c>
      <c r="L207" s="53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517829303.779013</v>
      </c>
      <c r="M207" s="53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670264615.33981</v>
      </c>
      <c r="N207" s="53" t="n">
        <f aca="false">IF(COUNT('Business Case'!B11:G11)=0,"",H207+NPV(G207,I207:M207))</f>
        <v>-945452788.880309</v>
      </c>
      <c r="P207" s="54" t="n">
        <f aca="true">RAND()</f>
        <v>0.799956112032428</v>
      </c>
      <c r="Q207" s="54" t="n">
        <f aca="true">RAND()</f>
        <v>0.0640933409199584</v>
      </c>
      <c r="R207" s="54" t="n">
        <f aca="true">RAND()</f>
        <v>0.964463124605521</v>
      </c>
      <c r="S207" s="54" t="n">
        <f aca="true">RAND()</f>
        <v>0.69468137562791</v>
      </c>
      <c r="T207" s="54" t="n">
        <f aca="true">RAND()</f>
        <v>0.438327799499475</v>
      </c>
      <c r="U207" s="54" t="n">
        <f aca="true">RAND()</f>
        <v>0.318551545723131</v>
      </c>
    </row>
    <row r="208" customFormat="false" ht="15" hidden="false" customHeight="false" outlineLevel="0" collapsed="false">
      <c r="A208" s="50" t="n">
        <v>128</v>
      </c>
      <c r="B208" s="51" t="n">
        <f aca="false">1+IF($G$6=$E$6,$F$6,IF(P208&lt;($F$6-$E$6)/($G$6-$E$6),$E$6+SQRT(P208*($G$6-$E$6)*($F$6-$E$6)),$G$6-SQRT((1-P208)*($G$6-$E$6)*($G$6-$F$6))))</f>
        <v>1.02441943224488</v>
      </c>
      <c r="C208" s="51" t="n">
        <f aca="false">1+IF($G$7=$E$7,$F$7,IF(Q208&lt;($F$7-$E$7)/($G$7-$E$7),$E$7+SQRT(Q208*($G$7-$E$7)*($F$7-$E$7)),$G$7-SQRT((1-Q208)*($G$7-$E$7)*($G$7-$F$7))))</f>
        <v>1.04169715781081</v>
      </c>
      <c r="D208" s="51" t="n">
        <f aca="false">1+IF($G$8=$E$8,$F$8,IF(R208&lt;($F$8-$E$8)/($G$8-$E$8),$E$8+SQRT(R208*($G$8-$E$8)*($F$8-$E$8)),$G$8-SQRT((1-R208)*($G$8-$E$8)*($G$8-$F$8))))</f>
        <v>0.984543861242656</v>
      </c>
      <c r="E208" s="51" t="n">
        <f aca="false">1+IF($G$9=$E$9,$F$9,IF(S208&lt;($F$9-$E$9)/($G$9-$E$9),$E$9+SQRT(S208*($G$9-$E$9)*($F$9-$E$9)),$G$9-SQRT((1-S208)*($G$9-$E$9)*($G$9-$F$9))))</f>
        <v>1.07846802401685</v>
      </c>
      <c r="F208" s="51" t="n">
        <f aca="false">1+IF($G$10=$E$10,$F$10,IF(T208&lt;($F$10-$E$10)/($G$10-$E$10),$E$10+SQRT(T208*($G$10-$E$10)*($F$10-$E$10)),$G$10-SQRT((1-T208)*($G$10-$E$10)*($G$10-$F$10))))</f>
        <v>1.06455171411354</v>
      </c>
      <c r="G208" s="52" t="n">
        <f aca="false">IF($G$11=$E$11,$F$11,IF(U208&lt;($F$11-$E$11)/($G$11-$E$11),$E$11+SQRT(U208*($G$11-$E$11)*($F$11-$E$11)),$G$11-SQRT((1-U208)*($G$11-$E$11)*($G$11-$F$11))))</f>
        <v>0.100359885078583</v>
      </c>
      <c r="H208" s="53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-2129103428.22709</v>
      </c>
      <c r="I208" s="53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33903269.0890456</v>
      </c>
      <c r="J208" s="53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382940131.20562</v>
      </c>
      <c r="K208" s="53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785204579.027872</v>
      </c>
      <c r="L208" s="53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938430378.800715</v>
      </c>
      <c r="M208" s="53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1141271363.67097</v>
      </c>
      <c r="N208" s="53" t="n">
        <f aca="false">IF(COUNT('Business Case'!B11:G11)=0,"",H208+NPV(G208,I208:M208))</f>
        <v>154941379.076901</v>
      </c>
      <c r="P208" s="54" t="n">
        <f aca="true">RAND()</f>
        <v>0.912751273776755</v>
      </c>
      <c r="Q208" s="54" t="n">
        <f aca="true">RAND()</f>
        <v>0.826229546277681</v>
      </c>
      <c r="R208" s="54" t="n">
        <f aca="true">RAND()</f>
        <v>0.159103779940252</v>
      </c>
      <c r="S208" s="54" t="n">
        <f aca="true">RAND()</f>
        <v>0.863551370985233</v>
      </c>
      <c r="T208" s="54" t="n">
        <f aca="true">RAND()</f>
        <v>0.541452443490341</v>
      </c>
      <c r="U208" s="54" t="n">
        <f aca="true">RAND()</f>
        <v>0.414309058296797</v>
      </c>
    </row>
    <row r="209" customFormat="false" ht="15" hidden="false" customHeight="false" outlineLevel="0" collapsed="false">
      <c r="A209" s="50" t="n">
        <v>129</v>
      </c>
      <c r="B209" s="51" t="n">
        <f aca="false">1+IF($G$6=$E$6,$F$6,IF(P209&lt;($F$6-$E$6)/($G$6-$E$6),$E$6+SQRT(P209*($G$6-$E$6)*($F$6-$E$6)),$G$6-SQRT((1-P209)*($G$6-$E$6)*($G$6-$F$6))))</f>
        <v>0.980085075351185</v>
      </c>
      <c r="C209" s="51" t="n">
        <f aca="false">1+IF($G$7=$E$7,$F$7,IF(Q209&lt;($F$7-$E$7)/($G$7-$E$7),$E$7+SQRT(Q209*($G$7-$E$7)*($F$7-$E$7)),$G$7-SQRT((1-Q209)*($G$7-$E$7)*($G$7-$F$7))))</f>
        <v>1.0855093381727</v>
      </c>
      <c r="D209" s="51" t="n">
        <f aca="false">1+IF($G$8=$E$8,$F$8,IF(R209&lt;($F$8-$E$8)/($G$8-$E$8),$E$8+SQRT(R209*($G$8-$E$8)*($F$8-$E$8)),$G$8-SQRT((1-R209)*($G$8-$E$8)*($G$8-$F$8))))</f>
        <v>0.991436107720182</v>
      </c>
      <c r="E209" s="51" t="n">
        <f aca="false">1+IF($G$9=$E$9,$F$9,IF(S209&lt;($F$9-$E$9)/($G$9-$E$9),$E$9+SQRT(S209*($G$9-$E$9)*($F$9-$E$9)),$G$9-SQRT((1-S209)*($G$9-$E$9)*($G$9-$F$9))))</f>
        <v>1.0663602283103</v>
      </c>
      <c r="F209" s="51" t="n">
        <f aca="false">1+IF($G$10=$E$10,$F$10,IF(T209&lt;($F$10-$E$10)/($G$10-$E$10),$E$10+SQRT(T209*($G$10-$E$10)*($F$10-$E$10)),$G$10-SQRT((1-T209)*($G$10-$E$10)*($G$10-$F$10))))</f>
        <v>1.16296748443796</v>
      </c>
      <c r="G209" s="52" t="n">
        <f aca="false">IF($G$11=$E$11,$F$11,IF(U209&lt;($F$11-$E$11)/($G$11-$E$11),$E$11+SQRT(U209*($G$11-$E$11)*($F$11-$E$11)),$G$11-SQRT((1-U209)*($G$11-$E$11)*($G$11-$F$11))))</f>
        <v>0.101820763231019</v>
      </c>
      <c r="H209" s="53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-2325934968.87593</v>
      </c>
      <c r="I209" s="53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-2616605.78392237</v>
      </c>
      <c r="J209" s="53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317852096.779302</v>
      </c>
      <c r="K209" s="53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696469173.564425</v>
      </c>
      <c r="L209" s="53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840060164.710583</v>
      </c>
      <c r="M209" s="53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1042284661.31521</v>
      </c>
      <c r="N209" s="53" t="n">
        <f aca="false">IF(COUNT('Business Case'!B11:G11)=0,"",H209+NPV(G209,I209:M209))</f>
        <v>-333975532.008784</v>
      </c>
      <c r="P209" s="54" t="n">
        <f aca="true">RAND()</f>
        <v>0.427574619600334</v>
      </c>
      <c r="Q209" s="54" t="n">
        <f aca="true">RAND()</f>
        <v>0.938384511660392</v>
      </c>
      <c r="R209" s="54" t="n">
        <f aca="true">RAND()</f>
        <v>0.228926803066468</v>
      </c>
      <c r="S209" s="54" t="n">
        <f aca="true">RAND()</f>
        <v>0.813450362445211</v>
      </c>
      <c r="T209" s="54" t="n">
        <f aca="true">RAND()</f>
        <v>0.899004549799253</v>
      </c>
      <c r="U209" s="54" t="n">
        <f aca="true">RAND()</f>
        <v>0.470620410078489</v>
      </c>
    </row>
    <row r="210" customFormat="false" ht="15" hidden="false" customHeight="false" outlineLevel="0" collapsed="false">
      <c r="A210" s="50" t="n">
        <v>130</v>
      </c>
      <c r="B210" s="51" t="n">
        <f aca="false">1+IF($G$6=$E$6,$F$6,IF(P210&lt;($F$6-$E$6)/($G$6-$E$6),$E$6+SQRT(P210*($G$6-$E$6)*($F$6-$E$6)),$G$6-SQRT((1-P210)*($G$6-$E$6)*($G$6-$F$6))))</f>
        <v>0.976634887061459</v>
      </c>
      <c r="C210" s="51" t="n">
        <f aca="false">1+IF($G$7=$E$7,$F$7,IF(Q210&lt;($F$7-$E$7)/($G$7-$E$7),$E$7+SQRT(Q210*($G$7-$E$7)*($F$7-$E$7)),$G$7-SQRT((1-Q210)*($G$7-$E$7)*($G$7-$F$7))))</f>
        <v>1.02965163409596</v>
      </c>
      <c r="D210" s="51" t="n">
        <f aca="false">1+IF($G$8=$E$8,$F$8,IF(R210&lt;($F$8-$E$8)/($G$8-$E$8),$E$8+SQRT(R210*($G$8-$E$8)*($F$8-$E$8)),$G$8-SQRT((1-R210)*($G$8-$E$8)*($G$8-$F$8))))</f>
        <v>1.047575405114</v>
      </c>
      <c r="E210" s="51" t="n">
        <f aca="false">1+IF($G$9=$E$9,$F$9,IF(S210&lt;($F$9-$E$9)/($G$9-$E$9),$E$9+SQRT(S210*($G$9-$E$9)*($F$9-$E$9)),$G$9-SQRT((1-S210)*($G$9-$E$9)*($G$9-$F$9))))</f>
        <v>1.00806988323123</v>
      </c>
      <c r="F210" s="51" t="n">
        <f aca="false">1+IF($G$10=$E$10,$F$10,IF(T210&lt;($F$10-$E$10)/($G$10-$E$10),$E$10+SQRT(T210*($G$10-$E$10)*($F$10-$E$10)),$G$10-SQRT((1-T210)*($G$10-$E$10)*($G$10-$F$10))))</f>
        <v>1.0035011276426</v>
      </c>
      <c r="G210" s="52" t="n">
        <f aca="false">IF($G$11=$E$11,$F$11,IF(U210&lt;($F$11-$E$11)/($G$11-$E$11),$E$11+SQRT(U210*($G$11-$E$11)*($F$11-$E$11)),$G$11-SQRT((1-U210)*($G$11-$E$11)*($G$11-$F$11))))</f>
        <v>0.107036672227948</v>
      </c>
      <c r="H210" s="53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-2007002255.28521</v>
      </c>
      <c r="I210" s="53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-24350204.4322802</v>
      </c>
      <c r="J210" s="53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247127219.085654</v>
      </c>
      <c r="K210" s="53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568779698.985719</v>
      </c>
      <c r="L210" s="53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694025492.018679</v>
      </c>
      <c r="M210" s="53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885168743.91708</v>
      </c>
      <c r="N210" s="53" t="n">
        <f aca="false">IF(COUNT('Business Case'!B11:G11)=0,"",H210+NPV(G210,I210:M210))</f>
        <v>-413649469.838846</v>
      </c>
      <c r="P210" s="54" t="n">
        <f aca="true">RAND()</f>
        <v>0.391527060994842</v>
      </c>
      <c r="Q210" s="54" t="n">
        <f aca="true">RAND()</f>
        <v>0.785426234432987</v>
      </c>
      <c r="R210" s="54" t="n">
        <f aca="true">RAND()</f>
        <v>0.816777456735946</v>
      </c>
      <c r="S210" s="54" t="n">
        <f aca="true">RAND()</f>
        <v>0.462822452106783</v>
      </c>
      <c r="T210" s="54" t="n">
        <f aca="true">RAND()</f>
        <v>0.18984407902042</v>
      </c>
      <c r="U210" s="54" t="n">
        <f aca="true">RAND()</f>
        <v>0.648457051755544</v>
      </c>
    </row>
    <row r="211" customFormat="false" ht="15" hidden="false" customHeight="false" outlineLevel="0" collapsed="false">
      <c r="A211" s="50" t="n">
        <v>131</v>
      </c>
      <c r="B211" s="51" t="n">
        <f aca="false">1+IF($G$6=$E$6,$F$6,IF(P211&lt;($F$6-$E$6)/($G$6-$E$6),$E$6+SQRT(P211*($G$6-$E$6)*($F$6-$E$6)),$G$6-SQRT((1-P211)*($G$6-$E$6)*($G$6-$F$6))))</f>
        <v>1.00629108592238</v>
      </c>
      <c r="C211" s="51" t="n">
        <f aca="false">1+IF($G$7=$E$7,$F$7,IF(Q211&lt;($F$7-$E$7)/($G$7-$E$7),$E$7+SQRT(Q211*($G$7-$E$7)*($F$7-$E$7)),$G$7-SQRT((1-Q211)*($G$7-$E$7)*($G$7-$F$7))))</f>
        <v>1.07326425991186</v>
      </c>
      <c r="D211" s="51" t="n">
        <f aca="false">1+IF($G$8=$E$8,$F$8,IF(R211&lt;($F$8-$E$8)/($G$8-$E$8),$E$8+SQRT(R211*($G$8-$E$8)*($F$8-$E$8)),$G$8-SQRT((1-R211)*($G$8-$E$8)*($G$8-$F$8))))</f>
        <v>0.994848873523526</v>
      </c>
      <c r="E211" s="51" t="n">
        <f aca="false">1+IF($G$9=$E$9,$F$9,IF(S211&lt;($F$9-$E$9)/($G$9-$E$9),$E$9+SQRT(S211*($G$9-$E$9)*($F$9-$E$9)),$G$9-SQRT((1-S211)*($G$9-$E$9)*($G$9-$F$9))))</f>
        <v>0.965803035612825</v>
      </c>
      <c r="F211" s="51" t="n">
        <f aca="false">1+IF($G$10=$E$10,$F$10,IF(T211&lt;($F$10-$E$10)/($G$10-$E$10),$E$10+SQRT(T211*($G$10-$E$10)*($F$10-$E$10)),$G$10-SQRT((1-T211)*($G$10-$E$10)*($G$10-$F$10))))</f>
        <v>1.02857941567926</v>
      </c>
      <c r="G211" s="52" t="n">
        <f aca="false">IF($G$11=$E$11,$F$11,IF(U211&lt;($F$11-$E$11)/($G$11-$E$11),$E$11+SQRT(U211*($G$11-$E$11)*($F$11-$E$11)),$G$11-SQRT((1-U211)*($G$11-$E$11)*($G$11-$F$11))))</f>
        <v>0.110083520993942</v>
      </c>
      <c r="H211" s="53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-2057158831.35852</v>
      </c>
      <c r="I211" s="53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41832620.1064</v>
      </c>
      <c r="J211" s="53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379848416.238252</v>
      </c>
      <c r="K211" s="53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769293183.154068</v>
      </c>
      <c r="L211" s="53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919290477.060273</v>
      </c>
      <c r="M211" s="53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1124579967.30268</v>
      </c>
      <c r="N211" s="53" t="n">
        <f aca="false">IF(COUNT('Business Case'!B11:G11)=0,"",H211+NPV(G211,I211:M211))</f>
        <v>123661407.663906</v>
      </c>
      <c r="P211" s="54" t="n">
        <f aca="true">RAND()</f>
        <v>0.745270777354077</v>
      </c>
      <c r="Q211" s="54" t="n">
        <f aca="true">RAND()</f>
        <v>0.912764832490758</v>
      </c>
      <c r="R211" s="54" t="n">
        <f aca="true">RAND()</f>
        <v>0.26818952751056</v>
      </c>
      <c r="S211" s="54" t="n">
        <f aca="true">RAND()</f>
        <v>0.173201579834509</v>
      </c>
      <c r="T211" s="54" t="n">
        <f aca="true">RAND()</f>
        <v>0.346305664520827</v>
      </c>
      <c r="U211" s="54" t="n">
        <f aca="true">RAND()</f>
        <v>0.735555909334158</v>
      </c>
    </row>
    <row r="212" customFormat="false" ht="15" hidden="false" customHeight="false" outlineLevel="0" collapsed="false">
      <c r="A212" s="50" t="n">
        <v>132</v>
      </c>
      <c r="B212" s="51" t="n">
        <f aca="false">1+IF($G$6=$E$6,$F$6,IF(P212&lt;($F$6-$E$6)/($G$6-$E$6),$E$6+SQRT(P212*($G$6-$E$6)*($F$6-$E$6)),$G$6-SQRT((1-P212)*($G$6-$E$6)*($G$6-$F$6))))</f>
        <v>0.933808838109527</v>
      </c>
      <c r="C212" s="51" t="n">
        <f aca="false">1+IF($G$7=$E$7,$F$7,IF(Q212&lt;($F$7-$E$7)/($G$7-$E$7),$E$7+SQRT(Q212*($G$7-$E$7)*($F$7-$E$7)),$G$7-SQRT((1-Q212)*($G$7-$E$7)*($G$7-$F$7))))</f>
        <v>0.953651082959005</v>
      </c>
      <c r="D212" s="51" t="n">
        <f aca="false">1+IF($G$8=$E$8,$F$8,IF(R212&lt;($F$8-$E$8)/($G$8-$E$8),$E$8+SQRT(R212*($G$8-$E$8)*($F$8-$E$8)),$G$8-SQRT((1-R212)*($G$8-$E$8)*($G$8-$F$8))))</f>
        <v>1.0755847917537</v>
      </c>
      <c r="E212" s="51" t="n">
        <f aca="false">1+IF($G$9=$E$9,$F$9,IF(S212&lt;($F$9-$E$9)/($G$9-$E$9),$E$9+SQRT(S212*($G$9-$E$9)*($F$9-$E$9)),$G$9-SQRT((1-S212)*($G$9-$E$9)*($G$9-$F$9))))</f>
        <v>0.964593647683879</v>
      </c>
      <c r="F212" s="51" t="n">
        <f aca="false">1+IF($G$10=$E$10,$F$10,IF(T212&lt;($F$10-$E$10)/($G$10-$E$10),$E$10+SQRT(T212*($G$10-$E$10)*($F$10-$E$10)),$G$10-SQRT((1-T212)*($G$10-$E$10)*($G$10-$F$10))))</f>
        <v>1.19771830106379</v>
      </c>
      <c r="G212" s="52" t="n">
        <f aca="false">IF($G$11=$E$11,$F$11,IF(U212&lt;($F$11-$E$11)/($G$11-$E$11),$E$11+SQRT(U212*($G$11-$E$11)*($F$11-$E$11)),$G$11-SQRT((1-U212)*($G$11-$E$11)*($G$11-$F$11))))</f>
        <v>0.0997082899075481</v>
      </c>
      <c r="H212" s="53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-2395436602.12757</v>
      </c>
      <c r="I212" s="53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-98788647.6293088</v>
      </c>
      <c r="J212" s="53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105524713.205322</v>
      </c>
      <c r="K212" s="53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369723989.093142</v>
      </c>
      <c r="L212" s="53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468605083.809295</v>
      </c>
      <c r="M212" s="53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637876609.884644</v>
      </c>
      <c r="N212" s="53" t="n">
        <f aca="false">IF(COUNT('Business Case'!B11:G11)=0,"",H212+NPV(G212,I212:M212))</f>
        <v>-1403011196.22245</v>
      </c>
      <c r="P212" s="54" t="n">
        <f aca="true">RAND()</f>
        <v>0.0762025022877475</v>
      </c>
      <c r="Q212" s="54" t="n">
        <f aca="true">RAND()</f>
        <v>0.476584236194638</v>
      </c>
      <c r="R212" s="54" t="n">
        <f aca="true">RAND()</f>
        <v>0.960259840419319</v>
      </c>
      <c r="S212" s="54" t="n">
        <f aca="true">RAND()</f>
        <v>0.166893572844364</v>
      </c>
      <c r="T212" s="54" t="n">
        <f aca="true">RAND()</f>
        <v>0.963554986084576</v>
      </c>
      <c r="U212" s="54" t="n">
        <f aca="true">RAND()</f>
        <v>0.388416691079962</v>
      </c>
    </row>
    <row r="213" customFormat="false" ht="15" hidden="false" customHeight="false" outlineLevel="0" collapsed="false">
      <c r="A213" s="50" t="n">
        <v>133</v>
      </c>
      <c r="B213" s="51" t="n">
        <f aca="false">1+IF($G$6=$E$6,$F$6,IF(P213&lt;($F$6-$E$6)/($G$6-$E$6),$E$6+SQRT(P213*($G$6-$E$6)*($F$6-$E$6)),$G$6-SQRT((1-P213)*($G$6-$E$6)*($G$6-$F$6))))</f>
        <v>0.991294969098694</v>
      </c>
      <c r="C213" s="51" t="n">
        <f aca="false">1+IF($G$7=$E$7,$F$7,IF(Q213&lt;($F$7-$E$7)/($G$7-$E$7),$E$7+SQRT(Q213*($G$7-$E$7)*($F$7-$E$7)),$G$7-SQRT((1-Q213)*($G$7-$E$7)*($G$7-$F$7))))</f>
        <v>0.759557390901797</v>
      </c>
      <c r="D213" s="51" t="n">
        <f aca="false">1+IF($G$8=$E$8,$F$8,IF(R213&lt;($F$8-$E$8)/($G$8-$E$8),$E$8+SQRT(R213*($G$8-$E$8)*($F$8-$E$8)),$G$8-SQRT((1-R213)*($G$8-$E$8)*($G$8-$F$8))))</f>
        <v>1.04229377645286</v>
      </c>
      <c r="E213" s="51" t="n">
        <f aca="false">1+IF($G$9=$E$9,$F$9,IF(S213&lt;($F$9-$E$9)/($G$9-$E$9),$E$9+SQRT(S213*($G$9-$E$9)*($F$9-$E$9)),$G$9-SQRT((1-S213)*($G$9-$E$9)*($G$9-$F$9))))</f>
        <v>1.00441582840267</v>
      </c>
      <c r="F213" s="51" t="n">
        <f aca="false">1+IF($G$10=$E$10,$F$10,IF(T213&lt;($F$10-$E$10)/($G$10-$E$10),$E$10+SQRT(T213*($G$10-$E$10)*($F$10-$E$10)),$G$10-SQRT((1-T213)*($G$10-$E$10)*($G$10-$F$10))))</f>
        <v>1.05701563183877</v>
      </c>
      <c r="G213" s="52" t="n">
        <f aca="false">IF($G$11=$E$11,$F$11,IF(U213&lt;($F$11-$E$11)/($G$11-$E$11),$E$11+SQRT(U213*($G$11-$E$11)*($F$11-$E$11)),$G$11-SQRT((1-U213)*($G$11-$E$11)*($G$11-$F$11))))</f>
        <v>0.100452813066687</v>
      </c>
      <c r="H213" s="53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-2114031263.67753</v>
      </c>
      <c r="I213" s="53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-76123492.6816742</v>
      </c>
      <c r="J213" s="53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135315199.209953</v>
      </c>
      <c r="K213" s="53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399604672.693519</v>
      </c>
      <c r="L213" s="53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496106030.384438</v>
      </c>
      <c r="M213" s="53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639225895.883175</v>
      </c>
      <c r="N213" s="53" t="n">
        <f aca="false">IF(COUNT('Business Case'!B11:G11)=0,"",H213+NPV(G213,I213:M213))</f>
        <v>-1037226002.06359</v>
      </c>
      <c r="P213" s="54" t="n">
        <f aca="true">RAND()</f>
        <v>0.555651425515432</v>
      </c>
      <c r="Q213" s="54" t="n">
        <f aca="true">RAND()</f>
        <v>0.0262746874891072</v>
      </c>
      <c r="R213" s="54" t="n">
        <f aca="true">RAND()</f>
        <v>0.777999450928478</v>
      </c>
      <c r="S213" s="54" t="n">
        <f aca="true">RAND()</f>
        <v>0.434806639475211</v>
      </c>
      <c r="T213" s="54" t="n">
        <f aca="true">RAND()</f>
        <v>0.503427115272125</v>
      </c>
      <c r="U213" s="54" t="n">
        <f aca="true">RAND()</f>
        <v>0.417975829551888</v>
      </c>
    </row>
    <row r="214" customFormat="false" ht="15" hidden="false" customHeight="false" outlineLevel="0" collapsed="false">
      <c r="A214" s="50" t="n">
        <v>134</v>
      </c>
      <c r="B214" s="51" t="n">
        <f aca="false">1+IF($G$6=$E$6,$F$6,IF(P214&lt;($F$6-$E$6)/($G$6-$E$6),$E$6+SQRT(P214*($G$6-$E$6)*($F$6-$E$6)),$G$6-SQRT((1-P214)*($G$6-$E$6)*($G$6-$F$6))))</f>
        <v>1.01339590936961</v>
      </c>
      <c r="C214" s="51" t="n">
        <f aca="false">1+IF($G$7=$E$7,$F$7,IF(Q214&lt;($F$7-$E$7)/($G$7-$E$7),$E$7+SQRT(Q214*($G$7-$E$7)*($F$7-$E$7)),$G$7-SQRT((1-Q214)*($G$7-$E$7)*($G$7-$F$7))))</f>
        <v>1.11706162125931</v>
      </c>
      <c r="D214" s="51" t="n">
        <f aca="false">1+IF($G$8=$E$8,$F$8,IF(R214&lt;($F$8-$E$8)/($G$8-$E$8),$E$8+SQRT(R214*($G$8-$E$8)*($F$8-$E$8)),$G$8-SQRT((1-R214)*($G$8-$E$8)*($G$8-$F$8))))</f>
        <v>1.03854055154936</v>
      </c>
      <c r="E214" s="51" t="n">
        <f aca="false">1+IF($G$9=$E$9,$F$9,IF(S214&lt;($F$9-$E$9)/($G$9-$E$9),$E$9+SQRT(S214*($G$9-$E$9)*($F$9-$E$9)),$G$9-SQRT((1-S214)*($G$9-$E$9)*($G$9-$F$9))))</f>
        <v>1.0099960742467</v>
      </c>
      <c r="F214" s="51" t="n">
        <f aca="false">1+IF($G$10=$E$10,$F$10,IF(T214&lt;($F$10-$E$10)/($G$10-$E$10),$E$10+SQRT(T214*($G$10-$E$10)*($F$10-$E$10)),$G$10-SQRT((1-T214)*($G$10-$E$10)*($G$10-$F$10))))</f>
        <v>1.10537802838089</v>
      </c>
      <c r="G214" s="52" t="n">
        <f aca="false">IF($G$11=$E$11,$F$11,IF(U214&lt;($F$11-$E$11)/($G$11-$E$11),$E$11+SQRT(U214*($G$11-$E$11)*($F$11-$E$11)),$G$11-SQRT((1-U214)*($G$11-$E$11)*($G$11-$F$11))))</f>
        <v>0.115243053439138</v>
      </c>
      <c r="H214" s="53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-2210756056.76178</v>
      </c>
      <c r="I214" s="53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20481627.4698129</v>
      </c>
      <c r="J214" s="53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353806710.65709</v>
      </c>
      <c r="K214" s="53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742400695.263412</v>
      </c>
      <c r="L214" s="53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892631863.740167</v>
      </c>
      <c r="M214" s="53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1107807304.51898</v>
      </c>
      <c r="N214" s="53" t="n">
        <f aca="false">IF(COUNT('Business Case'!B11:G11)=0,"",H214+NPV(G214,I214:M214))</f>
        <v>-153565104.954291</v>
      </c>
      <c r="P214" s="54" t="n">
        <f aca="true">RAND()</f>
        <v>0.821352073216279</v>
      </c>
      <c r="Q214" s="54" t="n">
        <f aca="true">RAND()</f>
        <v>0.983926862310144</v>
      </c>
      <c r="R214" s="54" t="n">
        <f aca="true">RAND()</f>
        <v>0.748182413076175</v>
      </c>
      <c r="S214" s="54" t="n">
        <f aca="true">RAND()</f>
        <v>0.477304020631043</v>
      </c>
      <c r="T214" s="54" t="n">
        <f aca="true">RAND()</f>
        <v>0.721126471000025</v>
      </c>
      <c r="U214" s="54" t="n">
        <f aca="true">RAND()</f>
        <v>0.854821685466569</v>
      </c>
    </row>
    <row r="215" customFormat="false" ht="15" hidden="false" customHeight="false" outlineLevel="0" collapsed="false">
      <c r="A215" s="50" t="n">
        <v>135</v>
      </c>
      <c r="B215" s="51" t="n">
        <f aca="false">1+IF($G$6=$E$6,$F$6,IF(P215&lt;($F$6-$E$6)/($G$6-$E$6),$E$6+SQRT(P215*($G$6-$E$6)*($F$6-$E$6)),$G$6-SQRT((1-P215)*($G$6-$E$6)*($G$6-$F$6))))</f>
        <v>1.00691897846018</v>
      </c>
      <c r="C215" s="51" t="n">
        <f aca="false">1+IF($G$7=$E$7,$F$7,IF(Q215&lt;($F$7-$E$7)/($G$7-$E$7),$E$7+SQRT(Q215*($G$7-$E$7)*($F$7-$E$7)),$G$7-SQRT((1-Q215)*($G$7-$E$7)*($G$7-$F$7))))</f>
        <v>0.938480019692423</v>
      </c>
      <c r="D215" s="51" t="n">
        <f aca="false">1+IF($G$8=$E$8,$F$8,IF(R215&lt;($F$8-$E$8)/($G$8-$E$8),$E$8+SQRT(R215*($G$8-$E$8)*($F$8-$E$8)),$G$8-SQRT((1-R215)*($G$8-$E$8)*($G$8-$F$8))))</f>
        <v>1.00322337386045</v>
      </c>
      <c r="E215" s="51" t="n">
        <f aca="false">1+IF($G$9=$E$9,$F$9,IF(S215&lt;($F$9-$E$9)/($G$9-$E$9),$E$9+SQRT(S215*($G$9-$E$9)*($F$9-$E$9)),$G$9-SQRT((1-S215)*($G$9-$E$9)*($G$9-$F$9))))</f>
        <v>1.00559302739539</v>
      </c>
      <c r="F215" s="51" t="n">
        <f aca="false">1+IF($G$10=$E$10,$F$10,IF(T215&lt;($F$10-$E$10)/($G$10-$E$10),$E$10+SQRT(T215*($G$10-$E$10)*($F$10-$E$10)),$G$10-SQRT((1-T215)*($G$10-$E$10)*($G$10-$F$10))))</f>
        <v>1.21624844959849</v>
      </c>
      <c r="G215" s="52" t="n">
        <f aca="false">IF($G$11=$E$11,$F$11,IF(U215&lt;($F$11-$E$11)/($G$11-$E$11),$E$11+SQRT(U215*($G$11-$E$11)*($F$11-$E$11)),$G$11-SQRT((1-U215)*($G$11-$E$11)*($G$11-$F$11))))</f>
        <v>0.112786182314286</v>
      </c>
      <c r="H215" s="53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-2432496899.19697</v>
      </c>
      <c r="I215" s="53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-21581672.2837635</v>
      </c>
      <c r="J215" s="53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270444246.975275</v>
      </c>
      <c r="K215" s="53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623282588.714238</v>
      </c>
      <c r="L215" s="53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753282840.525471</v>
      </c>
      <c r="M215" s="53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932903373.512346</v>
      </c>
      <c r="N215" s="53" t="n">
        <f aca="false">IF(COUNT('Business Case'!B11:G11)=0,"",H215+NPV(G215,I215:M215))</f>
        <v>-743169919.852484</v>
      </c>
      <c r="P215" s="54" t="n">
        <f aca="true">RAND()</f>
        <v>0.7525367444114</v>
      </c>
      <c r="Q215" s="54" t="n">
        <f aca="true">RAND()</f>
        <v>0.421279405870358</v>
      </c>
      <c r="R215" s="54" t="n">
        <f aca="true">RAND()</f>
        <v>0.375618975536346</v>
      </c>
      <c r="S215" s="54" t="n">
        <f aca="true">RAND()</f>
        <v>0.443910033684539</v>
      </c>
      <c r="T215" s="54" t="n">
        <f aca="true">RAND()</f>
        <v>0.984811104606587</v>
      </c>
      <c r="U215" s="54" t="n">
        <f aca="true">RAND()</f>
        <v>0.802456320455331</v>
      </c>
    </row>
    <row r="216" customFormat="false" ht="15" hidden="false" customHeight="false" outlineLevel="0" collapsed="false">
      <c r="A216" s="50" t="n">
        <v>136</v>
      </c>
      <c r="B216" s="51" t="n">
        <f aca="false">1+IF($G$6=$E$6,$F$6,IF(P216&lt;($F$6-$E$6)/($G$6-$E$6),$E$6+SQRT(P216*($G$6-$E$6)*($F$6-$E$6)),$G$6-SQRT((1-P216)*($G$6-$E$6)*($G$6-$F$6))))</f>
        <v>0.994779113377776</v>
      </c>
      <c r="C216" s="51" t="n">
        <f aca="false">1+IF($G$7=$E$7,$F$7,IF(Q216&lt;($F$7-$E$7)/($G$7-$E$7),$E$7+SQRT(Q216*($G$7-$E$7)*($F$7-$E$7)),$G$7-SQRT((1-Q216)*($G$7-$E$7)*($G$7-$F$7))))</f>
        <v>0.767482952081139</v>
      </c>
      <c r="D216" s="51" t="n">
        <f aca="false">1+IF($G$8=$E$8,$F$8,IF(R216&lt;($F$8-$E$8)/($G$8-$E$8),$E$8+SQRT(R216*($G$8-$E$8)*($F$8-$E$8)),$G$8-SQRT((1-R216)*($G$8-$E$8)*($G$8-$F$8))))</f>
        <v>1.03421847316828</v>
      </c>
      <c r="E216" s="51" t="n">
        <f aca="false">1+IF($G$9=$E$9,$F$9,IF(S216&lt;($F$9-$E$9)/($G$9-$E$9),$E$9+SQRT(S216*($G$9-$E$9)*($F$9-$E$9)),$G$9-SQRT((1-S216)*($G$9-$E$9)*($G$9-$F$9))))</f>
        <v>0.995901481775924</v>
      </c>
      <c r="F216" s="51" t="n">
        <f aca="false">1+IF($G$10=$E$10,$F$10,IF(T216&lt;($F$10-$E$10)/($G$10-$E$10),$E$10+SQRT(T216*($G$10-$E$10)*($F$10-$E$10)),$G$10-SQRT((1-T216)*($G$10-$E$10)*($G$10-$F$10))))</f>
        <v>1.06067232400117</v>
      </c>
      <c r="G216" s="52" t="n">
        <f aca="false">IF($G$11=$E$11,$F$11,IF(U216&lt;($F$11-$E$11)/($G$11-$E$11),$E$11+SQRT(U216*($G$11-$E$11)*($F$11-$E$11)),$G$11-SQRT((1-U216)*($G$11-$E$11)*($G$11-$F$11))))</f>
        <v>0.097343890289523</v>
      </c>
      <c r="H216" s="53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-2121344648.00235</v>
      </c>
      <c r="I216" s="53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-68255160.9419299</v>
      </c>
      <c r="J216" s="53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150752697.614497</v>
      </c>
      <c r="K216" s="53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422794172.370982</v>
      </c>
      <c r="L216" s="53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522182522.816259</v>
      </c>
      <c r="M216" s="53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667304042.911836</v>
      </c>
      <c r="N216" s="53" t="n">
        <f aca="false">IF(COUNT('Business Case'!B11:G11)=0,"",H216+NPV(G216,I216:M216))</f>
        <v>-958882788.681973</v>
      </c>
      <c r="P216" s="54" t="n">
        <f aca="true">RAND()</f>
        <v>0.598872022178487</v>
      </c>
      <c r="Q216" s="54" t="n">
        <f aca="true">RAND()</f>
        <v>0.033732954233965</v>
      </c>
      <c r="R216" s="54" t="n">
        <f aca="true">RAND()</f>
        <v>0.711519381845821</v>
      </c>
      <c r="S216" s="54" t="n">
        <f aca="true">RAND()</f>
        <v>0.367883768272715</v>
      </c>
      <c r="T216" s="54" t="n">
        <f aca="true">RAND()</f>
        <v>0.522067081345114</v>
      </c>
      <c r="U216" s="54" t="n">
        <f aca="true">RAND()</f>
        <v>0.300810530375008</v>
      </c>
    </row>
    <row r="217" customFormat="false" ht="15" hidden="false" customHeight="false" outlineLevel="0" collapsed="false">
      <c r="A217" s="50" t="n">
        <v>137</v>
      </c>
      <c r="B217" s="51" t="n">
        <f aca="false">1+IF($G$6=$E$6,$F$6,IF(P217&lt;($F$6-$E$6)/($G$6-$E$6),$E$6+SQRT(P217*($G$6-$E$6)*($F$6-$E$6)),$G$6-SQRT((1-P217)*($G$6-$E$6)*($G$6-$F$6))))</f>
        <v>0.988811854048666</v>
      </c>
      <c r="C217" s="51" t="n">
        <f aca="false">1+IF($G$7=$E$7,$F$7,IF(Q217&lt;($F$7-$E$7)/($G$7-$E$7),$E$7+SQRT(Q217*($G$7-$E$7)*($F$7-$E$7)),$G$7-SQRT((1-Q217)*($G$7-$E$7)*($G$7-$F$7))))</f>
        <v>0.845908762404513</v>
      </c>
      <c r="D217" s="51" t="n">
        <f aca="false">1+IF($G$8=$E$8,$F$8,IF(R217&lt;($F$8-$E$8)/($G$8-$E$8),$E$8+SQRT(R217*($G$8-$E$8)*($F$8-$E$8)),$G$8-SQRT((1-R217)*($G$8-$E$8)*($G$8-$F$8))))</f>
        <v>1.00375007914194</v>
      </c>
      <c r="E217" s="51" t="n">
        <f aca="false">1+IF($G$9=$E$9,$F$9,IF(S217&lt;($F$9-$E$9)/($G$9-$E$9),$E$9+SQRT(S217*($G$9-$E$9)*($F$9-$E$9)),$G$9-SQRT((1-S217)*($G$9-$E$9)*($G$9-$F$9))))</f>
        <v>0.969294147708108</v>
      </c>
      <c r="F217" s="51" t="n">
        <f aca="false">1+IF($G$10=$E$10,$F$10,IF(T217&lt;($F$10-$E$10)/($G$10-$E$10),$E$10+SQRT(T217*($G$10-$E$10)*($F$10-$E$10)),$G$10-SQRT((1-T217)*($G$10-$E$10)*($G$10-$F$10))))</f>
        <v>1.00598345511416</v>
      </c>
      <c r="G217" s="52" t="n">
        <f aca="false">IF($G$11=$E$11,$F$11,IF(U217&lt;($F$11-$E$11)/($G$11-$E$11),$E$11+SQRT(U217*($G$11-$E$11)*($F$11-$E$11)),$G$11-SQRT((1-U217)*($G$11-$E$11)*($G$11-$F$11))))</f>
        <v>0.0873281693209221</v>
      </c>
      <c r="H217" s="53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-2011966910.22831</v>
      </c>
      <c r="I217" s="53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-31346439.9573654</v>
      </c>
      <c r="J217" s="53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219100382.071784</v>
      </c>
      <c r="K217" s="53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519846376.856641</v>
      </c>
      <c r="L217" s="53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632236176.647028</v>
      </c>
      <c r="M217" s="53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791227568.440716</v>
      </c>
      <c r="N217" s="53" t="n">
        <f aca="false">IF(COUNT('Business Case'!B11:G11)=0,"",H217+NPV(G217,I217:M217))</f>
        <v>-478189277.340607</v>
      </c>
      <c r="P217" s="54" t="n">
        <f aca="true">RAND()</f>
        <v>0.525836361304104</v>
      </c>
      <c r="Q217" s="54" t="n">
        <f aca="true">RAND()</f>
        <v>0.1576990144179</v>
      </c>
      <c r="R217" s="54" t="n">
        <f aca="true">RAND()</f>
        <v>0.382396848987845</v>
      </c>
      <c r="S217" s="54" t="n">
        <f aca="true">RAND()</f>
        <v>0.192067156263724</v>
      </c>
      <c r="T217" s="54" t="n">
        <f aca="true">RAND()</f>
        <v>0.206079010959671</v>
      </c>
      <c r="U217" s="54" t="n">
        <f aca="true">RAND()</f>
        <v>0.0537020655961031</v>
      </c>
    </row>
    <row r="218" customFormat="false" ht="15" hidden="false" customHeight="false" outlineLevel="0" collapsed="false">
      <c r="A218" s="50" t="n">
        <v>138</v>
      </c>
      <c r="B218" s="51" t="n">
        <f aca="false">1+IF($G$6=$E$6,$F$6,IF(P218&lt;($F$6-$E$6)/($G$6-$E$6),$E$6+SQRT(P218*($G$6-$E$6)*($F$6-$E$6)),$G$6-SQRT((1-P218)*($G$6-$E$6)*($G$6-$F$6))))</f>
        <v>0.995423504328852</v>
      </c>
      <c r="C218" s="51" t="n">
        <f aca="false">1+IF($G$7=$E$7,$F$7,IF(Q218&lt;($F$7-$E$7)/($G$7-$E$7),$E$7+SQRT(Q218*($G$7-$E$7)*($F$7-$E$7)),$G$7-SQRT((1-Q218)*($G$7-$E$7)*($G$7-$F$7))))</f>
        <v>1.00088781186725</v>
      </c>
      <c r="D218" s="51" t="n">
        <f aca="false">1+IF($G$8=$E$8,$F$8,IF(R218&lt;($F$8-$E$8)/($G$8-$E$8),$E$8+SQRT(R218*($G$8-$E$8)*($F$8-$E$8)),$G$8-SQRT((1-R218)*($G$8-$E$8)*($G$8-$F$8))))</f>
        <v>1.07516398895629</v>
      </c>
      <c r="E218" s="51" t="n">
        <f aca="false">1+IF($G$9=$E$9,$F$9,IF(S218&lt;($F$9-$E$9)/($G$9-$E$9),$E$9+SQRT(S218*($G$9-$E$9)*($F$9-$E$9)),$G$9-SQRT((1-S218)*($G$9-$E$9)*($G$9-$F$9))))</f>
        <v>1.02527114736133</v>
      </c>
      <c r="F218" s="51" t="n">
        <f aca="false">1+IF($G$10=$E$10,$F$10,IF(T218&lt;($F$10-$E$10)/($G$10-$E$10),$E$10+SQRT(T218*($G$10-$E$10)*($F$10-$E$10)),$G$10-SQRT((1-T218)*($G$10-$E$10)*($G$10-$F$10))))</f>
        <v>1.15995332184159</v>
      </c>
      <c r="G218" s="52" t="n">
        <f aca="false">IF($G$11=$E$11,$F$11,IF(U218&lt;($F$11-$E$11)/($G$11-$E$11),$E$11+SQRT(U218*($G$11-$E$11)*($F$11-$E$11)),$G$11-SQRT((1-U218)*($G$11-$E$11)*($G$11-$F$11))))</f>
        <v>0.114309538597992</v>
      </c>
      <c r="H218" s="53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-2319906643.68319</v>
      </c>
      <c r="I218" s="53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-48276681.9638596</v>
      </c>
      <c r="J218" s="53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216884093.413425</v>
      </c>
      <c r="K218" s="53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540042534.88279</v>
      </c>
      <c r="L218" s="53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662861838.676687</v>
      </c>
      <c r="M218" s="53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852239921.351434</v>
      </c>
      <c r="N218" s="53" t="n">
        <f aca="false">IF(COUNT('Business Case'!B11:G11)=0,"",H218+NPV(G218,I218:M218))</f>
        <v>-872261151.634517</v>
      </c>
      <c r="P218" s="54" t="n">
        <f aca="true">RAND()</f>
        <v>0.60704301189323</v>
      </c>
      <c r="Q218" s="54" t="n">
        <f aca="true">RAND()</f>
        <v>0.67060082000389</v>
      </c>
      <c r="R218" s="54" t="n">
        <f aca="true">RAND()</f>
        <v>0.95887817036245</v>
      </c>
      <c r="S218" s="54" t="n">
        <f aca="true">RAND()</f>
        <v>0.585139021851753</v>
      </c>
      <c r="T218" s="54" t="n">
        <f aca="true">RAND()</f>
        <v>0.891887943368486</v>
      </c>
      <c r="U218" s="54" t="n">
        <f aca="true">RAND()</f>
        <v>0.835872947328073</v>
      </c>
    </row>
    <row r="219" customFormat="false" ht="15" hidden="false" customHeight="false" outlineLevel="0" collapsed="false">
      <c r="A219" s="50" t="n">
        <v>139</v>
      </c>
      <c r="B219" s="51" t="n">
        <f aca="false">1+IF($G$6=$E$6,$F$6,IF(P219&lt;($F$6-$E$6)/($G$6-$E$6),$E$6+SQRT(P219*($G$6-$E$6)*($F$6-$E$6)),$G$6-SQRT((1-P219)*($G$6-$E$6)*($G$6-$F$6))))</f>
        <v>0.958023286696957</v>
      </c>
      <c r="C219" s="51" t="n">
        <f aca="false">1+IF($G$7=$E$7,$F$7,IF(Q219&lt;($F$7-$E$7)/($G$7-$E$7),$E$7+SQRT(Q219*($G$7-$E$7)*($F$7-$E$7)),$G$7-SQRT((1-Q219)*($G$7-$E$7)*($G$7-$F$7))))</f>
        <v>0.987423928924787</v>
      </c>
      <c r="D219" s="51" t="n">
        <f aca="false">1+IF($G$8=$E$8,$F$8,IF(R219&lt;($F$8-$E$8)/($G$8-$E$8),$E$8+SQRT(R219*($G$8-$E$8)*($F$8-$E$8)),$G$8-SQRT((1-R219)*($G$8-$E$8)*($G$8-$F$8))))</f>
        <v>1.00609330453798</v>
      </c>
      <c r="E219" s="51" t="n">
        <f aca="false">1+IF($G$9=$E$9,$F$9,IF(S219&lt;($F$9-$E$9)/($G$9-$E$9),$E$9+SQRT(S219*($G$9-$E$9)*($F$9-$E$9)),$G$9-SQRT((1-S219)*($G$9-$E$9)*($G$9-$F$9))))</f>
        <v>1.01615227715211</v>
      </c>
      <c r="F219" s="51" t="n">
        <f aca="false">1+IF($G$10=$E$10,$F$10,IF(T219&lt;($F$10-$E$10)/($G$10-$E$10),$E$10+SQRT(T219*($G$10-$E$10)*($F$10-$E$10)),$G$10-SQRT((1-T219)*($G$10-$E$10)*($G$10-$F$10))))</f>
        <v>1.07634598364177</v>
      </c>
      <c r="G219" s="52" t="n">
        <f aca="false">IF($G$11=$E$11,$F$11,IF(U219&lt;($F$11-$E$11)/($G$11-$E$11),$E$11+SQRT(U219*($G$11-$E$11)*($F$11-$E$11)),$G$11-SQRT((1-U219)*($G$11-$E$11)*($G$11-$F$11))))</f>
        <v>0.105361441413667</v>
      </c>
      <c r="H219" s="53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-2152691967.28354</v>
      </c>
      <c r="I219" s="53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-34911184.443498</v>
      </c>
      <c r="J219" s="53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231348433.392462</v>
      </c>
      <c r="K219" s="53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551425350.410511</v>
      </c>
      <c r="L219" s="53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672871456.425331</v>
      </c>
      <c r="M219" s="53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852682406.807583</v>
      </c>
      <c r="N219" s="53" t="n">
        <f aca="false">IF(COUNT('Business Case'!B11:G11)=0,"",H219+NPV(G219,I219:M219))</f>
        <v>-619173130.528757</v>
      </c>
      <c r="P219" s="54" t="n">
        <f aca="true">RAND()</f>
        <v>0.224446786607816</v>
      </c>
      <c r="Q219" s="54" t="n">
        <f aca="true">RAND()</f>
        <v>0.611944554952303</v>
      </c>
      <c r="R219" s="54" t="n">
        <f aca="true">RAND()</f>
        <v>0.412102169826897</v>
      </c>
      <c r="S219" s="54" t="n">
        <f aca="true">RAND()</f>
        <v>0.52226098902493</v>
      </c>
      <c r="T219" s="54" t="n">
        <f aca="true">RAND()</f>
        <v>0.597923768035416</v>
      </c>
      <c r="U219" s="54" t="n">
        <f aca="true">RAND()</f>
        <v>0.595294287191907</v>
      </c>
    </row>
    <row r="220" customFormat="false" ht="15" hidden="false" customHeight="false" outlineLevel="0" collapsed="false">
      <c r="A220" s="50" t="n">
        <v>140</v>
      </c>
      <c r="B220" s="51" t="n">
        <f aca="false">1+IF($G$6=$E$6,$F$6,IF(P220&lt;($F$6-$E$6)/($G$6-$E$6),$E$6+SQRT(P220*($G$6-$E$6)*($F$6-$E$6)),$G$6-SQRT((1-P220)*($G$6-$E$6)*($G$6-$F$6))))</f>
        <v>1.03287342184651</v>
      </c>
      <c r="C220" s="51" t="n">
        <f aca="false">1+IF($G$7=$E$7,$F$7,IF(Q220&lt;($F$7-$E$7)/($G$7-$E$7),$E$7+SQRT(Q220*($G$7-$E$7)*($F$7-$E$7)),$G$7-SQRT((1-Q220)*($G$7-$E$7)*($G$7-$F$7))))</f>
        <v>0.848518005067122</v>
      </c>
      <c r="D220" s="51" t="n">
        <f aca="false">1+IF($G$8=$E$8,$F$8,IF(R220&lt;($F$8-$E$8)/($G$8-$E$8),$E$8+SQRT(R220*($G$8-$E$8)*($F$8-$E$8)),$G$8-SQRT((1-R220)*($G$8-$E$8)*($G$8-$F$8))))</f>
        <v>0.997581949587858</v>
      </c>
      <c r="E220" s="51" t="n">
        <f aca="false">1+IF($G$9=$E$9,$F$9,IF(S220&lt;($F$9-$E$9)/($G$9-$E$9),$E$9+SQRT(S220*($G$9-$E$9)*($F$9-$E$9)),$G$9-SQRT((1-S220)*($G$9-$E$9)*($G$9-$F$9))))</f>
        <v>0.993863659990754</v>
      </c>
      <c r="F220" s="51" t="n">
        <f aca="false">1+IF($G$10=$E$10,$F$10,IF(T220&lt;($F$10-$E$10)/($G$10-$E$10),$E$10+SQRT(T220*($G$10-$E$10)*($F$10-$E$10)),$G$10-SQRT((1-T220)*($G$10-$E$10)*($G$10-$F$10))))</f>
        <v>1.0945908586028</v>
      </c>
      <c r="G220" s="52" t="n">
        <f aca="false">IF($G$11=$E$11,$F$11,IF(U220&lt;($F$11-$E$11)/($G$11-$E$11),$E$11+SQRT(U220*($G$11-$E$11)*($F$11-$E$11)),$G$11-SQRT((1-U220)*($G$11-$E$11)*($G$11-$F$11))))</f>
        <v>0.115016568899068</v>
      </c>
      <c r="H220" s="53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-2189181717.20561</v>
      </c>
      <c r="I220" s="53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-11698400.9589624</v>
      </c>
      <c r="J220" s="53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272822878.682165</v>
      </c>
      <c r="K220" s="53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612073701.253433</v>
      </c>
      <c r="L220" s="53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737202915.993224</v>
      </c>
      <c r="M220" s="53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903791251.053346</v>
      </c>
      <c r="N220" s="53" t="n">
        <f aca="false">IF(COUNT('Business Case'!B11:G11)=0,"",H220+NPV(G220,I220:M220))</f>
        <v>-537366257.445857</v>
      </c>
      <c r="P220" s="54" t="n">
        <f aca="true">RAND()</f>
        <v>0.960890709433656</v>
      </c>
      <c r="Q220" s="54" t="n">
        <f aca="true">RAND()</f>
        <v>0.16338961354902</v>
      </c>
      <c r="R220" s="54" t="n">
        <f aca="true">RAND()</f>
        <v>0.301872256877526</v>
      </c>
      <c r="S220" s="54" t="n">
        <f aca="true">RAND()</f>
        <v>0.352415466674398</v>
      </c>
      <c r="T220" s="54" t="n">
        <f aca="true">RAND()</f>
        <v>0.677973316935814</v>
      </c>
      <c r="U220" s="54" t="n">
        <f aca="true">RAND()</f>
        <v>0.85033119496241</v>
      </c>
    </row>
    <row r="221" customFormat="false" ht="15" hidden="false" customHeight="false" outlineLevel="0" collapsed="false">
      <c r="A221" s="50" t="n">
        <v>141</v>
      </c>
      <c r="B221" s="51" t="n">
        <f aca="false">1+IF($G$6=$E$6,$F$6,IF(P221&lt;($F$6-$E$6)/($G$6-$E$6),$E$6+SQRT(P221*($G$6-$E$6)*($F$6-$E$6)),$G$6-SQRT((1-P221)*($G$6-$E$6)*($G$6-$F$6))))</f>
        <v>0.955057081298548</v>
      </c>
      <c r="C221" s="51" t="n">
        <f aca="false">1+IF($G$7=$E$7,$F$7,IF(Q221&lt;($F$7-$E$7)/($G$7-$E$7),$E$7+SQRT(Q221*($G$7-$E$7)*($F$7-$E$7)),$G$7-SQRT((1-Q221)*($G$7-$E$7)*($G$7-$F$7))))</f>
        <v>1.00780189600477</v>
      </c>
      <c r="D221" s="51" t="n">
        <f aca="false">1+IF($G$8=$E$8,$F$8,IF(R221&lt;($F$8-$E$8)/($G$8-$E$8),$E$8+SQRT(R221*($G$8-$E$8)*($F$8-$E$8)),$G$8-SQRT((1-R221)*($G$8-$E$8)*($G$8-$F$8))))</f>
        <v>0.987293886239162</v>
      </c>
      <c r="E221" s="51" t="n">
        <f aca="false">1+IF($G$9=$E$9,$F$9,IF(S221&lt;($F$9-$E$9)/($G$9-$E$9),$E$9+SQRT(S221*($G$9-$E$9)*($F$9-$E$9)),$G$9-SQRT((1-S221)*($G$9-$E$9)*($G$9-$F$9))))</f>
        <v>1.03935197139493</v>
      </c>
      <c r="F221" s="51" t="n">
        <f aca="false">1+IF($G$10=$E$10,$F$10,IF(T221&lt;($F$10-$E$10)/($G$10-$E$10),$E$10+SQRT(T221*($G$10-$E$10)*($F$10-$E$10)),$G$10-SQRT((1-T221)*($G$10-$E$10)*($G$10-$F$10))))</f>
        <v>1.04234999782913</v>
      </c>
      <c r="G221" s="52" t="n">
        <f aca="false">IF($G$11=$E$11,$F$11,IF(U221&lt;($F$11-$E$11)/($G$11-$E$11),$E$11+SQRT(U221*($G$11-$E$11)*($F$11-$E$11)),$G$11-SQRT((1-U221)*($G$11-$E$11)*($G$11-$F$11))))</f>
        <v>0.102886153905145</v>
      </c>
      <c r="H221" s="53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-2084699995.65825</v>
      </c>
      <c r="I221" s="53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-22922338.758811</v>
      </c>
      <c r="J221" s="53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256082604.804601</v>
      </c>
      <c r="K221" s="53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587205048.259469</v>
      </c>
      <c r="L221" s="53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713470984.251907</v>
      </c>
      <c r="M221" s="53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896424569.01073</v>
      </c>
      <c r="N221" s="53" t="n">
        <f aca="false">IF(COUNT('Business Case'!B11:G11)=0,"",H221+NPV(G221,I221:M221))</f>
        <v>-425636868.766514</v>
      </c>
      <c r="P221" s="54" t="n">
        <f aca="true">RAND()</f>
        <v>0.202085480074325</v>
      </c>
      <c r="Q221" s="54" t="n">
        <f aca="true">RAND()</f>
        <v>0.700439988446822</v>
      </c>
      <c r="R221" s="54" t="n">
        <f aca="true">RAND()</f>
        <v>0.185444526775942</v>
      </c>
      <c r="S221" s="54" t="n">
        <f aca="true">RAND()</f>
        <v>0.673520367088293</v>
      </c>
      <c r="T221" s="54" t="n">
        <f aca="true">RAND()</f>
        <v>0.425086354645821</v>
      </c>
      <c r="U221" s="54" t="n">
        <f aca="true">RAND()</f>
        <v>0.509892899962998</v>
      </c>
    </row>
    <row r="222" customFormat="false" ht="15" hidden="false" customHeight="false" outlineLevel="0" collapsed="false">
      <c r="A222" s="50" t="n">
        <v>142</v>
      </c>
      <c r="B222" s="51" t="n">
        <f aca="false">1+IF($G$6=$E$6,$F$6,IF(P222&lt;($F$6-$E$6)/($G$6-$E$6),$E$6+SQRT(P222*($G$6-$E$6)*($F$6-$E$6)),$G$6-SQRT((1-P222)*($G$6-$E$6)*($G$6-$F$6))))</f>
        <v>1.01017035284805</v>
      </c>
      <c r="C222" s="51" t="n">
        <f aca="false">1+IF($G$7=$E$7,$F$7,IF(Q222&lt;($F$7-$E$7)/($G$7-$E$7),$E$7+SQRT(Q222*($G$7-$E$7)*($F$7-$E$7)),$G$7-SQRT((1-Q222)*($G$7-$E$7)*($G$7-$F$7))))</f>
        <v>0.840284080271841</v>
      </c>
      <c r="D222" s="51" t="n">
        <f aca="false">1+IF($G$8=$E$8,$F$8,IF(R222&lt;($F$8-$E$8)/($G$8-$E$8),$E$8+SQRT(R222*($G$8-$E$8)*($F$8-$E$8)),$G$8-SQRT((1-R222)*($G$8-$E$8)*($G$8-$F$8))))</f>
        <v>1.08213336591416</v>
      </c>
      <c r="E222" s="51" t="n">
        <f aca="false">1+IF($G$9=$E$9,$F$9,IF(S222&lt;($F$9-$E$9)/($G$9-$E$9),$E$9+SQRT(S222*($G$9-$E$9)*($F$9-$E$9)),$G$9-SQRT((1-S222)*($G$9-$E$9)*($G$9-$F$9))))</f>
        <v>0.907042275319564</v>
      </c>
      <c r="F222" s="51" t="n">
        <f aca="false">1+IF($G$10=$E$10,$F$10,IF(T222&lt;($F$10-$E$10)/($G$10-$E$10),$E$10+SQRT(T222*($G$10-$E$10)*($F$10-$E$10)),$G$10-SQRT((1-T222)*($G$10-$E$10)*($G$10-$F$10))))</f>
        <v>1.02981568156126</v>
      </c>
      <c r="G222" s="52" t="n">
        <f aca="false">IF($G$11=$E$11,$F$11,IF(U222&lt;($F$11-$E$11)/($G$11-$E$11),$E$11+SQRT(U222*($G$11-$E$11)*($F$11-$E$11)),$G$11-SQRT((1-U222)*($G$11-$E$11)*($G$11-$F$11))))</f>
        <v>0.0954507273654811</v>
      </c>
      <c r="H222" s="53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-2059631363.12253</v>
      </c>
      <c r="I222" s="53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-46201959.9964737</v>
      </c>
      <c r="J222" s="53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183562410.327845</v>
      </c>
      <c r="K222" s="53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464817564.730227</v>
      </c>
      <c r="L222" s="53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570741255.247816</v>
      </c>
      <c r="M222" s="53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732086874.166637</v>
      </c>
      <c r="N222" s="53" t="n">
        <f aca="false">IF(COUNT('Business Case'!B11:G11)=0,"",H222+NPV(G222,I222:M222))</f>
        <v>-734821320.100275</v>
      </c>
      <c r="P222" s="54" t="n">
        <f aca="true">RAND()</f>
        <v>0.788479894366779</v>
      </c>
      <c r="Q222" s="54" t="n">
        <f aca="true">RAND()</f>
        <v>0.145774986501602</v>
      </c>
      <c r="R222" s="54" t="n">
        <f aca="true">RAND()</f>
        <v>0.978718892429506</v>
      </c>
      <c r="S222" s="54" t="n">
        <f aca="true">RAND()</f>
        <v>0.00198374566706181</v>
      </c>
      <c r="T222" s="54" t="n">
        <f aca="true">RAND()</f>
        <v>0.353584878848928</v>
      </c>
      <c r="U222" s="54" t="n">
        <f aca="true">RAND()</f>
        <v>0.238724976122426</v>
      </c>
    </row>
    <row r="223" customFormat="false" ht="15" hidden="false" customHeight="false" outlineLevel="0" collapsed="false">
      <c r="A223" s="50" t="n">
        <v>143</v>
      </c>
      <c r="B223" s="51" t="n">
        <f aca="false">1+IF($G$6=$E$6,$F$6,IF(P223&lt;($F$6-$E$6)/($G$6-$E$6),$E$6+SQRT(P223*($G$6-$E$6)*($F$6-$E$6)),$G$6-SQRT((1-P223)*($G$6-$E$6)*($G$6-$F$6))))</f>
        <v>1.02362160283817</v>
      </c>
      <c r="C223" s="51" t="n">
        <f aca="false">1+IF($G$7=$E$7,$F$7,IF(Q223&lt;($F$7-$E$7)/($G$7-$E$7),$E$7+SQRT(Q223*($G$7-$E$7)*($F$7-$E$7)),$G$7-SQRT((1-Q223)*($G$7-$E$7)*($G$7-$F$7))))</f>
        <v>1.01467181319604</v>
      </c>
      <c r="D223" s="51" t="n">
        <f aca="false">1+IF($G$8=$E$8,$F$8,IF(R223&lt;($F$8-$E$8)/($G$8-$E$8),$E$8+SQRT(R223*($G$8-$E$8)*($F$8-$E$8)),$G$8-SQRT((1-R223)*($G$8-$E$8)*($G$8-$F$8))))</f>
        <v>1.03909928957281</v>
      </c>
      <c r="E223" s="51" t="n">
        <f aca="false">1+IF($G$9=$E$9,$F$9,IF(S223&lt;($F$9-$E$9)/($G$9-$E$9),$E$9+SQRT(S223*($G$9-$E$9)*($F$9-$E$9)),$G$9-SQRT((1-S223)*($G$9-$E$9)*($G$9-$F$9))))</f>
        <v>0.959678215088841</v>
      </c>
      <c r="F223" s="51" t="n">
        <f aca="false">1+IF($G$10=$E$10,$F$10,IF(T223&lt;($F$10-$E$10)/($G$10-$E$10),$E$10+SQRT(T223*($G$10-$E$10)*($F$10-$E$10)),$G$10-SQRT((1-T223)*($G$10-$E$10)*($G$10-$F$10))))</f>
        <v>1.08408007084935</v>
      </c>
      <c r="G223" s="52" t="n">
        <f aca="false">IF($G$11=$E$11,$F$11,IF(U223&lt;($F$11-$E$11)/($G$11-$E$11),$E$11+SQRT(U223*($G$11-$E$11)*($F$11-$E$11)),$G$11-SQRT((1-U223)*($G$11-$E$11)*($G$11-$F$11))))</f>
        <v>0.111949969868621</v>
      </c>
      <c r="H223" s="53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-2168160141.69869</v>
      </c>
      <c r="I223" s="53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12263416.1698005</v>
      </c>
      <c r="J223" s="53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323244178.576603</v>
      </c>
      <c r="K223" s="53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688428944.525873</v>
      </c>
      <c r="L223" s="53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827984596.639096</v>
      </c>
      <c r="M223" s="53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1025409285.51602</v>
      </c>
      <c r="N223" s="53" t="n">
        <f aca="false">IF(COUNT('Business Case'!B11:G11)=0,"",H223+NPV(G223,I223:M223))</f>
        <v>-250152078.535335</v>
      </c>
      <c r="P223" s="54" t="n">
        <f aca="true">RAND()</f>
        <v>0.907224021756346</v>
      </c>
      <c r="Q223" s="54" t="n">
        <f aca="true">RAND()</f>
        <v>0.728685657131152</v>
      </c>
      <c r="R223" s="54" t="n">
        <f aca="true">RAND()</f>
        <v>0.752740231297574</v>
      </c>
      <c r="S223" s="54" t="n">
        <f aca="true">RAND()</f>
        <v>0.142459574247599</v>
      </c>
      <c r="T223" s="54" t="n">
        <f aca="true">RAND()</f>
        <v>0.63294102814189</v>
      </c>
      <c r="U223" s="54" t="n">
        <f aca="true">RAND()</f>
        <v>0.782797608170882</v>
      </c>
    </row>
    <row r="224" customFormat="false" ht="15" hidden="false" customHeight="false" outlineLevel="0" collapsed="false">
      <c r="A224" s="50" t="n">
        <v>144</v>
      </c>
      <c r="B224" s="51" t="n">
        <f aca="false">1+IF($G$6=$E$6,$F$6,IF(P224&lt;($F$6-$E$6)/($G$6-$E$6),$E$6+SQRT(P224*($G$6-$E$6)*($F$6-$E$6)),$G$6-SQRT((1-P224)*($G$6-$E$6)*($G$6-$F$6))))</f>
        <v>0.945045628857734</v>
      </c>
      <c r="C224" s="51" t="n">
        <f aca="false">1+IF($G$7=$E$7,$F$7,IF(Q224&lt;($F$7-$E$7)/($G$7-$E$7),$E$7+SQRT(Q224*($G$7-$E$7)*($F$7-$E$7)),$G$7-SQRT((1-Q224)*($G$7-$E$7)*($G$7-$F$7))))</f>
        <v>1.02177315289217</v>
      </c>
      <c r="D224" s="51" t="n">
        <f aca="false">1+IF($G$8=$E$8,$F$8,IF(R224&lt;($F$8-$E$8)/($G$8-$E$8),$E$8+SQRT(R224*($G$8-$E$8)*($F$8-$E$8)),$G$8-SQRT((1-R224)*($G$8-$E$8)*($G$8-$F$8))))</f>
        <v>0.996880689308069</v>
      </c>
      <c r="E224" s="51" t="n">
        <f aca="false">1+IF($G$9=$E$9,$F$9,IF(S224&lt;($F$9-$E$9)/($G$9-$E$9),$E$9+SQRT(S224*($G$9-$E$9)*($F$9-$E$9)),$G$9-SQRT((1-S224)*($G$9-$E$9)*($G$9-$F$9))))</f>
        <v>1.05389517543285</v>
      </c>
      <c r="F224" s="51" t="n">
        <f aca="false">1+IF($G$10=$E$10,$F$10,IF(T224&lt;($F$10-$E$10)/($G$10-$E$10),$E$10+SQRT(T224*($G$10-$E$10)*($F$10-$E$10)),$G$10-SQRT((1-T224)*($G$10-$E$10)*($G$10-$F$10))))</f>
        <v>1.01763898328052</v>
      </c>
      <c r="G224" s="52" t="n">
        <f aca="false">IF($G$11=$E$11,$F$11,IF(U224&lt;($F$11-$E$11)/($G$11-$E$11),$E$11+SQRT(U224*($G$11-$E$11)*($F$11-$E$11)),$G$11-SQRT((1-U224)*($G$11-$E$11)*($G$11-$F$11))))</f>
        <v>0.107280762557131</v>
      </c>
      <c r="H224" s="53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-2035277966.56104</v>
      </c>
      <c r="I224" s="53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-32206007.4739331</v>
      </c>
      <c r="J224" s="53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237273634.861343</v>
      </c>
      <c r="K224" s="53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557635226.360645</v>
      </c>
      <c r="L224" s="53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680833678.828806</v>
      </c>
      <c r="M224" s="53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864379156.455689</v>
      </c>
      <c r="N224" s="53" t="n">
        <f aca="false">IF(COUNT('Business Case'!B11:G11)=0,"",H224+NPV(G224,I224:M224))</f>
        <v>-487885963.797535</v>
      </c>
      <c r="P224" s="54" t="n">
        <f aca="true">RAND()</f>
        <v>0.135273911945913</v>
      </c>
      <c r="Q224" s="54" t="n">
        <f aca="true">RAND()</f>
        <v>0.756412973048681</v>
      </c>
      <c r="R224" s="54" t="n">
        <f aca="true">RAND()</f>
        <v>0.29303987066662</v>
      </c>
      <c r="S224" s="54" t="n">
        <f aca="true">RAND()</f>
        <v>0.753703005197818</v>
      </c>
      <c r="T224" s="54" t="n">
        <f aca="true">RAND()</f>
        <v>0.280111438787875</v>
      </c>
      <c r="U224" s="54" t="n">
        <f aca="true">RAND()</f>
        <v>0.655890833343034</v>
      </c>
    </row>
    <row r="225" customFormat="false" ht="15" hidden="false" customHeight="false" outlineLevel="0" collapsed="false">
      <c r="A225" s="50" t="n">
        <v>145</v>
      </c>
      <c r="B225" s="51" t="n">
        <f aca="false">1+IF($G$6=$E$6,$F$6,IF(P225&lt;($F$6-$E$6)/($G$6-$E$6),$E$6+SQRT(P225*($G$6-$E$6)*($F$6-$E$6)),$G$6-SQRT((1-P225)*($G$6-$E$6)*($G$6-$F$6))))</f>
        <v>0.996242374259923</v>
      </c>
      <c r="C225" s="51" t="n">
        <f aca="false">1+IF($G$7=$E$7,$F$7,IF(Q225&lt;($F$7-$E$7)/($G$7-$E$7),$E$7+SQRT(Q225*($G$7-$E$7)*($F$7-$E$7)),$G$7-SQRT((1-Q225)*($G$7-$E$7)*($G$7-$F$7))))</f>
        <v>0.995266498442485</v>
      </c>
      <c r="D225" s="51" t="n">
        <f aca="false">1+IF($G$8=$E$8,$F$8,IF(R225&lt;($F$8-$E$8)/($G$8-$E$8),$E$8+SQRT(R225*($G$8-$E$8)*($F$8-$E$8)),$G$8-SQRT((1-R225)*($G$8-$E$8)*($G$8-$F$8))))</f>
        <v>0.964059357673779</v>
      </c>
      <c r="E225" s="51" t="n">
        <f aca="false">1+IF($G$9=$E$9,$F$9,IF(S225&lt;($F$9-$E$9)/($G$9-$E$9),$E$9+SQRT(S225*($G$9-$E$9)*($F$9-$E$9)),$G$9-SQRT((1-S225)*($G$9-$E$9)*($G$9-$F$9))))</f>
        <v>1.09725107989229</v>
      </c>
      <c r="F225" s="51" t="n">
        <f aca="false">1+IF($G$10=$E$10,$F$10,IF(T225&lt;($F$10-$E$10)/($G$10-$E$10),$E$10+SQRT(T225*($G$10-$E$10)*($F$10-$E$10)),$G$10-SQRT((1-T225)*($G$10-$E$10)*($G$10-$F$10))))</f>
        <v>0.986644708076475</v>
      </c>
      <c r="G225" s="52" t="n">
        <f aca="false">IF($G$11=$E$11,$F$11,IF(U225&lt;($F$11-$E$11)/($G$11-$E$11),$E$11+SQRT(U225*($G$11-$E$11)*($F$11-$E$11)),$G$11-SQRT((1-U225)*($G$11-$E$11)*($G$11-$F$11))))</f>
        <v>0.0945467485857262</v>
      </c>
      <c r="H225" s="53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-1973289416.15295</v>
      </c>
      <c r="I225" s="53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14852224.9019548</v>
      </c>
      <c r="J225" s="53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335798766.197076</v>
      </c>
      <c r="K225" s="53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706077542.896021</v>
      </c>
      <c r="L225" s="53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847326884.677618</v>
      </c>
      <c r="M225" s="53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1035796272.10202</v>
      </c>
      <c r="N225" s="53" t="n">
        <f aca="false">IF(COUNT('Business Case'!B11:G11)=0,"",H225+NPV(G225,I225:M225))</f>
        <v>108712318.506649</v>
      </c>
      <c r="P225" s="54" t="n">
        <f aca="true">RAND()</f>
        <v>0.617506306879132</v>
      </c>
      <c r="Q225" s="54" t="n">
        <f aca="true">RAND()</f>
        <v>0.645794852611008</v>
      </c>
      <c r="R225" s="54" t="n">
        <f aca="true">RAND()</f>
        <v>0.0263554050932332</v>
      </c>
      <c r="S225" s="54" t="n">
        <f aca="true">RAND()</f>
        <v>0.9258013713992</v>
      </c>
      <c r="T225" s="54" t="n">
        <f aca="true">RAND()</f>
        <v>0.0895223086673389</v>
      </c>
      <c r="U225" s="54" t="n">
        <f aca="true">RAND()</f>
        <v>0.211607894416328</v>
      </c>
    </row>
    <row r="226" customFormat="false" ht="15" hidden="false" customHeight="false" outlineLevel="0" collapsed="false">
      <c r="A226" s="50" t="n">
        <v>146</v>
      </c>
      <c r="B226" s="51" t="n">
        <f aca="false">1+IF($G$6=$E$6,$F$6,IF(P226&lt;($F$6-$E$6)/($G$6-$E$6),$E$6+SQRT(P226*($G$6-$E$6)*($F$6-$E$6)),$G$6-SQRT((1-P226)*($G$6-$E$6)*($G$6-$F$6))))</f>
        <v>0.96446937802849</v>
      </c>
      <c r="C226" s="51" t="n">
        <f aca="false">1+IF($G$7=$E$7,$F$7,IF(Q226&lt;($F$7-$E$7)/($G$7-$E$7),$E$7+SQRT(Q226*($G$7-$E$7)*($F$7-$E$7)),$G$7-SQRT((1-Q226)*($G$7-$E$7)*($G$7-$F$7))))</f>
        <v>1.10302123214125</v>
      </c>
      <c r="D226" s="51" t="n">
        <f aca="false">1+IF($G$8=$E$8,$F$8,IF(R226&lt;($F$8-$E$8)/($G$8-$E$8),$E$8+SQRT(R226*($G$8-$E$8)*($F$8-$E$8)),$G$8-SQRT((1-R226)*($G$8-$E$8)*($G$8-$F$8))))</f>
        <v>1.05453489545097</v>
      </c>
      <c r="E226" s="51" t="n">
        <f aca="false">1+IF($G$9=$E$9,$F$9,IF(S226&lt;($F$9-$E$9)/($G$9-$E$9),$E$9+SQRT(S226*($G$9-$E$9)*($F$9-$E$9)),$G$9-SQRT((1-S226)*($G$9-$E$9)*($G$9-$F$9))))</f>
        <v>1.09238309186774</v>
      </c>
      <c r="F226" s="51" t="n">
        <f aca="false">1+IF($G$10=$E$10,$F$10,IF(T226&lt;($F$10-$E$10)/($G$10-$E$10),$E$10+SQRT(T226*($G$10-$E$10)*($F$10-$E$10)),$G$10-SQRT((1-T226)*($G$10-$E$10)*($G$10-$F$10))))</f>
        <v>1.15339415376041</v>
      </c>
      <c r="G226" s="52" t="n">
        <f aca="false">IF($G$11=$E$11,$F$11,IF(U226&lt;($F$11-$E$11)/($G$11-$E$11),$E$11+SQRT(U226*($G$11-$E$11)*($F$11-$E$11)),$G$11-SQRT((1-U226)*($G$11-$E$11)*($G$11-$F$11))))</f>
        <v>0.111597593258007</v>
      </c>
      <c r="H226" s="53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-2306788307.52082</v>
      </c>
      <c r="I226" s="53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-49923946.1814113</v>
      </c>
      <c r="J226" s="53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225977356.333742</v>
      </c>
      <c r="K226" s="53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559548366.536915</v>
      </c>
      <c r="L226" s="53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688281439.146586</v>
      </c>
      <c r="M226" s="53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890494283.888666</v>
      </c>
      <c r="N226" s="53" t="n">
        <f aca="false">IF(COUNT('Business Case'!B11:G11)=0,"",H226+NPV(G226,I226:M226))</f>
        <v>-785973478.546284</v>
      </c>
      <c r="P226" s="54" t="n">
        <f aca="true">RAND()</f>
        <v>0.277086713558688</v>
      </c>
      <c r="Q226" s="54" t="n">
        <f aca="true">RAND()</f>
        <v>0.967303635118125</v>
      </c>
      <c r="R226" s="54" t="n">
        <f aca="true">RAND()</f>
        <v>0.862194951223069</v>
      </c>
      <c r="S226" s="54" t="n">
        <f aca="true">RAND()</f>
        <v>0.911474450594094</v>
      </c>
      <c r="T226" s="54" t="n">
        <f aca="true">RAND()</f>
        <v>0.875564139631101</v>
      </c>
      <c r="U226" s="54" t="n">
        <f aca="true">RAND()</f>
        <v>0.774234284068157</v>
      </c>
    </row>
    <row r="227" customFormat="false" ht="15" hidden="false" customHeight="false" outlineLevel="0" collapsed="false">
      <c r="A227" s="50" t="n">
        <v>147</v>
      </c>
      <c r="B227" s="51" t="n">
        <f aca="false">1+IF($G$6=$E$6,$F$6,IF(P227&lt;($F$6-$E$6)/($G$6-$E$6),$E$6+SQRT(P227*($G$6-$E$6)*($F$6-$E$6)),$G$6-SQRT((1-P227)*($G$6-$E$6)*($G$6-$F$6))))</f>
        <v>0.968184068743747</v>
      </c>
      <c r="C227" s="51" t="n">
        <f aca="false">1+IF($G$7=$E$7,$F$7,IF(Q227&lt;($F$7-$E$7)/($G$7-$E$7),$E$7+SQRT(Q227*($G$7-$E$7)*($F$7-$E$7)),$G$7-SQRT((1-Q227)*($G$7-$E$7)*($G$7-$F$7))))</f>
        <v>0.982004423485802</v>
      </c>
      <c r="D227" s="51" t="n">
        <f aca="false">1+IF($G$8=$E$8,$F$8,IF(R227&lt;($F$8-$E$8)/($G$8-$E$8),$E$8+SQRT(R227*($G$8-$E$8)*($F$8-$E$8)),$G$8-SQRT((1-R227)*($G$8-$E$8)*($G$8-$F$8))))</f>
        <v>0.97349989514323</v>
      </c>
      <c r="E227" s="51" t="n">
        <f aca="false">1+IF($G$9=$E$9,$F$9,IF(S227&lt;($F$9-$E$9)/($G$9-$E$9),$E$9+SQRT(S227*($G$9-$E$9)*($F$9-$E$9)),$G$9-SQRT((1-S227)*($G$9-$E$9)*($G$9-$F$9))))</f>
        <v>1.11493109400885</v>
      </c>
      <c r="F227" s="51" t="n">
        <f aca="false">1+IF($G$10=$E$10,$F$10,IF(T227&lt;($F$10-$E$10)/($G$10-$E$10),$E$10+SQRT(T227*($G$10-$E$10)*($F$10-$E$10)),$G$10-SQRT((1-T227)*($G$10-$E$10)*($G$10-$F$10))))</f>
        <v>1.08410354905235</v>
      </c>
      <c r="G227" s="52" t="n">
        <f aca="false">IF($G$11=$E$11,$F$11,IF(U227&lt;($F$11-$E$11)/($G$11-$E$11),$E$11+SQRT(U227*($G$11-$E$11)*($F$11-$E$11)),$G$11-SQRT((1-U227)*($G$11-$E$11)*($G$11-$F$11))))</f>
        <v>0.0937131213478878</v>
      </c>
      <c r="H227" s="53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-2168207098.10471</v>
      </c>
      <c r="I227" s="53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-26885161.1610236</v>
      </c>
      <c r="J227" s="53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262470686.374378</v>
      </c>
      <c r="K227" s="53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606031711.362397</v>
      </c>
      <c r="L227" s="53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735341962.022951</v>
      </c>
      <c r="M227" s="53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916062620.174431</v>
      </c>
      <c r="N227" s="53" t="n">
        <f aca="false">IF(COUNT('Business Case'!B11:G11)=0,"",H227+NPV(G227,I227:M227))</f>
        <v>-410915855.529227</v>
      </c>
      <c r="P227" s="54" t="n">
        <f aca="true">RAND()</f>
        <v>0.30993781536347</v>
      </c>
      <c r="Q227" s="54" t="n">
        <f aca="true">RAND()</f>
        <v>0.589085147152292</v>
      </c>
      <c r="R227" s="54" t="n">
        <f aca="true">RAND()</f>
        <v>0.0736326762323753</v>
      </c>
      <c r="S227" s="54" t="n">
        <f aca="true">RAND()</f>
        <v>0.967204582202239</v>
      </c>
      <c r="T227" s="54" t="n">
        <f aca="true">RAND()</f>
        <v>0.633044900839672</v>
      </c>
      <c r="U227" s="54" t="n">
        <f aca="true">RAND()</f>
        <v>0.188049697101896</v>
      </c>
    </row>
    <row r="228" customFormat="false" ht="15" hidden="false" customHeight="false" outlineLevel="0" collapsed="false">
      <c r="A228" s="50" t="n">
        <v>148</v>
      </c>
      <c r="B228" s="51" t="n">
        <f aca="false">1+IF($G$6=$E$6,$F$6,IF(P228&lt;($F$6-$E$6)/($G$6-$E$6),$E$6+SQRT(P228*($G$6-$E$6)*($F$6-$E$6)),$G$6-SQRT((1-P228)*($G$6-$E$6)*($G$6-$F$6))))</f>
        <v>0.967984174789308</v>
      </c>
      <c r="C228" s="51" t="n">
        <f aca="false">1+IF($G$7=$E$7,$F$7,IF(Q228&lt;($F$7-$E$7)/($G$7-$E$7),$E$7+SQRT(Q228*($G$7-$E$7)*($F$7-$E$7)),$G$7-SQRT((1-Q228)*($G$7-$E$7)*($G$7-$F$7))))</f>
        <v>0.8432445977351</v>
      </c>
      <c r="D228" s="51" t="n">
        <f aca="false">1+IF($G$8=$E$8,$F$8,IF(R228&lt;($F$8-$E$8)/($G$8-$E$8),$E$8+SQRT(R228*($G$8-$E$8)*($F$8-$E$8)),$G$8-SQRT((1-R228)*($G$8-$E$8)*($G$8-$F$8))))</f>
        <v>0.980872524548381</v>
      </c>
      <c r="E228" s="51" t="n">
        <f aca="false">1+IF($G$9=$E$9,$F$9,IF(S228&lt;($F$9-$E$9)/($G$9-$E$9),$E$9+SQRT(S228*($G$9-$E$9)*($F$9-$E$9)),$G$9-SQRT((1-S228)*($G$9-$E$9)*($G$9-$F$9))))</f>
        <v>1.03557560802404</v>
      </c>
      <c r="F228" s="51" t="n">
        <f aca="false">1+IF($G$10=$E$10,$F$10,IF(T228&lt;($F$10-$E$10)/($G$10-$E$10),$E$10+SQRT(T228*($G$10-$E$10)*($F$10-$E$10)),$G$10-SQRT((1-T228)*($G$10-$E$10)*($G$10-$F$10))))</f>
        <v>1.08093182254944</v>
      </c>
      <c r="G228" s="52" t="n">
        <f aca="false">IF($G$11=$E$11,$F$11,IF(U228&lt;($F$11-$E$11)/($G$11-$E$11),$E$11+SQRT(U228*($G$11-$E$11)*($F$11-$E$11)),$G$11-SQRT((1-U228)*($G$11-$E$11)*($G$11-$F$11))))</f>
        <v>0.111785344856266</v>
      </c>
      <c r="H228" s="53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-2161863645.09888</v>
      </c>
      <c r="I228" s="53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-52517833.4547872</v>
      </c>
      <c r="J228" s="53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192630633.374591</v>
      </c>
      <c r="K228" s="53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491825691.331441</v>
      </c>
      <c r="L228" s="53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601751357.986702</v>
      </c>
      <c r="M228" s="53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756903668.736778</v>
      </c>
      <c r="N228" s="53" t="n">
        <f aca="false">IF(COUNT('Business Case'!B11:G11)=0,"",H228+NPV(G228,I228:M228))</f>
        <v>-855927704.72591</v>
      </c>
      <c r="P228" s="54" t="n">
        <f aca="true">RAND()</f>
        <v>0.308123201452208</v>
      </c>
      <c r="Q228" s="54" t="n">
        <f aca="true">RAND()</f>
        <v>0.151992702076227</v>
      </c>
      <c r="R228" s="54" t="n">
        <f aca="true">RAND()</f>
        <v>0.127081702932048</v>
      </c>
      <c r="S228" s="54" t="n">
        <f aca="true">RAND()</f>
        <v>0.650854893891541</v>
      </c>
      <c r="T228" s="54" t="n">
        <f aca="true">RAND()</f>
        <v>0.61887935164727</v>
      </c>
      <c r="U228" s="54" t="n">
        <f aca="true">RAND()</f>
        <v>0.77881755866324</v>
      </c>
    </row>
    <row r="229" customFormat="false" ht="15" hidden="false" customHeight="false" outlineLevel="0" collapsed="false">
      <c r="A229" s="50" t="n">
        <v>149</v>
      </c>
      <c r="B229" s="51" t="n">
        <f aca="false">1+IF($G$6=$E$6,$F$6,IF(P229&lt;($F$6-$E$6)/($G$6-$E$6),$E$6+SQRT(P229*($G$6-$E$6)*($F$6-$E$6)),$G$6-SQRT((1-P229)*($G$6-$E$6)*($G$6-$F$6))))</f>
        <v>0.992931671402193</v>
      </c>
      <c r="C229" s="51" t="n">
        <f aca="false">1+IF($G$7=$E$7,$F$7,IF(Q229&lt;($F$7-$E$7)/($G$7-$E$7),$E$7+SQRT(Q229*($G$7-$E$7)*($F$7-$E$7)),$G$7-SQRT((1-Q229)*($G$7-$E$7)*($G$7-$F$7))))</f>
        <v>1.12202730122606</v>
      </c>
      <c r="D229" s="51" t="n">
        <f aca="false">1+IF($G$8=$E$8,$F$8,IF(R229&lt;($F$8-$E$8)/($G$8-$E$8),$E$8+SQRT(R229*($G$8-$E$8)*($F$8-$E$8)),$G$8-SQRT((1-R229)*($G$8-$E$8)*($G$8-$F$8))))</f>
        <v>0.990019730544661</v>
      </c>
      <c r="E229" s="51" t="n">
        <f aca="false">1+IF($G$9=$E$9,$F$9,IF(S229&lt;($F$9-$E$9)/($G$9-$E$9),$E$9+SQRT(S229*($G$9-$E$9)*($F$9-$E$9)),$G$9-SQRT((1-S229)*($G$9-$E$9)*($G$9-$F$9))))</f>
        <v>1.07152209673229</v>
      </c>
      <c r="F229" s="51" t="n">
        <f aca="false">1+IF($G$10=$E$10,$F$10,IF(T229&lt;($F$10-$E$10)/($G$10-$E$10),$E$10+SQRT(T229*($G$10-$E$10)*($F$10-$E$10)),$G$10-SQRT((1-T229)*($G$10-$E$10)*($G$10-$F$10))))</f>
        <v>1.01005865061262</v>
      </c>
      <c r="G229" s="52" t="n">
        <f aca="false">IF($G$11=$E$11,$F$11,IF(U229&lt;($F$11-$E$11)/($G$11-$E$11),$E$11+SQRT(U229*($G$11-$E$11)*($F$11-$E$11)),$G$11-SQRT((1-U229)*($G$11-$E$11)*($G$11-$F$11))))</f>
        <v>0.120247111118243</v>
      </c>
      <c r="H229" s="53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-2020117301.22524</v>
      </c>
      <c r="I229" s="53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32738468.497328</v>
      </c>
      <c r="J229" s="53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376608003.845674</v>
      </c>
      <c r="K229" s="53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770980471.724651</v>
      </c>
      <c r="L229" s="53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924106823.263716</v>
      </c>
      <c r="M229" s="53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1135874275.25661</v>
      </c>
      <c r="N229" s="53" t="n">
        <f aca="false">IF(COUNT('Business Case'!B11:G11)=0,"",H229+NPV(G229,I229:M229))</f>
        <v>88193370.834816</v>
      </c>
      <c r="P229" s="54" t="n">
        <f aca="true">RAND()</f>
        <v>0.57575303664034</v>
      </c>
      <c r="Q229" s="54" t="n">
        <f aca="true">RAND()</f>
        <v>0.988407824048925</v>
      </c>
      <c r="R229" s="54" t="n">
        <f aca="true">RAND()</f>
        <v>0.213543844382305</v>
      </c>
      <c r="S229" s="54" t="n">
        <f aca="true">RAND()</f>
        <v>0.835765831965441</v>
      </c>
      <c r="T229" s="54" t="n">
        <f aca="true">RAND()</f>
        <v>0.232375318055503</v>
      </c>
      <c r="U229" s="54" t="n">
        <f aca="true">RAND()</f>
        <v>0.936587438973399</v>
      </c>
    </row>
    <row r="230" customFormat="false" ht="15" hidden="false" customHeight="false" outlineLevel="0" collapsed="false">
      <c r="A230" s="50" t="n">
        <v>150</v>
      </c>
      <c r="B230" s="51" t="n">
        <f aca="false">1+IF($G$6=$E$6,$F$6,IF(P230&lt;($F$6-$E$6)/($G$6-$E$6),$E$6+SQRT(P230*($G$6-$E$6)*($F$6-$E$6)),$G$6-SQRT((1-P230)*($G$6-$E$6)*($G$6-$F$6))))</f>
        <v>1.00050662353085</v>
      </c>
      <c r="C230" s="51" t="n">
        <f aca="false">1+IF($G$7=$E$7,$F$7,IF(Q230&lt;($F$7-$E$7)/($G$7-$E$7),$E$7+SQRT(Q230*($G$7-$E$7)*($F$7-$E$7)),$G$7-SQRT((1-Q230)*($G$7-$E$7)*($G$7-$F$7))))</f>
        <v>1.00936415714935</v>
      </c>
      <c r="D230" s="51" t="n">
        <f aca="false">1+IF($G$8=$E$8,$F$8,IF(R230&lt;($F$8-$E$8)/($G$8-$E$8),$E$8+SQRT(R230*($G$8-$E$8)*($F$8-$E$8)),$G$8-SQRT((1-R230)*($G$8-$E$8)*($G$8-$F$8))))</f>
        <v>1.0322565136728</v>
      </c>
      <c r="E230" s="51" t="n">
        <f aca="false">1+IF($G$9=$E$9,$F$9,IF(S230&lt;($F$9-$E$9)/($G$9-$E$9),$E$9+SQRT(S230*($G$9-$E$9)*($F$9-$E$9)),$G$9-SQRT((1-S230)*($G$9-$E$9)*($G$9-$F$9))))</f>
        <v>1.01005078143956</v>
      </c>
      <c r="F230" s="51" t="n">
        <f aca="false">1+IF($G$10=$E$10,$F$10,IF(T230&lt;($F$10-$E$10)/($G$10-$E$10),$E$10+SQRT(T230*($G$10-$E$10)*($F$10-$E$10)),$G$10-SQRT((1-T230)*($G$10-$E$10)*($G$10-$F$10))))</f>
        <v>0.98705806630484</v>
      </c>
      <c r="G230" s="52" t="n">
        <f aca="false">IF($G$11=$E$11,$F$11,IF(U230&lt;($F$11-$E$11)/($G$11-$E$11),$E$11+SQRT(U230*($G$11-$E$11)*($F$11-$E$11)),$G$11-SQRT((1-U230)*($G$11-$E$11)*($G$11-$F$11))))</f>
        <v>0.100437708627978</v>
      </c>
      <c r="H230" s="53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-1974116132.60968</v>
      </c>
      <c r="I230" s="53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-907290.956403613</v>
      </c>
      <c r="J230" s="53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292872393.04311</v>
      </c>
      <c r="K230" s="53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636004980.357866</v>
      </c>
      <c r="L230" s="53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768832839.827522</v>
      </c>
      <c r="M230" s="53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960789979.578191</v>
      </c>
      <c r="N230" s="53" t="n">
        <f aca="false">IF(COUNT('Business Case'!B11:G11)=0,"",H230+NPV(G230,I230:M230))</f>
        <v>-136142190.614875</v>
      </c>
      <c r="P230" s="54" t="n">
        <f aca="true">RAND()</f>
        <v>0.673387424757734</v>
      </c>
      <c r="Q230" s="54" t="n">
        <f aca="true">RAND()</f>
        <v>0.706986069713887</v>
      </c>
      <c r="R230" s="54" t="n">
        <f aca="true">RAND()</f>
        <v>0.694054670682395</v>
      </c>
      <c r="S230" s="54" t="n">
        <f aca="true">RAND()</f>
        <v>0.477712432648581</v>
      </c>
      <c r="T230" s="54" t="n">
        <f aca="true">RAND()</f>
        <v>0.0915533518835926</v>
      </c>
      <c r="U230" s="54" t="n">
        <f aca="true">RAND()</f>
        <v>0.417380619223781</v>
      </c>
    </row>
    <row r="231" customFormat="false" ht="15" hidden="false" customHeight="false" outlineLevel="0" collapsed="false">
      <c r="A231" s="50" t="n">
        <v>151</v>
      </c>
      <c r="B231" s="51" t="n">
        <f aca="false">1+IF($G$6=$E$6,$F$6,IF(P231&lt;($F$6-$E$6)/($G$6-$E$6),$E$6+SQRT(P231*($G$6-$E$6)*($F$6-$E$6)),$G$6-SQRT((1-P231)*($G$6-$E$6)*($G$6-$F$6))))</f>
        <v>0.986780326331124</v>
      </c>
      <c r="C231" s="51" t="n">
        <f aca="false">1+IF($G$7=$E$7,$F$7,IF(Q231&lt;($F$7-$E$7)/($G$7-$E$7),$E$7+SQRT(Q231*($G$7-$E$7)*($F$7-$E$7)),$G$7-SQRT((1-Q231)*($G$7-$E$7)*($G$7-$F$7))))</f>
        <v>0.760539312544067</v>
      </c>
      <c r="D231" s="51" t="n">
        <f aca="false">1+IF($G$8=$E$8,$F$8,IF(R231&lt;($F$8-$E$8)/($G$8-$E$8),$E$8+SQRT(R231*($G$8-$E$8)*($F$8-$E$8)),$G$8-SQRT((1-R231)*($G$8-$E$8)*($G$8-$F$8))))</f>
        <v>1.02012318202437</v>
      </c>
      <c r="E231" s="51" t="n">
        <f aca="false">1+IF($G$9=$E$9,$F$9,IF(S231&lt;($F$9-$E$9)/($G$9-$E$9),$E$9+SQRT(S231*($G$9-$E$9)*($F$9-$E$9)),$G$9-SQRT((1-S231)*($G$9-$E$9)*($G$9-$F$9))))</f>
        <v>0.986098934354936</v>
      </c>
      <c r="F231" s="51" t="n">
        <f aca="false">1+IF($G$10=$E$10,$F$10,IF(T231&lt;($F$10-$E$10)/($G$10-$E$10),$E$10+SQRT(T231*($G$10-$E$10)*($F$10-$E$10)),$G$10-SQRT((1-T231)*($G$10-$E$10)*($G$10-$F$10))))</f>
        <v>1.07391584930969</v>
      </c>
      <c r="G231" s="52" t="n">
        <f aca="false">IF($G$11=$E$11,$F$11,IF(U231&lt;($F$11-$E$11)/($G$11-$E$11),$E$11+SQRT(U231*($G$11-$E$11)*($F$11-$E$11)),$G$11-SQRT((1-U231)*($G$11-$E$11)*($G$11-$F$11))))</f>
        <v>0.0975401443442669</v>
      </c>
      <c r="H231" s="53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-2147831698.61937</v>
      </c>
      <c r="I231" s="53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-68988518.3140531</v>
      </c>
      <c r="J231" s="53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148542971.144205</v>
      </c>
      <c r="K231" s="53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419770253.067948</v>
      </c>
      <c r="L231" s="53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518217519.138081</v>
      </c>
      <c r="M231" s="53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660869751.85034</v>
      </c>
      <c r="N231" s="53" t="n">
        <f aca="false">IF(COUNT('Business Case'!B11:G11)=0,"",H231+NPV(G231,I231:M231))</f>
        <v>-997769919.962957</v>
      </c>
      <c r="P231" s="54" t="n">
        <f aca="true">RAND()</f>
        <v>0.502055002542424</v>
      </c>
      <c r="Q231" s="54" t="n">
        <f aca="true">RAND()</f>
        <v>0.0271482100985792</v>
      </c>
      <c r="R231" s="54" t="n">
        <f aca="true">RAND()</f>
        <v>0.574646263339195</v>
      </c>
      <c r="S231" s="54" t="n">
        <f aca="true">RAND()</f>
        <v>0.296521059882224</v>
      </c>
      <c r="T231" s="54" t="n">
        <f aca="true">RAND()</f>
        <v>0.586591625008941</v>
      </c>
      <c r="U231" s="54" t="n">
        <f aca="true">RAND()</f>
        <v>0.307656663617719</v>
      </c>
    </row>
    <row r="232" customFormat="false" ht="15" hidden="false" customHeight="false" outlineLevel="0" collapsed="false">
      <c r="A232" s="50" t="n">
        <v>152</v>
      </c>
      <c r="B232" s="51" t="n">
        <f aca="false">1+IF($G$6=$E$6,$F$6,IF(P232&lt;($F$6-$E$6)/($G$6-$E$6),$E$6+SQRT(P232*($G$6-$E$6)*($F$6-$E$6)),$G$6-SQRT((1-P232)*($G$6-$E$6)*($G$6-$F$6))))</f>
        <v>0.982443475505083</v>
      </c>
      <c r="C232" s="51" t="n">
        <f aca="false">1+IF($G$7=$E$7,$F$7,IF(Q232&lt;($F$7-$E$7)/($G$7-$E$7),$E$7+SQRT(Q232*($G$7-$E$7)*($F$7-$E$7)),$G$7-SQRT((1-Q232)*($G$7-$E$7)*($G$7-$F$7))))</f>
        <v>0.966521433209236</v>
      </c>
      <c r="D232" s="51" t="n">
        <f aca="false">1+IF($G$8=$E$8,$F$8,IF(R232&lt;($F$8-$E$8)/($G$8-$E$8),$E$8+SQRT(R232*($G$8-$E$8)*($F$8-$E$8)),$G$8-SQRT((1-R232)*($G$8-$E$8)*($G$8-$F$8))))</f>
        <v>1.03112106053478</v>
      </c>
      <c r="E232" s="51" t="n">
        <f aca="false">1+IF($G$9=$E$9,$F$9,IF(S232&lt;($F$9-$E$9)/($G$9-$E$9),$E$9+SQRT(S232*($G$9-$E$9)*($F$9-$E$9)),$G$9-SQRT((1-S232)*($G$9-$E$9)*($G$9-$F$9))))</f>
        <v>1.00889969707468</v>
      </c>
      <c r="F232" s="51" t="n">
        <f aca="false">1+IF($G$10=$E$10,$F$10,IF(T232&lt;($F$10-$E$10)/($G$10-$E$10),$E$10+SQRT(T232*($G$10-$E$10)*($F$10-$E$10)),$G$10-SQRT((1-T232)*($G$10-$E$10)*($G$10-$F$10))))</f>
        <v>1.03488044652962</v>
      </c>
      <c r="G232" s="52" t="n">
        <f aca="false">IF($G$11=$E$11,$F$11,IF(U232&lt;($F$11-$E$11)/($G$11-$E$11),$E$11+SQRT(U232*($G$11-$E$11)*($F$11-$E$11)),$G$11-SQRT((1-U232)*($G$11-$E$11)*($G$11-$F$11))))</f>
        <v>0.117442573301146</v>
      </c>
      <c r="H232" s="53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-2069760893.05924</v>
      </c>
      <c r="I232" s="53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-28606164.7047209</v>
      </c>
      <c r="J232" s="53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238966062.890977</v>
      </c>
      <c r="K232" s="53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558282312.813157</v>
      </c>
      <c r="L232" s="53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680289595.827348</v>
      </c>
      <c r="M232" s="53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860780568.479952</v>
      </c>
      <c r="N232" s="53" t="n">
        <f aca="false">IF(COUNT('Business Case'!B11:G11)=0,"",H232+NPV(G232,I232:M232))</f>
        <v>-573523727.269627</v>
      </c>
      <c r="P232" s="54" t="n">
        <f aca="true">RAND()</f>
        <v>0.453128443557143</v>
      </c>
      <c r="Q232" s="54" t="n">
        <f aca="true">RAND()</f>
        <v>0.526175365628928</v>
      </c>
      <c r="R232" s="54" t="n">
        <f aca="true">RAND()</f>
        <v>0.683712779876402</v>
      </c>
      <c r="S232" s="54" t="n">
        <f aca="true">RAND()</f>
        <v>0.469085453716891</v>
      </c>
      <c r="T232" s="54" t="n">
        <f aca="true">RAND()</f>
        <v>0.382981036196055</v>
      </c>
      <c r="U232" s="54" t="n">
        <f aca="true">RAND()</f>
        <v>0.894874023135279</v>
      </c>
    </row>
    <row r="233" customFormat="false" ht="15" hidden="false" customHeight="false" outlineLevel="0" collapsed="false">
      <c r="A233" s="50" t="n">
        <v>153</v>
      </c>
      <c r="B233" s="51" t="n">
        <f aca="false">1+IF($G$6=$E$6,$F$6,IF(P233&lt;($F$6-$E$6)/($G$6-$E$6),$E$6+SQRT(P233*($G$6-$E$6)*($F$6-$E$6)),$G$6-SQRT((1-P233)*($G$6-$E$6)*($G$6-$F$6))))</f>
        <v>0.97271935079798</v>
      </c>
      <c r="C233" s="51" t="n">
        <f aca="false">1+IF($G$7=$E$7,$F$7,IF(Q233&lt;($F$7-$E$7)/($G$7-$E$7),$E$7+SQRT(Q233*($G$7-$E$7)*($F$7-$E$7)),$G$7-SQRT((1-Q233)*($G$7-$E$7)*($G$7-$F$7))))</f>
        <v>1.01116398734731</v>
      </c>
      <c r="D233" s="51" t="n">
        <f aca="false">1+IF($G$8=$E$8,$F$8,IF(R233&lt;($F$8-$E$8)/($G$8-$E$8),$E$8+SQRT(R233*($G$8-$E$8)*($F$8-$E$8)),$G$8-SQRT((1-R233)*($G$8-$E$8)*($G$8-$F$8))))</f>
        <v>1.09035136810253</v>
      </c>
      <c r="E233" s="51" t="n">
        <f aca="false">1+IF($G$9=$E$9,$F$9,IF(S233&lt;($F$9-$E$9)/($G$9-$E$9),$E$9+SQRT(S233*($G$9-$E$9)*($F$9-$E$9)),$G$9-SQRT((1-S233)*($G$9-$E$9)*($G$9-$F$9))))</f>
        <v>0.941050081687067</v>
      </c>
      <c r="F233" s="51" t="n">
        <f aca="false">1+IF($G$10=$E$10,$F$10,IF(T233&lt;($F$10-$E$10)/($G$10-$E$10),$E$10+SQRT(T233*($G$10-$E$10)*($F$10-$E$10)),$G$10-SQRT((1-T233)*($G$10-$E$10)*($G$10-$F$10))))</f>
        <v>1.01776145705794</v>
      </c>
      <c r="G233" s="52" t="n">
        <f aca="false">IF($G$11=$E$11,$F$11,IF(U233&lt;($F$11-$E$11)/($G$11-$E$11),$E$11+SQRT(U233*($G$11-$E$11)*($F$11-$E$11)),$G$11-SQRT((1-U233)*($G$11-$E$11)*($G$11-$F$11))))</f>
        <v>0.0889690791946465</v>
      </c>
      <c r="H233" s="53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-2035522914.11587</v>
      </c>
      <c r="I233" s="53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-45364459.8496692</v>
      </c>
      <c r="J233" s="53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195853271.438769</v>
      </c>
      <c r="K233" s="53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487959075.580104</v>
      </c>
      <c r="L233" s="53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602357468.553858</v>
      </c>
      <c r="M233" s="53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789316122.547371</v>
      </c>
      <c r="N233" s="53" t="n">
        <f aca="false">IF(COUNT('Business Case'!B11:G11)=0,"",H233+NPV(G233,I233:M233))</f>
        <v>-590380336.226863</v>
      </c>
      <c r="P233" s="54" t="n">
        <f aca="true">RAND()</f>
        <v>0.352540265365311</v>
      </c>
      <c r="Q233" s="54" t="n">
        <f aca="true">RAND()</f>
        <v>0.714437949491887</v>
      </c>
      <c r="R233" s="54" t="n">
        <f aca="true">RAND()</f>
        <v>0.99379359350048</v>
      </c>
      <c r="S233" s="54" t="n">
        <f aca="true">RAND()</f>
        <v>0.0674043682605963</v>
      </c>
      <c r="T233" s="54" t="n">
        <f aca="true">RAND()</f>
        <v>0.280870122295301</v>
      </c>
      <c r="U233" s="54" t="n">
        <f aca="true">RAND()</f>
        <v>0.0804443815998415</v>
      </c>
    </row>
    <row r="234" customFormat="false" ht="15" hidden="false" customHeight="false" outlineLevel="0" collapsed="false">
      <c r="A234" s="50" t="n">
        <v>154</v>
      </c>
      <c r="B234" s="51" t="n">
        <f aca="false">1+IF($G$6=$E$6,$F$6,IF(P234&lt;($F$6-$E$6)/($G$6-$E$6),$E$6+SQRT(P234*($G$6-$E$6)*($F$6-$E$6)),$G$6-SQRT((1-P234)*($G$6-$E$6)*($G$6-$F$6))))</f>
        <v>0.970445041661374</v>
      </c>
      <c r="C234" s="51" t="n">
        <f aca="false">1+IF($G$7=$E$7,$F$7,IF(Q234&lt;($F$7-$E$7)/($G$7-$E$7),$E$7+SQRT(Q234*($G$7-$E$7)*($F$7-$E$7)),$G$7-SQRT((1-Q234)*($G$7-$E$7)*($G$7-$F$7))))</f>
        <v>0.774113023585918</v>
      </c>
      <c r="D234" s="51" t="n">
        <f aca="false">1+IF($G$8=$E$8,$F$8,IF(R234&lt;($F$8-$E$8)/($G$8-$E$8),$E$8+SQRT(R234*($G$8-$E$8)*($F$8-$E$8)),$G$8-SQRT((1-R234)*($G$8-$E$8)*($G$8-$F$8))))</f>
        <v>0.956241352239217</v>
      </c>
      <c r="E234" s="51" t="n">
        <f aca="false">1+IF($G$9=$E$9,$F$9,IF(S234&lt;($F$9-$E$9)/($G$9-$E$9),$E$9+SQRT(S234*($G$9-$E$9)*($F$9-$E$9)),$G$9-SQRT((1-S234)*($G$9-$E$9)*($G$9-$F$9))))</f>
        <v>0.96207634733645</v>
      </c>
      <c r="F234" s="51" t="n">
        <f aca="false">1+IF($G$10=$E$10,$F$10,IF(T234&lt;($F$10-$E$10)/($G$10-$E$10),$E$10+SQRT(T234*($G$10-$E$10)*($F$10-$E$10)),$G$10-SQRT((1-T234)*($G$10-$E$10)*($G$10-$F$10))))</f>
        <v>1.0129060256428</v>
      </c>
      <c r="G234" s="52" t="n">
        <f aca="false">IF($G$11=$E$11,$F$11,IF(U234&lt;($F$11-$E$11)/($G$11-$E$11),$E$11+SQRT(U234*($G$11-$E$11)*($F$11-$E$11)),$G$11-SQRT((1-U234)*($G$11-$E$11)*($G$11-$F$11))))</f>
        <v>0.109685367771878</v>
      </c>
      <c r="H234" s="53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-2025812051.28559</v>
      </c>
      <c r="I234" s="53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-40670073.0258864</v>
      </c>
      <c r="J234" s="53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195701691.202553</v>
      </c>
      <c r="K234" s="53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482718756.713133</v>
      </c>
      <c r="L234" s="53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587471996.855149</v>
      </c>
      <c r="M234" s="53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730266583.217428</v>
      </c>
      <c r="N234" s="53" t="n">
        <f aca="false">IF(COUNT('Business Case'!B11:G11)=0,"",H234+NPV(G234,I234:M234))</f>
        <v>-728858586.101124</v>
      </c>
      <c r="P234" s="54" t="n">
        <f aca="true">RAND()</f>
        <v>0.330833592978183</v>
      </c>
      <c r="Q234" s="54" t="n">
        <f aca="true">RAND()</f>
        <v>0.040686964926273</v>
      </c>
      <c r="R234" s="54" t="n">
        <f aca="true">RAND()</f>
        <v>0.00519393036986368</v>
      </c>
      <c r="S234" s="54" t="n">
        <f aca="true">RAND()</f>
        <v>0.154138915945424</v>
      </c>
      <c r="T234" s="54" t="n">
        <f aca="true">RAND()</f>
        <v>0.250485964313403</v>
      </c>
      <c r="U234" s="54" t="n">
        <f aca="true">RAND()</f>
        <v>0.724877144957434</v>
      </c>
    </row>
    <row r="235" customFormat="false" ht="15" hidden="false" customHeight="false" outlineLevel="0" collapsed="false">
      <c r="A235" s="50" t="n">
        <v>155</v>
      </c>
      <c r="B235" s="51" t="n">
        <f aca="false">1+IF($G$6=$E$6,$F$6,IF(P235&lt;($F$6-$E$6)/($G$6-$E$6),$E$6+SQRT(P235*($G$6-$E$6)*($F$6-$E$6)),$G$6-SQRT((1-P235)*($G$6-$E$6)*($G$6-$F$6))))</f>
        <v>1.01958779707129</v>
      </c>
      <c r="C235" s="51" t="n">
        <f aca="false">1+IF($G$7=$E$7,$F$7,IF(Q235&lt;($F$7-$E$7)/($G$7-$E$7),$E$7+SQRT(Q235*($G$7-$E$7)*($F$7-$E$7)),$G$7-SQRT((1-Q235)*($G$7-$E$7)*($G$7-$F$7))))</f>
        <v>1.03662339256913</v>
      </c>
      <c r="D235" s="51" t="n">
        <f aca="false">1+IF($G$8=$E$8,$F$8,IF(R235&lt;($F$8-$E$8)/($G$8-$E$8),$E$8+SQRT(R235*($G$8-$E$8)*($F$8-$E$8)),$G$8-SQRT((1-R235)*($G$8-$E$8)*($G$8-$F$8))))</f>
        <v>0.969738383952542</v>
      </c>
      <c r="E235" s="51" t="n">
        <f aca="false">1+IF($G$9=$E$9,$F$9,IF(S235&lt;($F$9-$E$9)/($G$9-$E$9),$E$9+SQRT(S235*($G$9-$E$9)*($F$9-$E$9)),$G$9-SQRT((1-S235)*($G$9-$E$9)*($G$9-$F$9))))</f>
        <v>1.06772809588583</v>
      </c>
      <c r="F235" s="51" t="n">
        <f aca="false">1+IF($G$10=$E$10,$F$10,IF(T235&lt;($F$10-$E$10)/($G$10-$E$10),$E$10+SQRT(T235*($G$10-$E$10)*($F$10-$E$10)),$G$10-SQRT((1-T235)*($G$10-$E$10)*($G$10-$F$10))))</f>
        <v>1.07959107769714</v>
      </c>
      <c r="G235" s="52" t="n">
        <f aca="false">IF($G$11=$E$11,$F$11,IF(U235&lt;($F$11-$E$11)/($G$11-$E$11),$E$11+SQRT(U235*($G$11-$E$11)*($F$11-$E$11)),$G$11-SQRT((1-U235)*($G$11-$E$11)*($G$11-$F$11))))</f>
        <v>0.0918031055312632</v>
      </c>
      <c r="H235" s="53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-2159182155.39428</v>
      </c>
      <c r="I235" s="53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36510002.4979498</v>
      </c>
      <c r="J235" s="53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387601224.614334</v>
      </c>
      <c r="K235" s="53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792672000.615574</v>
      </c>
      <c r="L235" s="53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946229859.063539</v>
      </c>
      <c r="M235" s="53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1147130839.98064</v>
      </c>
      <c r="N235" s="53" t="n">
        <f aca="false">IF(COUNT('Business Case'!B11:G11)=0,"",H235+NPV(G235,I235:M235))</f>
        <v>213814199.425573</v>
      </c>
      <c r="P235" s="54" t="n">
        <f aca="true">RAND()</f>
        <v>0.876679721736405</v>
      </c>
      <c r="Q235" s="54" t="n">
        <f aca="true">RAND()</f>
        <v>0.809566590925416</v>
      </c>
      <c r="R235" s="54" t="n">
        <f aca="true">RAND()</f>
        <v>0.0519471734743952</v>
      </c>
      <c r="S235" s="54" t="n">
        <f aca="true">RAND()</f>
        <v>0.819502234491449</v>
      </c>
      <c r="T235" s="54" t="n">
        <f aca="true">RAND()</f>
        <v>0.612810655994361</v>
      </c>
      <c r="U235" s="54" t="n">
        <f aca="true">RAND()</f>
        <v>0.139313300182136</v>
      </c>
    </row>
    <row r="236" customFormat="false" ht="15" hidden="false" customHeight="false" outlineLevel="0" collapsed="false">
      <c r="A236" s="50" t="n">
        <v>156</v>
      </c>
      <c r="B236" s="51" t="n">
        <f aca="false">1+IF($G$6=$E$6,$F$6,IF(P236&lt;($F$6-$E$6)/($G$6-$E$6),$E$6+SQRT(P236*($G$6-$E$6)*($F$6-$E$6)),$G$6-SQRT((1-P236)*($G$6-$E$6)*($G$6-$F$6))))</f>
        <v>0.999116702097562</v>
      </c>
      <c r="C236" s="51" t="n">
        <f aca="false">1+IF($G$7=$E$7,$F$7,IF(Q236&lt;($F$7-$E$7)/($G$7-$E$7),$E$7+SQRT(Q236*($G$7-$E$7)*($F$7-$E$7)),$G$7-SQRT((1-Q236)*($G$7-$E$7)*($G$7-$F$7))))</f>
        <v>1.08816662400834</v>
      </c>
      <c r="D236" s="51" t="n">
        <f aca="false">1+IF($G$8=$E$8,$F$8,IF(R236&lt;($F$8-$E$8)/($G$8-$E$8),$E$8+SQRT(R236*($G$8-$E$8)*($F$8-$E$8)),$G$8-SQRT((1-R236)*($G$8-$E$8)*($G$8-$F$8))))</f>
        <v>1.00417729610563</v>
      </c>
      <c r="E236" s="51" t="n">
        <f aca="false">1+IF($G$9=$E$9,$F$9,IF(S236&lt;($F$9-$E$9)/($G$9-$E$9),$E$9+SQRT(S236*($G$9-$E$9)*($F$9-$E$9)),$G$9-SQRT((1-S236)*($G$9-$E$9)*($G$9-$F$9))))</f>
        <v>1.0367912819334</v>
      </c>
      <c r="F236" s="51" t="n">
        <f aca="false">1+IF($G$10=$E$10,$F$10,IF(T236&lt;($F$10-$E$10)/($G$10-$E$10),$E$10+SQRT(T236*($G$10-$E$10)*($F$10-$E$10)),$G$10-SQRT((1-T236)*($G$10-$E$10)*($G$10-$F$10))))</f>
        <v>1.07916734194778</v>
      </c>
      <c r="G236" s="52" t="n">
        <f aca="false">IF($G$11=$E$11,$F$11,IF(U236&lt;($F$11-$E$11)/($G$11-$E$11),$E$11+SQRT(U236*($G$11-$E$11)*($F$11-$E$11)),$G$11-SQRT((1-U236)*($G$11-$E$11)*($G$11-$F$11))))</f>
        <v>0.102980159329154</v>
      </c>
      <c r="H236" s="53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-2158334683.89557</v>
      </c>
      <c r="I236" s="53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19409117.5947869</v>
      </c>
      <c r="J236" s="53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350527420.136504</v>
      </c>
      <c r="K236" s="53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735604089.77561</v>
      </c>
      <c r="L236" s="53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883550677.596998</v>
      </c>
      <c r="M236" s="53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1090206689.28815</v>
      </c>
      <c r="N236" s="53" t="n">
        <f aca="false">IF(COUNT('Business Case'!B11:G11)=0,"",H236+NPV(G236,I236:M236))</f>
        <v>-39588424.1561358</v>
      </c>
      <c r="P236" s="54" t="n">
        <f aca="true">RAND()</f>
        <v>0.654941375646461</v>
      </c>
      <c r="Q236" s="54" t="n">
        <f aca="true">RAND()</f>
        <v>0.943357535014424</v>
      </c>
      <c r="R236" s="54" t="n">
        <f aca="true">RAND()</f>
        <v>0.387867294558107</v>
      </c>
      <c r="S236" s="54" t="n">
        <f aca="true">RAND()</f>
        <v>0.658234297432477</v>
      </c>
      <c r="T236" s="54" t="n">
        <f aca="true">RAND()</f>
        <v>0.610882705904192</v>
      </c>
      <c r="U236" s="54" t="n">
        <f aca="true">RAND()</f>
        <v>0.513285473414725</v>
      </c>
    </row>
    <row r="237" customFormat="false" ht="15" hidden="false" customHeight="false" outlineLevel="0" collapsed="false">
      <c r="A237" s="50" t="n">
        <v>157</v>
      </c>
      <c r="B237" s="51" t="n">
        <f aca="false">1+IF($G$6=$E$6,$F$6,IF(P237&lt;($F$6-$E$6)/($G$6-$E$6),$E$6+SQRT(P237*($G$6-$E$6)*($F$6-$E$6)),$G$6-SQRT((1-P237)*($G$6-$E$6)*($G$6-$F$6))))</f>
        <v>1.02791499458208</v>
      </c>
      <c r="C237" s="51" t="n">
        <f aca="false">1+IF($G$7=$E$7,$F$7,IF(Q237&lt;($F$7-$E$7)/($G$7-$E$7),$E$7+SQRT(Q237*($G$7-$E$7)*($F$7-$E$7)),$G$7-SQRT((1-Q237)*($G$7-$E$7)*($G$7-$F$7))))</f>
        <v>1.01970328729801</v>
      </c>
      <c r="D237" s="51" t="n">
        <f aca="false">1+IF($G$8=$E$8,$F$8,IF(R237&lt;($F$8-$E$8)/($G$8-$E$8),$E$8+SQRT(R237*($G$8-$E$8)*($F$8-$E$8)),$G$8-SQRT((1-R237)*($G$8-$E$8)*($G$8-$F$8))))</f>
        <v>1.02285658289114</v>
      </c>
      <c r="E237" s="51" t="n">
        <f aca="false">1+IF($G$9=$E$9,$F$9,IF(S237&lt;($F$9-$E$9)/($G$9-$E$9),$E$9+SQRT(S237*($G$9-$E$9)*($F$9-$E$9)),$G$9-SQRT((1-S237)*($G$9-$E$9)*($G$9-$F$9))))</f>
        <v>1.06114055328886</v>
      </c>
      <c r="F237" s="51" t="n">
        <f aca="false">1+IF($G$10=$E$10,$F$10,IF(T237&lt;($F$10-$E$10)/($G$10-$E$10),$E$10+SQRT(T237*($G$10-$E$10)*($F$10-$E$10)),$G$10-SQRT((1-T237)*($G$10-$E$10)*($G$10-$F$10))))</f>
        <v>1.03320584402888</v>
      </c>
      <c r="G237" s="52" t="n">
        <f aca="false">IF($G$11=$E$11,$F$11,IF(U237&lt;($F$11-$E$11)/($G$11-$E$11),$E$11+SQRT(U237*($G$11-$E$11)*($F$11-$E$11)),$G$11-SQRT((1-U237)*($G$11-$E$11)*($G$11-$F$11))))</f>
        <v>0.0921539729815866</v>
      </c>
      <c r="H237" s="53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-2066411688.05775</v>
      </c>
      <c r="I237" s="53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16035697.5004057</v>
      </c>
      <c r="J237" s="53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340623210.703518</v>
      </c>
      <c r="K237" s="53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716871016.108074</v>
      </c>
      <c r="L237" s="53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861291550.257208</v>
      </c>
      <c r="M237" s="53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1060527380.5384</v>
      </c>
      <c r="N237" s="53" t="n">
        <f aca="false">IF(COUNT('Business Case'!B11:G11)=0,"",H237+NPV(G237,I237:M237))</f>
        <v>71985332.932827</v>
      </c>
      <c r="P237" s="54" t="n">
        <f aca="true">RAND()</f>
        <v>0.934967004758719</v>
      </c>
      <c r="Q237" s="54" t="n">
        <f aca="true">RAND()</f>
        <v>0.748485431985992</v>
      </c>
      <c r="R237" s="54" t="n">
        <f aca="true">RAND()</f>
        <v>0.603259546451236</v>
      </c>
      <c r="S237" s="54" t="n">
        <f aca="true">RAND()</f>
        <v>0.789439966138389</v>
      </c>
      <c r="T237" s="54" t="n">
        <f aca="true">RAND()</f>
        <v>0.373337252490245</v>
      </c>
      <c r="U237" s="54" t="n">
        <f aca="true">RAND()</f>
        <v>0.147719059237137</v>
      </c>
    </row>
    <row r="238" customFormat="false" ht="15" hidden="false" customHeight="false" outlineLevel="0" collapsed="false">
      <c r="A238" s="50" t="n">
        <v>158</v>
      </c>
      <c r="B238" s="51" t="n">
        <f aca="false">1+IF($G$6=$E$6,$F$6,IF(P238&lt;($F$6-$E$6)/($G$6-$E$6),$E$6+SQRT(P238*($G$6-$E$6)*($F$6-$E$6)),$G$6-SQRT((1-P238)*($G$6-$E$6)*($G$6-$F$6))))</f>
        <v>1.01609886010529</v>
      </c>
      <c r="C238" s="51" t="n">
        <f aca="false">1+IF($G$7=$E$7,$F$7,IF(Q238&lt;($F$7-$E$7)/($G$7-$E$7),$E$7+SQRT(Q238*($G$7-$E$7)*($F$7-$E$7)),$G$7-SQRT((1-Q238)*($G$7-$E$7)*($G$7-$F$7))))</f>
        <v>0.984456431652084</v>
      </c>
      <c r="D238" s="51" t="n">
        <f aca="false">1+IF($G$8=$E$8,$F$8,IF(R238&lt;($F$8-$E$8)/($G$8-$E$8),$E$8+SQRT(R238*($G$8-$E$8)*($F$8-$E$8)),$G$8-SQRT((1-R238)*($G$8-$E$8)*($G$8-$F$8))))</f>
        <v>0.996804059910184</v>
      </c>
      <c r="E238" s="51" t="n">
        <f aca="false">1+IF($G$9=$E$9,$F$9,IF(S238&lt;($F$9-$E$9)/($G$9-$E$9),$E$9+SQRT(S238*($G$9-$E$9)*($F$9-$E$9)),$G$9-SQRT((1-S238)*($G$9-$E$9)*($G$9-$F$9))))</f>
        <v>1.09159400567991</v>
      </c>
      <c r="F238" s="51" t="n">
        <f aca="false">1+IF($G$10=$E$10,$F$10,IF(T238&lt;($F$10-$E$10)/($G$10-$E$10),$E$10+SQRT(T238*($G$10-$E$10)*($F$10-$E$10)),$G$10-SQRT((1-T238)*($G$10-$E$10)*($G$10-$F$10))))</f>
        <v>0.994701791618977</v>
      </c>
      <c r="G238" s="52" t="n">
        <f aca="false">IF($G$11=$E$11,$F$11,IF(U238&lt;($F$11-$E$11)/($G$11-$E$11),$E$11+SQRT(U238*($G$11-$E$11)*($F$11-$E$11)),$G$11-SQRT((1-U238)*($G$11-$E$11)*($G$11-$F$11))))</f>
        <v>0.106644518743294</v>
      </c>
      <c r="H238" s="53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-1989403583.23795</v>
      </c>
      <c r="I238" s="53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10418902.3702391</v>
      </c>
      <c r="J238" s="53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327388465.718076</v>
      </c>
      <c r="K238" s="53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694093118.646862</v>
      </c>
      <c r="L238" s="53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834320182.568151</v>
      </c>
      <c r="M238" s="53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1024458167.99754</v>
      </c>
      <c r="N238" s="53" t="n">
        <f aca="false">IF(COUNT('Business Case'!B11:G11)=0,"",H238+NPV(G238,I238:M238))</f>
        <v>-26985719.4467981</v>
      </c>
      <c r="P238" s="54" t="n">
        <f aca="true">RAND()</f>
        <v>0.846761695178587</v>
      </c>
      <c r="Q238" s="54" t="n">
        <f aca="true">RAND()</f>
        <v>0.599373788949901</v>
      </c>
      <c r="R238" s="54" t="n">
        <f aca="true">RAND()</f>
        <v>0.292082669876806</v>
      </c>
      <c r="S238" s="54" t="n">
        <f aca="true">RAND()</f>
        <v>0.909033062066184</v>
      </c>
      <c r="T238" s="54" t="n">
        <f aca="true">RAND()</f>
        <v>0.133216678263098</v>
      </c>
      <c r="U238" s="54" t="n">
        <f aca="true">RAND()</f>
        <v>0.636347663511777</v>
      </c>
    </row>
    <row r="239" customFormat="false" ht="15" hidden="false" customHeight="false" outlineLevel="0" collapsed="false">
      <c r="A239" s="50" t="n">
        <v>159</v>
      </c>
      <c r="B239" s="51" t="n">
        <f aca="false">1+IF($G$6=$E$6,$F$6,IF(P239&lt;($F$6-$E$6)/($G$6-$E$6),$E$6+SQRT(P239*($G$6-$E$6)*($F$6-$E$6)),$G$6-SQRT((1-P239)*($G$6-$E$6)*($G$6-$F$6))))</f>
        <v>0.937850635679652</v>
      </c>
      <c r="C239" s="51" t="n">
        <f aca="false">1+IF($G$7=$E$7,$F$7,IF(Q239&lt;($F$7-$E$7)/($G$7-$E$7),$E$7+SQRT(Q239*($G$7-$E$7)*($F$7-$E$7)),$G$7-SQRT((1-Q239)*($G$7-$E$7)*($G$7-$F$7))))</f>
        <v>1.05831862750125</v>
      </c>
      <c r="D239" s="51" t="n">
        <f aca="false">1+IF($G$8=$E$8,$F$8,IF(R239&lt;($F$8-$E$8)/($G$8-$E$8),$E$8+SQRT(R239*($G$8-$E$8)*($F$8-$E$8)),$G$8-SQRT((1-R239)*($G$8-$E$8)*($G$8-$F$8))))</f>
        <v>1.00943358189287</v>
      </c>
      <c r="E239" s="51" t="n">
        <f aca="false">1+IF($G$9=$E$9,$F$9,IF(S239&lt;($F$9-$E$9)/($G$9-$E$9),$E$9+SQRT(S239*($G$9-$E$9)*($F$9-$E$9)),$G$9-SQRT((1-S239)*($G$9-$E$9)*($G$9-$F$9))))</f>
        <v>1.00882522457539</v>
      </c>
      <c r="F239" s="51" t="n">
        <f aca="false">1+IF($G$10=$E$10,$F$10,IF(T239&lt;($F$10-$E$10)/($G$10-$E$10),$E$10+SQRT(T239*($G$10-$E$10)*($F$10-$E$10)),$G$10-SQRT((1-T239)*($G$10-$E$10)*($G$10-$F$10))))</f>
        <v>1.12742763907901</v>
      </c>
      <c r="G239" s="52" t="n">
        <f aca="false">IF($G$11=$E$11,$F$11,IF(U239&lt;($F$11-$E$11)/($G$11-$E$11),$E$11+SQRT(U239*($G$11-$E$11)*($F$11-$E$11)),$G$11-SQRT((1-U239)*($G$11-$E$11)*($G$11-$F$11))))</f>
        <v>0.111361686759573</v>
      </c>
      <c r="H239" s="53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-2254855278.15802</v>
      </c>
      <c r="I239" s="53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-41570926.3633704</v>
      </c>
      <c r="J239" s="53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224509380.420962</v>
      </c>
      <c r="K239" s="53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546961069.159247</v>
      </c>
      <c r="L239" s="53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669956852.957479</v>
      </c>
      <c r="M239" s="53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858619768.07648</v>
      </c>
      <c r="N239" s="53" t="n">
        <f aca="false">IF(COUNT('Business Case'!B11:G11)=0,"",H239+NPV(G239,I239:M239))</f>
        <v>-766427618.237886</v>
      </c>
      <c r="P239" s="54" t="n">
        <f aca="true">RAND()</f>
        <v>0.0955113747569175</v>
      </c>
      <c r="Q239" s="54" t="n">
        <f aca="true">RAND()</f>
        <v>0.875474458322168</v>
      </c>
      <c r="R239" s="54" t="n">
        <f aca="true">RAND()</f>
        <v>0.453181594083009</v>
      </c>
      <c r="S239" s="54" t="n">
        <f aca="true">RAND()</f>
        <v>0.468524874234926</v>
      </c>
      <c r="T239" s="54" t="n">
        <f aca="true">RAND()</f>
        <v>0.799680217843397</v>
      </c>
      <c r="U239" s="54" t="n">
        <f aca="true">RAND()</f>
        <v>0.768408853034489</v>
      </c>
    </row>
    <row r="240" customFormat="false" ht="15" hidden="false" customHeight="false" outlineLevel="0" collapsed="false">
      <c r="A240" s="50" t="n">
        <v>160</v>
      </c>
      <c r="B240" s="51" t="n">
        <f aca="false">1+IF($G$6=$E$6,$F$6,IF(P240&lt;($F$6-$E$6)/($G$6-$E$6),$E$6+SQRT(P240*($G$6-$E$6)*($F$6-$E$6)),$G$6-SQRT((1-P240)*($G$6-$E$6)*($G$6-$F$6))))</f>
        <v>1.00111738909281</v>
      </c>
      <c r="C240" s="51" t="n">
        <f aca="false">1+IF($G$7=$E$7,$F$7,IF(Q240&lt;($F$7-$E$7)/($G$7-$E$7),$E$7+SQRT(Q240*($G$7-$E$7)*($F$7-$E$7)),$G$7-SQRT((1-Q240)*($G$7-$E$7)*($G$7-$F$7))))</f>
        <v>0.767210535249902</v>
      </c>
      <c r="D240" s="51" t="n">
        <f aca="false">1+IF($G$8=$E$8,$F$8,IF(R240&lt;($F$8-$E$8)/($G$8-$E$8),$E$8+SQRT(R240*($G$8-$E$8)*($F$8-$E$8)),$G$8-SQRT((1-R240)*($G$8-$E$8)*($G$8-$F$8))))</f>
        <v>0.993231402219149</v>
      </c>
      <c r="E240" s="51" t="n">
        <f aca="false">1+IF($G$9=$E$9,$F$9,IF(S240&lt;($F$9-$E$9)/($G$9-$E$9),$E$9+SQRT(S240*($G$9-$E$9)*($F$9-$E$9)),$G$9-SQRT((1-S240)*($G$9-$E$9)*($G$9-$F$9))))</f>
        <v>1.06929663614372</v>
      </c>
      <c r="F240" s="51" t="n">
        <f aca="false">1+IF($G$10=$E$10,$F$10,IF(T240&lt;($F$10-$E$10)/($G$10-$E$10),$E$10+SQRT(T240*($G$10-$E$10)*($F$10-$E$10)),$G$10-SQRT((1-T240)*($G$10-$E$10)*($G$10-$F$10))))</f>
        <v>1.1212468678962</v>
      </c>
      <c r="G240" s="52" t="n">
        <f aca="false">IF($G$11=$E$11,$F$11,IF(U240&lt;($F$11-$E$11)/($G$11-$E$11),$E$11+SQRT(U240*($G$11-$E$11)*($F$11-$E$11)),$G$11-SQRT((1-U240)*($G$11-$E$11)*($G$11-$F$11))))</f>
        <v>0.0982124655511998</v>
      </c>
      <c r="H240" s="53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-2242493735.79239</v>
      </c>
      <c r="I240" s="53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-64984515.6353397</v>
      </c>
      <c r="J240" s="53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174026272.34187</v>
      </c>
      <c r="K240" s="53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469099403.71389</v>
      </c>
      <c r="L240" s="53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575314089.815155</v>
      </c>
      <c r="M240" s="53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721308418.747226</v>
      </c>
      <c r="N240" s="53" t="n">
        <f aca="false">IF(COUNT('Business Case'!B11:G11)=0,"",H240+NPV(G240,I240:M240))</f>
        <v>-956165146.608995</v>
      </c>
      <c r="P240" s="54" t="n">
        <f aca="true">RAND()</f>
        <v>0.681398713452805</v>
      </c>
      <c r="Q240" s="54" t="n">
        <f aca="true">RAND()</f>
        <v>0.0334611559153949</v>
      </c>
      <c r="R240" s="54" t="n">
        <f aca="true">RAND()</f>
        <v>0.249193885044512</v>
      </c>
      <c r="S240" s="54" t="n">
        <f aca="true">RAND()</f>
        <v>0.826319121660844</v>
      </c>
      <c r="T240" s="54" t="n">
        <f aca="true">RAND()</f>
        <v>0.778968412979477</v>
      </c>
      <c r="U240" s="54" t="n">
        <f aca="true">RAND()</f>
        <v>0.331693901453637</v>
      </c>
    </row>
    <row r="241" customFormat="false" ht="15" hidden="false" customHeight="false" outlineLevel="0" collapsed="false">
      <c r="A241" s="50" t="n">
        <v>161</v>
      </c>
      <c r="B241" s="51" t="n">
        <f aca="false">1+IF($G$6=$E$6,$F$6,IF(P241&lt;($F$6-$E$6)/($G$6-$E$6),$E$6+SQRT(P241*($G$6-$E$6)*($F$6-$E$6)),$G$6-SQRT((1-P241)*($G$6-$E$6)*($G$6-$F$6))))</f>
        <v>0.913953787166686</v>
      </c>
      <c r="C241" s="51" t="n">
        <f aca="false">1+IF($G$7=$E$7,$F$7,IF(Q241&lt;($F$7-$E$7)/($G$7-$E$7),$E$7+SQRT(Q241*($G$7-$E$7)*($F$7-$E$7)),$G$7-SQRT((1-Q241)*($G$7-$E$7)*($G$7-$F$7))))</f>
        <v>0.934041908421118</v>
      </c>
      <c r="D241" s="51" t="n">
        <f aca="false">1+IF($G$8=$E$8,$F$8,IF(R241&lt;($F$8-$E$8)/($G$8-$E$8),$E$8+SQRT(R241*($G$8-$E$8)*($F$8-$E$8)),$G$8-SQRT((1-R241)*($G$8-$E$8)*($G$8-$F$8))))</f>
        <v>1.03043392848689</v>
      </c>
      <c r="E241" s="51" t="n">
        <f aca="false">1+IF($G$9=$E$9,$F$9,IF(S241&lt;($F$9-$E$9)/($G$9-$E$9),$E$9+SQRT(S241*($G$9-$E$9)*($F$9-$E$9)),$G$9-SQRT((1-S241)*($G$9-$E$9)*($G$9-$F$9))))</f>
        <v>1.08347738011176</v>
      </c>
      <c r="F241" s="51" t="n">
        <f aca="false">1+IF($G$10=$E$10,$F$10,IF(T241&lt;($F$10-$E$10)/($G$10-$E$10),$E$10+SQRT(T241*($G$10-$E$10)*($F$10-$E$10)),$G$10-SQRT((1-T241)*($G$10-$E$10)*($G$10-$F$10))))</f>
        <v>1.00507528783138</v>
      </c>
      <c r="G241" s="52" t="n">
        <f aca="false">IF($G$11=$E$11,$F$11,IF(U241&lt;($F$11-$E$11)/($G$11-$E$11),$E$11+SQRT(U241*($G$11-$E$11)*($F$11-$E$11)),$G$11-SQRT((1-U241)*($G$11-$E$11)*($G$11-$F$11))))</f>
        <v>0.103742768644234</v>
      </c>
      <c r="H241" s="53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-2010150575.66276</v>
      </c>
      <c r="I241" s="53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-92321057.2093108</v>
      </c>
      <c r="J241" s="53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114190209.691918</v>
      </c>
      <c r="K241" s="53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370955240.984716</v>
      </c>
      <c r="L241" s="53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469295204.535466</v>
      </c>
      <c r="M241" s="53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631561014.745669</v>
      </c>
      <c r="N241" s="53" t="n">
        <f aca="false">IF(COUNT('Business Case'!B11:G11)=0,"",H241+NPV(G241,I241:M241))</f>
        <v>-1022427474.35279</v>
      </c>
      <c r="P241" s="54" t="n">
        <f aca="true">RAND()</f>
        <v>0.0129805450862122</v>
      </c>
      <c r="Q241" s="54" t="n">
        <f aca="true">RAND()</f>
        <v>0.40574529553629</v>
      </c>
      <c r="R241" s="54" t="n">
        <f aca="true">RAND()</f>
        <v>0.677370779615563</v>
      </c>
      <c r="S241" s="54" t="n">
        <f aca="true">RAND()</f>
        <v>0.881993094485443</v>
      </c>
      <c r="T241" s="54" t="n">
        <f aca="true">RAND()</f>
        <v>0.200158471588256</v>
      </c>
      <c r="U241" s="54" t="n">
        <f aca="true">RAND()</f>
        <v>0.54037186768652</v>
      </c>
    </row>
    <row r="242" customFormat="false" ht="15" hidden="false" customHeight="false" outlineLevel="0" collapsed="false">
      <c r="A242" s="50" t="n">
        <v>162</v>
      </c>
      <c r="B242" s="51" t="n">
        <f aca="false">1+IF($G$6=$E$6,$F$6,IF(P242&lt;($F$6-$E$6)/($G$6-$E$6),$E$6+SQRT(P242*($G$6-$E$6)*($F$6-$E$6)),$G$6-SQRT((1-P242)*($G$6-$E$6)*($G$6-$F$6))))</f>
        <v>1.0031045005529</v>
      </c>
      <c r="C242" s="51" t="n">
        <f aca="false">1+IF($G$7=$E$7,$F$7,IF(Q242&lt;($F$7-$E$7)/($G$7-$E$7),$E$7+SQRT(Q242*($G$7-$E$7)*($F$7-$E$7)),$G$7-SQRT((1-Q242)*($G$7-$E$7)*($G$7-$F$7))))</f>
        <v>0.9616645341141</v>
      </c>
      <c r="D242" s="51" t="n">
        <f aca="false">1+IF($G$8=$E$8,$F$8,IF(R242&lt;($F$8-$E$8)/($G$8-$E$8),$E$8+SQRT(R242*($G$8-$E$8)*($F$8-$E$8)),$G$8-SQRT((1-R242)*($G$8-$E$8)*($G$8-$F$8))))</f>
        <v>1.01300649452036</v>
      </c>
      <c r="E242" s="51" t="n">
        <f aca="false">1+IF($G$9=$E$9,$F$9,IF(S242&lt;($F$9-$E$9)/($G$9-$E$9),$E$9+SQRT(S242*($G$9-$E$9)*($F$9-$E$9)),$G$9-SQRT((1-S242)*($G$9-$E$9)*($G$9-$F$9))))</f>
        <v>1.01509369184224</v>
      </c>
      <c r="F242" s="51" t="n">
        <f aca="false">1+IF($G$10=$E$10,$F$10,IF(T242&lt;($F$10-$E$10)/($G$10-$E$10),$E$10+SQRT(T242*($G$10-$E$10)*($F$10-$E$10)),$G$10-SQRT((1-T242)*($G$10-$E$10)*($G$10-$F$10))))</f>
        <v>1.12300293300586</v>
      </c>
      <c r="G242" s="52" t="n">
        <f aca="false">IF($G$11=$E$11,$F$11,IF(U242&lt;($F$11-$E$11)/($G$11-$E$11),$E$11+SQRT(U242*($G$11-$E$11)*($F$11-$E$11)),$G$11-SQRT((1-U242)*($G$11-$E$11)*($G$11-$F$11))))</f>
        <v>0.0978207866627942</v>
      </c>
      <c r="H242" s="53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-2246005866.01172</v>
      </c>
      <c r="I242" s="53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-15234594.9877154</v>
      </c>
      <c r="J242" s="53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276184883.455553</v>
      </c>
      <c r="K242" s="53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623754508.549115</v>
      </c>
      <c r="L242" s="53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754232639.463825</v>
      </c>
      <c r="M242" s="53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937593315.682072</v>
      </c>
      <c r="N242" s="53" t="n">
        <f aca="false">IF(COUNT('Business Case'!B11:G11)=0,"",H242+NPV(G242,I242:M242))</f>
        <v>-452065194.653248</v>
      </c>
      <c r="P242" s="54" t="n">
        <f aca="true">RAND()</f>
        <v>0.706774950880891</v>
      </c>
      <c r="Q242" s="54" t="n">
        <f aca="true">RAND()</f>
        <v>0.507172803060362</v>
      </c>
      <c r="R242" s="54" t="n">
        <f aca="true">RAND()</f>
        <v>0.495475333624298</v>
      </c>
      <c r="S242" s="54" t="n">
        <f aca="true">RAND()</f>
        <v>0.514674347179846</v>
      </c>
      <c r="T242" s="54" t="n">
        <f aca="true">RAND()</f>
        <v>0.784956599665144</v>
      </c>
      <c r="U242" s="54" t="n">
        <f aca="true">RAND()</f>
        <v>0.317580437280824</v>
      </c>
    </row>
    <row r="243" customFormat="false" ht="15" hidden="false" customHeight="false" outlineLevel="0" collapsed="false">
      <c r="A243" s="50" t="n">
        <v>163</v>
      </c>
      <c r="B243" s="51" t="n">
        <f aca="false">1+IF($G$6=$E$6,$F$6,IF(P243&lt;($F$6-$E$6)/($G$6-$E$6),$E$6+SQRT(P243*($G$6-$E$6)*($F$6-$E$6)),$G$6-SQRT((1-P243)*($G$6-$E$6)*($G$6-$F$6))))</f>
        <v>0.961769727560575</v>
      </c>
      <c r="C243" s="51" t="n">
        <f aca="false">1+IF($G$7=$E$7,$F$7,IF(Q243&lt;($F$7-$E$7)/($G$7-$E$7),$E$7+SQRT(Q243*($G$7-$E$7)*($F$7-$E$7)),$G$7-SQRT((1-Q243)*($G$7-$E$7)*($G$7-$F$7))))</f>
        <v>1.03957769633091</v>
      </c>
      <c r="D243" s="51" t="n">
        <f aca="false">1+IF($G$8=$E$8,$F$8,IF(R243&lt;($F$8-$E$8)/($G$8-$E$8),$E$8+SQRT(R243*($G$8-$E$8)*($F$8-$E$8)),$G$8-SQRT((1-R243)*($G$8-$E$8)*($G$8-$F$8))))</f>
        <v>0.991770645111474</v>
      </c>
      <c r="E243" s="51" t="n">
        <f aca="false">1+IF($G$9=$E$9,$F$9,IF(S243&lt;($F$9-$E$9)/($G$9-$E$9),$E$9+SQRT(S243*($G$9-$E$9)*($F$9-$E$9)),$G$9-SQRT((1-S243)*($G$9-$E$9)*($G$9-$F$9))))</f>
        <v>1.01839177012171</v>
      </c>
      <c r="F243" s="51" t="n">
        <f aca="false">1+IF($G$10=$E$10,$F$10,IF(T243&lt;($F$10-$E$10)/($G$10-$E$10),$E$10+SQRT(T243*($G$10-$E$10)*($F$10-$E$10)),$G$10-SQRT((1-T243)*($G$10-$E$10)*($G$10-$F$10))))</f>
        <v>1.02688651807034</v>
      </c>
      <c r="G243" s="52" t="n">
        <f aca="false">IF($G$11=$E$11,$F$11,IF(U243&lt;($F$11-$E$11)/($G$11-$E$11),$E$11+SQRT(U243*($G$11-$E$11)*($F$11-$E$11)),$G$11-SQRT((1-U243)*($G$11-$E$11)*($G$11-$F$11))))</f>
        <v>0.107385843234892</v>
      </c>
      <c r="H243" s="53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-2053773036.14068</v>
      </c>
      <c r="I243" s="53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-8200158.69723754</v>
      </c>
      <c r="J243" s="53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282935057.231089</v>
      </c>
      <c r="K243" s="53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625414599.062933</v>
      </c>
      <c r="L243" s="53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757013946.443858</v>
      </c>
      <c r="M243" s="53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947062461.170344</v>
      </c>
      <c r="N243" s="53" t="n">
        <f aca="false">IF(COUNT('Business Case'!B11:G11)=0,"",H243+NPV(G243,I243:M243))</f>
        <v>-297817413.443208</v>
      </c>
      <c r="P243" s="54" t="n">
        <f aca="true">RAND()</f>
        <v>0.254366616193844</v>
      </c>
      <c r="Q243" s="54" t="n">
        <f aca="true">RAND()</f>
        <v>0.819361701517213</v>
      </c>
      <c r="R243" s="54" t="n">
        <f aca="true">RAND()</f>
        <v>0.232638239070493</v>
      </c>
      <c r="S243" s="54" t="n">
        <f aca="true">RAND()</f>
        <v>0.538113968754741</v>
      </c>
      <c r="T243" s="54" t="n">
        <f aca="true">RAND()</f>
        <v>0.336271655749637</v>
      </c>
      <c r="U243" s="54" t="n">
        <f aca="true">RAND()</f>
        <v>0.659066609202093</v>
      </c>
    </row>
    <row r="244" customFormat="false" ht="15" hidden="false" customHeight="false" outlineLevel="0" collapsed="false">
      <c r="A244" s="50" t="n">
        <v>164</v>
      </c>
      <c r="B244" s="51" t="n">
        <f aca="false">1+IF($G$6=$E$6,$F$6,IF(P244&lt;($F$6-$E$6)/($G$6-$E$6),$E$6+SQRT(P244*($G$6-$E$6)*($F$6-$E$6)),$G$6-SQRT((1-P244)*($G$6-$E$6)*($G$6-$F$6))))</f>
        <v>0.962951065665103</v>
      </c>
      <c r="C244" s="51" t="n">
        <f aca="false">1+IF($G$7=$E$7,$F$7,IF(Q244&lt;($F$7-$E$7)/($G$7-$E$7),$E$7+SQRT(Q244*($G$7-$E$7)*($F$7-$E$7)),$G$7-SQRT((1-Q244)*($G$7-$E$7)*($G$7-$F$7))))</f>
        <v>0.810550775890232</v>
      </c>
      <c r="D244" s="51" t="n">
        <f aca="false">1+IF($G$8=$E$8,$F$8,IF(R244&lt;($F$8-$E$8)/($G$8-$E$8),$E$8+SQRT(R244*($G$8-$E$8)*($F$8-$E$8)),$G$8-SQRT((1-R244)*($G$8-$E$8)*($G$8-$F$8))))</f>
        <v>1.0127892226212</v>
      </c>
      <c r="E244" s="51" t="n">
        <f aca="false">1+IF($G$9=$E$9,$F$9,IF(S244&lt;($F$9-$E$9)/($G$9-$E$9),$E$9+SQRT(S244*($G$9-$E$9)*($F$9-$E$9)),$G$9-SQRT((1-S244)*($G$9-$E$9)*($G$9-$F$9))))</f>
        <v>1.02057771045641</v>
      </c>
      <c r="F244" s="51" t="n">
        <f aca="false">1+IF($G$10=$E$10,$F$10,IF(T244&lt;($F$10-$E$10)/($G$10-$E$10),$E$10+SQRT(T244*($G$10-$E$10)*($F$10-$E$10)),$G$10-SQRT((1-T244)*($G$10-$E$10)*($G$10-$F$10))))</f>
        <v>1.09683862927317</v>
      </c>
      <c r="G244" s="52" t="n">
        <f aca="false">IF($G$11=$E$11,$F$11,IF(U244&lt;($F$11-$E$11)/($G$11-$E$11),$E$11+SQRT(U244*($G$11-$E$11)*($F$11-$E$11)),$G$11-SQRT((1-U244)*($G$11-$E$11)*($G$11-$F$11))))</f>
        <v>0.0957235890724062</v>
      </c>
      <c r="H244" s="53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-2193677258.54634</v>
      </c>
      <c r="I244" s="53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-76213406.831289</v>
      </c>
      <c r="J244" s="53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142845394.512091</v>
      </c>
      <c r="K244" s="53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416746127.31913</v>
      </c>
      <c r="L244" s="53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516740524.313891</v>
      </c>
      <c r="M244" s="53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665101905.322207</v>
      </c>
      <c r="N244" s="53" t="n">
        <f aca="false">IF(COUNT('Business Case'!B11:G11)=0,"",H244+NPV(G244,I244:M244))</f>
        <v>-1047886499.7716</v>
      </c>
      <c r="P244" s="54" t="n">
        <f aca="true">RAND()</f>
        <v>0.264189111224808</v>
      </c>
      <c r="Q244" s="54" t="n">
        <f aca="true">RAND()</f>
        <v>0.0905294374069056</v>
      </c>
      <c r="R244" s="54" t="n">
        <f aca="true">RAND()</f>
        <v>0.492952020599052</v>
      </c>
      <c r="S244" s="54" t="n">
        <f aca="true">RAND()</f>
        <v>0.553329892514571</v>
      </c>
      <c r="T244" s="54" t="n">
        <f aca="true">RAND()</f>
        <v>0.687221260227721</v>
      </c>
      <c r="U244" s="54" t="n">
        <f aca="true">RAND()</f>
        <v>0.24723125331789</v>
      </c>
    </row>
    <row r="245" customFormat="false" ht="15" hidden="false" customHeight="false" outlineLevel="0" collapsed="false">
      <c r="A245" s="50" t="n">
        <v>165</v>
      </c>
      <c r="B245" s="51" t="n">
        <f aca="false">1+IF($G$6=$E$6,$F$6,IF(P245&lt;($F$6-$E$6)/($G$6-$E$6),$E$6+SQRT(P245*($G$6-$E$6)*($F$6-$E$6)),$G$6-SQRT((1-P245)*($G$6-$E$6)*($G$6-$F$6))))</f>
        <v>1.01141913341988</v>
      </c>
      <c r="C245" s="51" t="n">
        <f aca="false">1+IF($G$7=$E$7,$F$7,IF(Q245&lt;($F$7-$E$7)/($G$7-$E$7),$E$7+SQRT(Q245*($G$7-$E$7)*($F$7-$E$7)),$G$7-SQRT((1-Q245)*($G$7-$E$7)*($G$7-$F$7))))</f>
        <v>0.928520474302566</v>
      </c>
      <c r="D245" s="51" t="n">
        <f aca="false">1+IF($G$8=$E$8,$F$8,IF(R245&lt;($F$8-$E$8)/($G$8-$E$8),$E$8+SQRT(R245*($G$8-$E$8)*($F$8-$E$8)),$G$8-SQRT((1-R245)*($G$8-$E$8)*($G$8-$F$8))))</f>
        <v>1.03035900359899</v>
      </c>
      <c r="E245" s="51" t="n">
        <f aca="false">1+IF($G$9=$E$9,$F$9,IF(S245&lt;($F$9-$E$9)/($G$9-$E$9),$E$9+SQRT(S245*($G$9-$E$9)*($F$9-$E$9)),$G$9-SQRT((1-S245)*($G$9-$E$9)*($G$9-$F$9))))</f>
        <v>0.993089884208131</v>
      </c>
      <c r="F245" s="51" t="n">
        <f aca="false">1+IF($G$10=$E$10,$F$10,IF(T245&lt;($F$10-$E$10)/($G$10-$E$10),$E$10+SQRT(T245*($G$10-$E$10)*($F$10-$E$10)),$G$10-SQRT((1-T245)*($G$10-$E$10)*($G$10-$F$10))))</f>
        <v>1.03307662868956</v>
      </c>
      <c r="G245" s="52" t="n">
        <f aca="false">IF($G$11=$E$11,$F$11,IF(U245&lt;($F$11-$E$11)/($G$11-$E$11),$E$11+SQRT(U245*($G$11-$E$11)*($F$11-$E$11)),$G$11-SQRT((1-U245)*($G$11-$E$11)*($G$11-$F$11))))</f>
        <v>0.0957793409181932</v>
      </c>
      <c r="H245" s="53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-2066153257.37913</v>
      </c>
      <c r="I245" s="53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-13758232.0962786</v>
      </c>
      <c r="J245" s="53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265692735.892088</v>
      </c>
      <c r="K245" s="53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596797535.314932</v>
      </c>
      <c r="L245" s="53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722403961.765249</v>
      </c>
      <c r="M245" s="53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900912532.596654</v>
      </c>
      <c r="N245" s="53" t="n">
        <f aca="false">IF(COUNT('Business Case'!B11:G11)=0,"",H245+NPV(G245,I245:M245))</f>
        <v>-332539389.175144</v>
      </c>
      <c r="P245" s="54" t="n">
        <f aca="true">RAND()</f>
        <v>0.801535564523616</v>
      </c>
      <c r="Q245" s="54" t="n">
        <f aca="true">RAND()</f>
        <v>0.386826719818294</v>
      </c>
      <c r="R245" s="54" t="n">
        <f aca="true">RAND()</f>
        <v>0.676675441351627</v>
      </c>
      <c r="S245" s="54" t="n">
        <f aca="true">RAND()</f>
        <v>0.346629061675328</v>
      </c>
      <c r="T245" s="54" t="n">
        <f aca="true">RAND()</f>
        <v>0.372590013057523</v>
      </c>
      <c r="U245" s="54" t="n">
        <f aca="true">RAND()</f>
        <v>0.248987599812565</v>
      </c>
    </row>
    <row r="246" customFormat="false" ht="15" hidden="false" customHeight="false" outlineLevel="0" collapsed="false">
      <c r="A246" s="50" t="n">
        <v>166</v>
      </c>
      <c r="B246" s="51" t="n">
        <f aca="false">1+IF($G$6=$E$6,$F$6,IF(P246&lt;($F$6-$E$6)/($G$6-$E$6),$E$6+SQRT(P246*($G$6-$E$6)*($F$6-$E$6)),$G$6-SQRT((1-P246)*($G$6-$E$6)*($G$6-$F$6))))</f>
        <v>1.00381937306214</v>
      </c>
      <c r="C246" s="51" t="n">
        <f aca="false">1+IF($G$7=$E$7,$F$7,IF(Q246&lt;($F$7-$E$7)/($G$7-$E$7),$E$7+SQRT(Q246*($G$7-$E$7)*($F$7-$E$7)),$G$7-SQRT((1-Q246)*($G$7-$E$7)*($G$7-$F$7))))</f>
        <v>0.924132721299737</v>
      </c>
      <c r="D246" s="51" t="n">
        <f aca="false">1+IF($G$8=$E$8,$F$8,IF(R246&lt;($F$8-$E$8)/($G$8-$E$8),$E$8+SQRT(R246*($G$8-$E$8)*($F$8-$E$8)),$G$8-SQRT((1-R246)*($G$8-$E$8)*($G$8-$F$8))))</f>
        <v>1.01783056252385</v>
      </c>
      <c r="E246" s="51" t="n">
        <f aca="false">1+IF($G$9=$E$9,$F$9,IF(S246&lt;($F$9-$E$9)/($G$9-$E$9),$E$9+SQRT(S246*($G$9-$E$9)*($F$9-$E$9)),$G$9-SQRT((1-S246)*($G$9-$E$9)*($G$9-$F$9))))</f>
        <v>0.998359063608325</v>
      </c>
      <c r="F246" s="51" t="n">
        <f aca="false">1+IF($G$10=$E$10,$F$10,IF(T246&lt;($F$10-$E$10)/($G$10-$E$10),$E$10+SQRT(T246*($G$10-$E$10)*($F$10-$E$10)),$G$10-SQRT((1-T246)*($G$10-$E$10)*($G$10-$F$10))))</f>
        <v>1.11815767577465</v>
      </c>
      <c r="G246" s="52" t="n">
        <f aca="false">IF($G$11=$E$11,$F$11,IF(U246&lt;($F$11-$E$11)/($G$11-$E$11),$E$11+SQRT(U246*($G$11-$E$11)*($F$11-$E$11)),$G$11-SQRT((1-U246)*($G$11-$E$11)*($G$11-$F$11))))</f>
        <v>0.108222897380691</v>
      </c>
      <c r="H246" s="53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-2236315351.5493</v>
      </c>
      <c r="I246" s="53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-23567543.7518142</v>
      </c>
      <c r="J246" s="53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254737354.050221</v>
      </c>
      <c r="K246" s="53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588950135.64099</v>
      </c>
      <c r="L246" s="53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713778444.995855</v>
      </c>
      <c r="M246" s="53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890108500.477219</v>
      </c>
      <c r="N246" s="53" t="n">
        <f aca="false">IF(COUNT('Business Case'!B11:G11)=0,"",H246+NPV(G246,I246:M246))</f>
        <v>-611760925.051013</v>
      </c>
      <c r="P246" s="54" t="n">
        <f aca="true">RAND()</f>
        <v>0.715646626083538</v>
      </c>
      <c r="Q246" s="54" t="n">
        <f aca="true">RAND()</f>
        <v>0.372114642646115</v>
      </c>
      <c r="R246" s="54" t="n">
        <f aca="true">RAND()</f>
        <v>0.549878902990173</v>
      </c>
      <c r="S246" s="54" t="n">
        <f aca="true">RAND()</f>
        <v>0.386980215756264</v>
      </c>
      <c r="T246" s="54" t="n">
        <f aca="true">RAND()</f>
        <v>0.768234687238101</v>
      </c>
      <c r="U246" s="54" t="n">
        <f aca="true">RAND()</f>
        <v>0.683838534338732</v>
      </c>
    </row>
    <row r="247" customFormat="false" ht="15" hidden="false" customHeight="false" outlineLevel="0" collapsed="false">
      <c r="A247" s="50" t="n">
        <v>167</v>
      </c>
      <c r="B247" s="51" t="n">
        <f aca="false">1+IF($G$6=$E$6,$F$6,IF(P247&lt;($F$6-$E$6)/($G$6-$E$6),$E$6+SQRT(P247*($G$6-$E$6)*($F$6-$E$6)),$G$6-SQRT((1-P247)*($G$6-$E$6)*($G$6-$F$6))))</f>
        <v>0.976479338284413</v>
      </c>
      <c r="C247" s="51" t="n">
        <f aca="false">1+IF($G$7=$E$7,$F$7,IF(Q247&lt;($F$7-$E$7)/($G$7-$E$7),$E$7+SQRT(Q247*($G$7-$E$7)*($F$7-$E$7)),$G$7-SQRT((1-Q247)*($G$7-$E$7)*($G$7-$F$7))))</f>
        <v>1.00188578405729</v>
      </c>
      <c r="D247" s="51" t="n">
        <f aca="false">1+IF($G$8=$E$8,$F$8,IF(R247&lt;($F$8-$E$8)/($G$8-$E$8),$E$8+SQRT(R247*($G$8-$E$8)*($F$8-$E$8)),$G$8-SQRT((1-R247)*($G$8-$E$8)*($G$8-$F$8))))</f>
        <v>1.00987172885506</v>
      </c>
      <c r="E247" s="51" t="n">
        <f aca="false">1+IF($G$9=$E$9,$F$9,IF(S247&lt;($F$9-$E$9)/($G$9-$E$9),$E$9+SQRT(S247*($G$9-$E$9)*($F$9-$E$9)),$G$9-SQRT((1-S247)*($G$9-$E$9)*($G$9-$F$9))))</f>
        <v>0.986373482066923</v>
      </c>
      <c r="F247" s="51" t="n">
        <f aca="false">1+IF($G$10=$E$10,$F$10,IF(T247&lt;($F$10-$E$10)/($G$10-$E$10),$E$10+SQRT(T247*($G$10-$E$10)*($F$10-$E$10)),$G$10-SQRT((1-T247)*($G$10-$E$10)*($G$10-$F$10))))</f>
        <v>1.05423408807962</v>
      </c>
      <c r="G247" s="52" t="n">
        <f aca="false">IF($G$11=$E$11,$F$11,IF(U247&lt;($F$11-$E$11)/($G$11-$E$11),$E$11+SQRT(U247*($G$11-$E$11)*($F$11-$E$11)),$G$11-SQRT((1-U247)*($G$11-$E$11)*($G$11-$F$11))))</f>
        <v>0.0893875815907353</v>
      </c>
      <c r="H247" s="53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-2108468176.15925</v>
      </c>
      <c r="I247" s="53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-13035154.7901607</v>
      </c>
      <c r="J247" s="53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270331556.962312</v>
      </c>
      <c r="K247" s="53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606409973.118765</v>
      </c>
      <c r="L247" s="53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734676309.426093</v>
      </c>
      <c r="M247" s="53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920635520.903525</v>
      </c>
      <c r="N247" s="53" t="n">
        <f aca="false">IF(COUNT('Business Case'!B11:G11)=0,"",H247+NPV(G247,I247:M247))</f>
        <v>-301927035.652817</v>
      </c>
      <c r="P247" s="54" t="n">
        <f aca="true">RAND()</f>
        <v>0.389939278961442</v>
      </c>
      <c r="Q247" s="54" t="n">
        <f aca="true">RAND()</f>
        <v>0.674995244972985</v>
      </c>
      <c r="R247" s="54" t="n">
        <f aca="true">RAND()</f>
        <v>0.458459649361579</v>
      </c>
      <c r="S247" s="54" t="n">
        <f aca="true">RAND()</f>
        <v>0.298415136174604</v>
      </c>
      <c r="T247" s="54" t="n">
        <f aca="true">RAND()</f>
        <v>0.489009436399776</v>
      </c>
      <c r="U247" s="54" t="n">
        <f aca="true">RAND()</f>
        <v>0.0881266881227116</v>
      </c>
    </row>
    <row r="248" customFormat="false" ht="15" hidden="false" customHeight="false" outlineLevel="0" collapsed="false">
      <c r="A248" s="50" t="n">
        <v>168</v>
      </c>
      <c r="B248" s="51" t="n">
        <f aca="false">1+IF($G$6=$E$6,$F$6,IF(P248&lt;($F$6-$E$6)/($G$6-$E$6),$E$6+SQRT(P248*($G$6-$E$6)*($F$6-$E$6)),$G$6-SQRT((1-P248)*($G$6-$E$6)*($G$6-$F$6))))</f>
        <v>1.00525361077946</v>
      </c>
      <c r="C248" s="51" t="n">
        <f aca="false">1+IF($G$7=$E$7,$F$7,IF(Q248&lt;($F$7-$E$7)/($G$7-$E$7),$E$7+SQRT(Q248*($G$7-$E$7)*($F$7-$E$7)),$G$7-SQRT((1-Q248)*($G$7-$E$7)*($G$7-$F$7))))</f>
        <v>0.920689419128038</v>
      </c>
      <c r="D248" s="51" t="n">
        <f aca="false">1+IF($G$8=$E$8,$F$8,IF(R248&lt;($F$8-$E$8)/($G$8-$E$8),$E$8+SQRT(R248*($G$8-$E$8)*($F$8-$E$8)),$G$8-SQRT((1-R248)*($G$8-$E$8)*($G$8-$F$8))))</f>
        <v>1.01217197519967</v>
      </c>
      <c r="E248" s="51" t="n">
        <f aca="false">1+IF($G$9=$E$9,$F$9,IF(S248&lt;($F$9-$E$9)/($G$9-$E$9),$E$9+SQRT(S248*($G$9-$E$9)*($F$9-$E$9)),$G$9-SQRT((1-S248)*($G$9-$E$9)*($G$9-$F$9))))</f>
        <v>1.04222741952674</v>
      </c>
      <c r="F248" s="51" t="n">
        <f aca="false">1+IF($G$10=$E$10,$F$10,IF(T248&lt;($F$10-$E$10)/($G$10-$E$10),$E$10+SQRT(T248*($G$10-$E$10)*($F$10-$E$10)),$G$10-SQRT((1-T248)*($G$10-$E$10)*($G$10-$F$10))))</f>
        <v>1.04703398532137</v>
      </c>
      <c r="G248" s="52" t="n">
        <f aca="false">IF($G$11=$E$11,$F$11,IF(U248&lt;($F$11-$E$11)/($G$11-$E$11),$E$11+SQRT(U248*($G$11-$E$11)*($F$11-$E$11)),$G$11-SQRT((1-U248)*($G$11-$E$11)*($G$11-$F$11))))</f>
        <v>0.0851647159336267</v>
      </c>
      <c r="H248" s="53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-2094067970.64274</v>
      </c>
      <c r="I248" s="53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-19870909.6679573</v>
      </c>
      <c r="J248" s="53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261145604.910061</v>
      </c>
      <c r="K248" s="53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594513818.754149</v>
      </c>
      <c r="L248" s="53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720172181.384913</v>
      </c>
      <c r="M248" s="53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896096232.461083</v>
      </c>
      <c r="N248" s="53" t="n">
        <f aca="false">IF(COUNT('Business Case'!B11:G11)=0,"",H248+NPV(G248,I248:M248))</f>
        <v>-310542619.512263</v>
      </c>
      <c r="P248" s="54" t="n">
        <f aca="true">RAND()</f>
        <v>0.733034753563134</v>
      </c>
      <c r="Q248" s="54" t="n">
        <f aca="true">RAND()</f>
        <v>0.360769034926451</v>
      </c>
      <c r="R248" s="54" t="n">
        <f aca="true">RAND()</f>
        <v>0.485749203978139</v>
      </c>
      <c r="S248" s="54" t="n">
        <f aca="true">RAND()</f>
        <v>0.690268557283567</v>
      </c>
      <c r="T248" s="54" t="n">
        <f aca="true">RAND()</f>
        <v>0.450730625139651</v>
      </c>
      <c r="U248" s="54" t="n">
        <f aca="true">RAND()</f>
        <v>0.0266742906750579</v>
      </c>
    </row>
    <row r="249" customFormat="false" ht="15" hidden="false" customHeight="false" outlineLevel="0" collapsed="false">
      <c r="A249" s="50" t="n">
        <v>169</v>
      </c>
      <c r="B249" s="51" t="n">
        <f aca="false">1+IF($G$6=$E$6,$F$6,IF(P249&lt;($F$6-$E$6)/($G$6-$E$6),$E$6+SQRT(P249*($G$6-$E$6)*($F$6-$E$6)),$G$6-SQRT((1-P249)*($G$6-$E$6)*($G$6-$F$6))))</f>
        <v>1.00284123992499</v>
      </c>
      <c r="C249" s="51" t="n">
        <f aca="false">1+IF($G$7=$E$7,$F$7,IF(Q249&lt;($F$7-$E$7)/($G$7-$E$7),$E$7+SQRT(Q249*($G$7-$E$7)*($F$7-$E$7)),$G$7-SQRT((1-Q249)*($G$7-$E$7)*($G$7-$F$7))))</f>
        <v>1.0407214116402</v>
      </c>
      <c r="D249" s="51" t="n">
        <f aca="false">1+IF($G$8=$E$8,$F$8,IF(R249&lt;($F$8-$E$8)/($G$8-$E$8),$E$8+SQRT(R249*($G$8-$E$8)*($F$8-$E$8)),$G$8-SQRT((1-R249)*($G$8-$E$8)*($G$8-$F$8))))</f>
        <v>1.03947720337142</v>
      </c>
      <c r="E249" s="51" t="n">
        <f aca="false">1+IF($G$9=$E$9,$F$9,IF(S249&lt;($F$9-$E$9)/($G$9-$E$9),$E$9+SQRT(S249*($G$9-$E$9)*($F$9-$E$9)),$G$9-SQRT((1-S249)*($G$9-$E$9)*($G$9-$F$9))))</f>
        <v>0.988857033996353</v>
      </c>
      <c r="F249" s="51" t="n">
        <f aca="false">1+IF($G$10=$E$10,$F$10,IF(T249&lt;($F$10-$E$10)/($G$10-$E$10),$E$10+SQRT(T249*($G$10-$E$10)*($F$10-$E$10)),$G$10-SQRT((1-T249)*($G$10-$E$10)*($G$10-$F$10))))</f>
        <v>1.07516900906098</v>
      </c>
      <c r="G249" s="52" t="n">
        <f aca="false">IF($G$11=$E$11,$F$11,IF(U249&lt;($F$11-$E$11)/($G$11-$E$11),$E$11+SQRT(U249*($G$11-$E$11)*($F$11-$E$11)),$G$11-SQRT((1-U249)*($G$11-$E$11)*($G$11-$F$11))))</f>
        <v>0.119064195406432</v>
      </c>
      <c r="H249" s="53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-2150338018.12195</v>
      </c>
      <c r="I249" s="53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-1187163.57413276</v>
      </c>
      <c r="J249" s="53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299862329.700994</v>
      </c>
      <c r="K249" s="53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654670273.429169</v>
      </c>
      <c r="L249" s="53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791089628.326798</v>
      </c>
      <c r="M249" s="53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989472009.259358</v>
      </c>
      <c r="N249" s="53" t="n">
        <f aca="false">IF(COUNT('Business Case'!B11:G11)=0,"",H249+NPV(G249,I249:M249))</f>
        <v>-376559110.208523</v>
      </c>
      <c r="P249" s="54" t="n">
        <f aca="true">RAND()</f>
        <v>0.703473513091738</v>
      </c>
      <c r="Q249" s="54" t="n">
        <f aca="true">RAND()</f>
        <v>0.823084298164272</v>
      </c>
      <c r="R249" s="54" t="n">
        <f aca="true">RAND()</f>
        <v>0.755799405883667</v>
      </c>
      <c r="S249" s="54" t="n">
        <f aca="true">RAND()</f>
        <v>0.315822899625158</v>
      </c>
      <c r="T249" s="54" t="n">
        <f aca="true">RAND()</f>
        <v>0.592454994763718</v>
      </c>
      <c r="U249" s="54" t="n">
        <f aca="true">RAND()</f>
        <v>0.920272118594202</v>
      </c>
    </row>
    <row r="250" customFormat="false" ht="15" hidden="false" customHeight="false" outlineLevel="0" collapsed="false">
      <c r="A250" s="50" t="n">
        <v>170</v>
      </c>
      <c r="B250" s="51" t="n">
        <f aca="false">1+IF($G$6=$E$6,$F$6,IF(P250&lt;($F$6-$E$6)/($G$6-$E$6),$E$6+SQRT(P250*($G$6-$E$6)*($F$6-$E$6)),$G$6-SQRT((1-P250)*($G$6-$E$6)*($G$6-$F$6))))</f>
        <v>1.00383970388451</v>
      </c>
      <c r="C250" s="51" t="n">
        <f aca="false">1+IF($G$7=$E$7,$F$7,IF(Q250&lt;($F$7-$E$7)/($G$7-$E$7),$E$7+SQRT(Q250*($G$7-$E$7)*($F$7-$E$7)),$G$7-SQRT((1-Q250)*($G$7-$E$7)*($G$7-$F$7))))</f>
        <v>0.887429433133208</v>
      </c>
      <c r="D250" s="51" t="n">
        <f aca="false">1+IF($G$8=$E$8,$F$8,IF(R250&lt;($F$8-$E$8)/($G$8-$E$8),$E$8+SQRT(R250*($G$8-$E$8)*($F$8-$E$8)),$G$8-SQRT((1-R250)*($G$8-$E$8)*($G$8-$F$8))))</f>
        <v>1.06652677089826</v>
      </c>
      <c r="E250" s="51" t="n">
        <f aca="false">1+IF($G$9=$E$9,$F$9,IF(S250&lt;($F$9-$E$9)/($G$9-$E$9),$E$9+SQRT(S250*($G$9-$E$9)*($F$9-$E$9)),$G$9-SQRT((1-S250)*($G$9-$E$9)*($G$9-$F$9))))</f>
        <v>1.07376487099745</v>
      </c>
      <c r="F250" s="51" t="n">
        <f aca="false">1+IF($G$10=$E$10,$F$10,IF(T250&lt;($F$10-$E$10)/($G$10-$E$10),$E$10+SQRT(T250*($G$10-$E$10)*($F$10-$E$10)),$G$10-SQRT((1-T250)*($G$10-$E$10)*($G$10-$F$10))))</f>
        <v>1.19889948202617</v>
      </c>
      <c r="G250" s="52" t="n">
        <f aca="false">IF($G$11=$E$11,$F$11,IF(U250&lt;($F$11-$E$11)/($G$11-$E$11),$E$11+SQRT(U250*($G$11-$E$11)*($F$11-$E$11)),$G$11-SQRT((1-U250)*($G$11-$E$11)*($G$11-$F$11))))</f>
        <v>0.0990885113664506</v>
      </c>
      <c r="H250" s="53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-2397798964.05233</v>
      </c>
      <c r="I250" s="53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-73616250.3299333</v>
      </c>
      <c r="J250" s="53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171527797.06218</v>
      </c>
      <c r="K250" s="53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476616818.555601</v>
      </c>
      <c r="L250" s="53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589118824.262033</v>
      </c>
      <c r="M250" s="53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758449102.095203</v>
      </c>
      <c r="N250" s="53" t="n">
        <f aca="false">IF(COUNT('Business Case'!B11:G11)=0,"",H250+NPV(G250,I250:M250))</f>
        <v>-1087197921.05616</v>
      </c>
      <c r="P250" s="54" t="n">
        <f aca="true">RAND()</f>
        <v>0.715896941670734</v>
      </c>
      <c r="Q250" s="54" t="n">
        <f aca="true">RAND()</f>
        <v>0.260220684478784</v>
      </c>
      <c r="R250" s="54" t="n">
        <f aca="true">RAND()</f>
        <v>0.925302862233509</v>
      </c>
      <c r="S250" s="54" t="n">
        <f aca="true">RAND()</f>
        <v>0.845018802825734</v>
      </c>
      <c r="T250" s="54" t="n">
        <f aca="true">RAND()</f>
        <v>0.965183160837412</v>
      </c>
      <c r="U250" s="54" t="n">
        <f aca="true">RAND()</f>
        <v>0.364371266187113</v>
      </c>
    </row>
    <row r="251" customFormat="false" ht="15" hidden="false" customHeight="false" outlineLevel="0" collapsed="false">
      <c r="A251" s="50" t="n">
        <v>171</v>
      </c>
      <c r="B251" s="51" t="n">
        <f aca="false">1+IF($G$6=$E$6,$F$6,IF(P251&lt;($F$6-$E$6)/($G$6-$E$6),$E$6+SQRT(P251*($G$6-$E$6)*($F$6-$E$6)),$G$6-SQRT((1-P251)*($G$6-$E$6)*($G$6-$F$6))))</f>
        <v>0.910936840035961</v>
      </c>
      <c r="C251" s="51" t="n">
        <f aca="false">1+IF($G$7=$E$7,$F$7,IF(Q251&lt;($F$7-$E$7)/($G$7-$E$7),$E$7+SQRT(Q251*($G$7-$E$7)*($F$7-$E$7)),$G$7-SQRT((1-Q251)*($G$7-$E$7)*($G$7-$F$7))))</f>
        <v>0.804764143382668</v>
      </c>
      <c r="D251" s="51" t="n">
        <f aca="false">1+IF($G$8=$E$8,$F$8,IF(R251&lt;($F$8-$E$8)/($G$8-$E$8),$E$8+SQRT(R251*($G$8-$E$8)*($F$8-$E$8)),$G$8-SQRT((1-R251)*($G$8-$E$8)*($G$8-$F$8))))</f>
        <v>0.981288097497188</v>
      </c>
      <c r="E251" s="51" t="n">
        <f aca="false">1+IF($G$9=$E$9,$F$9,IF(S251&lt;($F$9-$E$9)/($G$9-$E$9),$E$9+SQRT(S251*($G$9-$E$9)*($F$9-$E$9)),$G$9-SQRT((1-S251)*($G$9-$E$9)*($G$9-$F$9))))</f>
        <v>0.975854098210174</v>
      </c>
      <c r="F251" s="51" t="n">
        <f aca="false">1+IF($G$10=$E$10,$F$10,IF(T251&lt;($F$10-$E$10)/($G$10-$E$10),$E$10+SQRT(T251*($G$10-$E$10)*($F$10-$E$10)),$G$10-SQRT((1-T251)*($G$10-$E$10)*($G$10-$F$10))))</f>
        <v>1.11995632208637</v>
      </c>
      <c r="G251" s="52" t="n">
        <f aca="false">IF($G$11=$E$11,$F$11,IF(U251&lt;($F$11-$E$11)/($G$11-$E$11),$E$11+SQRT(U251*($G$11-$E$11)*($F$11-$E$11)),$G$11-SQRT((1-U251)*($G$11-$E$11)*($G$11-$F$11))))</f>
        <v>0.0852245553024828</v>
      </c>
      <c r="H251" s="53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-2239912644.17273</v>
      </c>
      <c r="I251" s="53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-92578537.6083234</v>
      </c>
      <c r="J251" s="53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103608359.367414</v>
      </c>
      <c r="K251" s="53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355793072.44747</v>
      </c>
      <c r="L251" s="53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446524271.179341</v>
      </c>
      <c r="M251" s="53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585869886.415779</v>
      </c>
      <c r="N251" s="53" t="n">
        <f aca="false">IF(COUNT('Business Case'!B11:G11)=0,"",H251+NPV(G251,I251:M251))</f>
        <v>-1247705205.82757</v>
      </c>
      <c r="P251" s="54" t="n">
        <f aca="true">RAND()</f>
        <v>0.00797429799814635</v>
      </c>
      <c r="Q251" s="54" t="n">
        <f aca="true">RAND()</f>
        <v>0.0813001906570691</v>
      </c>
      <c r="R251" s="54" t="n">
        <f aca="true">RAND()</f>
        <v>0.130526005999136</v>
      </c>
      <c r="S251" s="54" t="n">
        <f aca="true">RAND()</f>
        <v>0.230153768611148</v>
      </c>
      <c r="T251" s="54" t="n">
        <f aca="true">RAND()</f>
        <v>0.774515224462597</v>
      </c>
      <c r="U251" s="54" t="n">
        <f aca="true">RAND()</f>
        <v>0.0272959781087006</v>
      </c>
    </row>
    <row r="252" customFormat="false" ht="15" hidden="false" customHeight="false" outlineLevel="0" collapsed="false">
      <c r="A252" s="50" t="n">
        <v>172</v>
      </c>
      <c r="B252" s="51" t="n">
        <f aca="false">1+IF($G$6=$E$6,$F$6,IF(P252&lt;($F$6-$E$6)/($G$6-$E$6),$E$6+SQRT(P252*($G$6-$E$6)*($F$6-$E$6)),$G$6-SQRT((1-P252)*($G$6-$E$6)*($G$6-$F$6))))</f>
        <v>0.966520061888253</v>
      </c>
      <c r="C252" s="51" t="n">
        <f aca="false">1+IF($G$7=$E$7,$F$7,IF(Q252&lt;($F$7-$E$7)/($G$7-$E$7),$E$7+SQRT(Q252*($G$7-$E$7)*($F$7-$E$7)),$G$7-SQRT((1-Q252)*($G$7-$E$7)*($G$7-$F$7))))</f>
        <v>0.961772776418886</v>
      </c>
      <c r="D252" s="51" t="n">
        <f aca="false">1+IF($G$8=$E$8,$F$8,IF(R252&lt;($F$8-$E$8)/($G$8-$E$8),$E$8+SQRT(R252*($G$8-$E$8)*($F$8-$E$8)),$G$8-SQRT((1-R252)*($G$8-$E$8)*($G$8-$F$8))))</f>
        <v>1.06258183368373</v>
      </c>
      <c r="E252" s="51" t="n">
        <f aca="false">1+IF($G$9=$E$9,$F$9,IF(S252&lt;($F$9-$E$9)/($G$9-$E$9),$E$9+SQRT(S252*($G$9-$E$9)*($F$9-$E$9)),$G$9-SQRT((1-S252)*($G$9-$E$9)*($G$9-$F$9))))</f>
        <v>0.966891828446029</v>
      </c>
      <c r="F252" s="51" t="n">
        <f aca="false">1+IF($G$10=$E$10,$F$10,IF(T252&lt;($F$10-$E$10)/($G$10-$E$10),$E$10+SQRT(T252*($G$10-$E$10)*($F$10-$E$10)),$G$10-SQRT((1-T252)*($G$10-$E$10)*($G$10-$F$10))))</f>
        <v>1.13612411657504</v>
      </c>
      <c r="G252" s="52" t="n">
        <f aca="false">IF($G$11=$E$11,$F$11,IF(U252&lt;($F$11-$E$11)/($G$11-$E$11),$E$11+SQRT(U252*($G$11-$E$11)*($F$11-$E$11)),$G$11-SQRT((1-U252)*($G$11-$E$11)*($G$11-$F$11))))</f>
        <v>0.114007087307814</v>
      </c>
      <c r="H252" s="53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-2272248233.15008</v>
      </c>
      <c r="I252" s="53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-61069451.2012517</v>
      </c>
      <c r="J252" s="53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177154575.166799</v>
      </c>
      <c r="K252" s="53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472184807.363601</v>
      </c>
      <c r="L252" s="53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583718848.0908</v>
      </c>
      <c r="M252" s="53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760412023.748966</v>
      </c>
      <c r="N252" s="53" t="n">
        <f aca="false">IF(COUNT('Business Case'!B11:G11)=0,"",H252+NPV(G252,I252:M252))</f>
        <v>-1020551849.87179</v>
      </c>
      <c r="P252" s="54" t="n">
        <f aca="true">RAND()</f>
        <v>0.294994575574462</v>
      </c>
      <c r="Q252" s="54" t="n">
        <f aca="true">RAND()</f>
        <v>0.507592492400385</v>
      </c>
      <c r="R252" s="54" t="n">
        <f aca="true">RAND()</f>
        <v>0.906658721968517</v>
      </c>
      <c r="S252" s="54" t="n">
        <f aca="true">RAND()</f>
        <v>0.17898066851412</v>
      </c>
      <c r="T252" s="54" t="n">
        <f aca="true">RAND()</f>
        <v>0.827097108989135</v>
      </c>
      <c r="U252" s="54" t="n">
        <f aca="true">RAND()</f>
        <v>0.829484495746746</v>
      </c>
    </row>
    <row r="253" customFormat="false" ht="15" hidden="false" customHeight="false" outlineLevel="0" collapsed="false">
      <c r="A253" s="50" t="n">
        <v>173</v>
      </c>
      <c r="B253" s="51" t="n">
        <f aca="false">1+IF($G$6=$E$6,$F$6,IF(P253&lt;($F$6-$E$6)/($G$6-$E$6),$E$6+SQRT(P253*($G$6-$E$6)*($F$6-$E$6)),$G$6-SQRT((1-P253)*($G$6-$E$6)*($G$6-$F$6))))</f>
        <v>0.986881675491228</v>
      </c>
      <c r="C253" s="51" t="n">
        <f aca="false">1+IF($G$7=$E$7,$F$7,IF(Q253&lt;($F$7-$E$7)/($G$7-$E$7),$E$7+SQRT(Q253*($G$7-$E$7)*($F$7-$E$7)),$G$7-SQRT((1-Q253)*($G$7-$E$7)*($G$7-$F$7))))</f>
        <v>1.01241824332271</v>
      </c>
      <c r="D253" s="51" t="n">
        <f aca="false">1+IF($G$8=$E$8,$F$8,IF(R253&lt;($F$8-$E$8)/($G$8-$E$8),$E$8+SQRT(R253*($G$8-$E$8)*($F$8-$E$8)),$G$8-SQRT((1-R253)*($G$8-$E$8)*($G$8-$F$8))))</f>
        <v>0.9594605706937</v>
      </c>
      <c r="E253" s="51" t="n">
        <f aca="false">1+IF($G$9=$E$9,$F$9,IF(S253&lt;($F$9-$E$9)/($G$9-$E$9),$E$9+SQRT(S253*($G$9-$E$9)*($F$9-$E$9)),$G$9-SQRT((1-S253)*($G$9-$E$9)*($G$9-$F$9))))</f>
        <v>1.06353104361634</v>
      </c>
      <c r="F253" s="51" t="n">
        <f aca="false">1+IF($G$10=$E$10,$F$10,IF(T253&lt;($F$10-$E$10)/($G$10-$E$10),$E$10+SQRT(T253*($G$10-$E$10)*($F$10-$E$10)),$G$10-SQRT((1-T253)*($G$10-$E$10)*($G$10-$F$10))))</f>
        <v>1.11044030885065</v>
      </c>
      <c r="G253" s="52" t="n">
        <f aca="false">IF($G$11=$E$11,$F$11,IF(U253&lt;($F$11-$E$11)/($G$11-$E$11),$E$11+SQRT(U253*($G$11-$E$11)*($F$11-$E$11)),$G$11-SQRT((1-U253)*($G$11-$E$11)*($G$11-$F$11))))</f>
        <v>0.0987025434352328</v>
      </c>
      <c r="H253" s="53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-2220880617.7013</v>
      </c>
      <c r="I253" s="53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7025255.55430059</v>
      </c>
      <c r="J253" s="53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328123919.111894</v>
      </c>
      <c r="K253" s="53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704744598.112019</v>
      </c>
      <c r="L253" s="53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846307661.10854</v>
      </c>
      <c r="M253" s="53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1036223624.40048</v>
      </c>
      <c r="N253" s="53" t="n">
        <f aca="false">IF(COUNT('Business Case'!B11:G11)=0,"",H253+NPV(G253,I253:M253))</f>
        <v>-183309633.58355</v>
      </c>
      <c r="P253" s="54" t="n">
        <f aca="true">RAND()</f>
        <v>0.503228369077538</v>
      </c>
      <c r="Q253" s="54" t="n">
        <f aca="true">RAND()</f>
        <v>0.719574225623578</v>
      </c>
      <c r="R253" s="54" t="n">
        <f aca="true">RAND()</f>
        <v>0.0119336530467334</v>
      </c>
      <c r="S253" s="54" t="n">
        <f aca="true">RAND()</f>
        <v>0.800616522184549</v>
      </c>
      <c r="T253" s="54" t="n">
        <f aca="true">RAND()</f>
        <v>0.740307901417314</v>
      </c>
      <c r="U253" s="54" t="n">
        <f aca="true">RAND()</f>
        <v>0.349785130946769</v>
      </c>
    </row>
    <row r="254" customFormat="false" ht="15" hidden="false" customHeight="false" outlineLevel="0" collapsed="false">
      <c r="A254" s="50" t="n">
        <v>174</v>
      </c>
      <c r="B254" s="51" t="n">
        <f aca="false">1+IF($G$6=$E$6,$F$6,IF(P254&lt;($F$6-$E$6)/($G$6-$E$6),$E$6+SQRT(P254*($G$6-$E$6)*($F$6-$E$6)),$G$6-SQRT((1-P254)*($G$6-$E$6)*($G$6-$F$6))))</f>
        <v>0.983081648974143</v>
      </c>
      <c r="C254" s="51" t="n">
        <f aca="false">1+IF($G$7=$E$7,$F$7,IF(Q254&lt;($F$7-$E$7)/($G$7-$E$7),$E$7+SQRT(Q254*($G$7-$E$7)*($F$7-$E$7)),$G$7-SQRT((1-Q254)*($G$7-$E$7)*($G$7-$F$7))))</f>
        <v>1.05547604995234</v>
      </c>
      <c r="D254" s="51" t="n">
        <f aca="false">1+IF($G$8=$E$8,$F$8,IF(R254&lt;($F$8-$E$8)/($G$8-$E$8),$E$8+SQRT(R254*($G$8-$E$8)*($F$8-$E$8)),$G$8-SQRT((1-R254)*($G$8-$E$8)*($G$8-$F$8))))</f>
        <v>1.01237568216349</v>
      </c>
      <c r="E254" s="51" t="n">
        <f aca="false">1+IF($G$9=$E$9,$F$9,IF(S254&lt;($F$9-$E$9)/($G$9-$E$9),$E$9+SQRT(S254*($G$9-$E$9)*($F$9-$E$9)),$G$9-SQRT((1-S254)*($G$9-$E$9)*($G$9-$F$9))))</f>
        <v>0.975164551649694</v>
      </c>
      <c r="F254" s="51" t="n">
        <f aca="false">1+IF($G$10=$E$10,$F$10,IF(T254&lt;($F$10-$E$10)/($G$10-$E$10),$E$10+SQRT(T254*($G$10-$E$10)*($F$10-$E$10)),$G$10-SQRT((1-T254)*($G$10-$E$10)*($G$10-$F$10))))</f>
        <v>1.12048511480551</v>
      </c>
      <c r="G254" s="52" t="n">
        <f aca="false">IF($G$11=$E$11,$F$11,IF(U254&lt;($F$11-$E$11)/($G$11-$E$11),$E$11+SQRT(U254*($G$11-$E$11)*($F$11-$E$11)),$G$11-SQRT((1-U254)*($G$11-$E$11)*($G$11-$F$11))))</f>
        <v>0.112750469483227</v>
      </c>
      <c r="H254" s="53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-2240970229.61102</v>
      </c>
      <c r="I254" s="53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-1628425.4588047</v>
      </c>
      <c r="J254" s="53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301250235.799098</v>
      </c>
      <c r="K254" s="53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660153152.797277</v>
      </c>
      <c r="L254" s="53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796972823.877625</v>
      </c>
      <c r="M254" s="53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994203469.180049</v>
      </c>
      <c r="N254" s="53" t="n">
        <f aca="false">IF(COUNT('Business Case'!B11:G11)=0,"",H254+NPV(G254,I254:M254))</f>
        <v>-417436934.743784</v>
      </c>
      <c r="P254" s="54" t="n">
        <f aca="true">RAND()</f>
        <v>0.460170693084184</v>
      </c>
      <c r="Q254" s="54" t="n">
        <f aca="true">RAND()</f>
        <v>0.867632931368692</v>
      </c>
      <c r="R254" s="54" t="n">
        <f aca="true">RAND()</f>
        <v>0.488131928245728</v>
      </c>
      <c r="S254" s="54" t="n">
        <f aca="true">RAND()</f>
        <v>0.225988392987981</v>
      </c>
      <c r="T254" s="54" t="n">
        <f aca="true">RAND()</f>
        <v>0.776345260174109</v>
      </c>
      <c r="U254" s="54" t="n">
        <f aca="true">RAND()</f>
        <v>0.801635797967284</v>
      </c>
    </row>
    <row r="255" customFormat="false" ht="15" hidden="false" customHeight="false" outlineLevel="0" collapsed="false">
      <c r="A255" s="50" t="n">
        <v>175</v>
      </c>
      <c r="B255" s="51" t="n">
        <f aca="false">1+IF($G$6=$E$6,$F$6,IF(P255&lt;($F$6-$E$6)/($G$6-$E$6),$E$6+SQRT(P255*($G$6-$E$6)*($F$6-$E$6)),$G$6-SQRT((1-P255)*($G$6-$E$6)*($G$6-$F$6))))</f>
        <v>0.950971805527345</v>
      </c>
      <c r="C255" s="51" t="n">
        <f aca="false">1+IF($G$7=$E$7,$F$7,IF(Q255&lt;($F$7-$E$7)/($G$7-$E$7),$E$7+SQRT(Q255*($G$7-$E$7)*($F$7-$E$7)),$G$7-SQRT((1-Q255)*($G$7-$E$7)*($G$7-$F$7))))</f>
        <v>0.790232344418167</v>
      </c>
      <c r="D255" s="51" t="n">
        <f aca="false">1+IF($G$8=$E$8,$F$8,IF(R255&lt;($F$8-$E$8)/($G$8-$E$8),$E$8+SQRT(R255*($G$8-$E$8)*($F$8-$E$8)),$G$8-SQRT((1-R255)*($G$8-$E$8)*($G$8-$F$8))))</f>
        <v>1.00930242379315</v>
      </c>
      <c r="E255" s="51" t="n">
        <f aca="false">1+IF($G$9=$E$9,$F$9,IF(S255&lt;($F$9-$E$9)/($G$9-$E$9),$E$9+SQRT(S255*($G$9-$E$9)*($F$9-$E$9)),$G$9-SQRT((1-S255)*($G$9-$E$9)*($G$9-$F$9))))</f>
        <v>1.05572589332317</v>
      </c>
      <c r="F255" s="51" t="n">
        <f aca="false">1+IF($G$10=$E$10,$F$10,IF(T255&lt;($F$10-$E$10)/($G$10-$E$10),$E$10+SQRT(T255*($G$10-$E$10)*($F$10-$E$10)),$G$10-SQRT((1-T255)*($G$10-$E$10)*($G$10-$F$10))))</f>
        <v>1.16328458550435</v>
      </c>
      <c r="G255" s="52" t="n">
        <f aca="false">IF($G$11=$E$11,$F$11,IF(U255&lt;($F$11-$E$11)/($G$11-$E$11),$E$11+SQRT(U255*($G$11-$E$11)*($F$11-$E$11)),$G$11-SQRT((1-U255)*($G$11-$E$11)*($G$11-$F$11))))</f>
        <v>0.108511492584372</v>
      </c>
      <c r="H255" s="53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-2326569171.00869</v>
      </c>
      <c r="I255" s="53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-98185422.8040376</v>
      </c>
      <c r="J255" s="53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109039008.110804</v>
      </c>
      <c r="K255" s="53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374427668.300862</v>
      </c>
      <c r="L255" s="53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469473927.364403</v>
      </c>
      <c r="M255" s="53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612316895.536667</v>
      </c>
      <c r="N255" s="53" t="n">
        <f aca="false">IF(COUNT('Business Case'!B11:G11)=0,"",H255+NPV(G255,I255:M255))</f>
        <v>-1374776282.41689</v>
      </c>
      <c r="P255" s="54" t="n">
        <f aca="true">RAND()</f>
        <v>0.173208330581167</v>
      </c>
      <c r="Q255" s="54" t="n">
        <f aca="true">RAND()</f>
        <v>0.0603101924385083</v>
      </c>
      <c r="R255" s="54" t="n">
        <f aca="true">RAND()</f>
        <v>0.451596644680167</v>
      </c>
      <c r="S255" s="54" t="n">
        <f aca="true">RAND()</f>
        <v>0.762997141607593</v>
      </c>
      <c r="T255" s="54" t="n">
        <f aca="true">RAND()</f>
        <v>0.899739158517959</v>
      </c>
      <c r="U255" s="54" t="n">
        <f aca="true">RAND()</f>
        <v>0.692162699365656</v>
      </c>
    </row>
    <row r="256" customFormat="false" ht="15" hidden="false" customHeight="false" outlineLevel="0" collapsed="false">
      <c r="A256" s="50" t="n">
        <v>176</v>
      </c>
      <c r="B256" s="51" t="n">
        <f aca="false">1+IF($G$6=$E$6,$F$6,IF(P256&lt;($F$6-$E$6)/($G$6-$E$6),$E$6+SQRT(P256*($G$6-$E$6)*($F$6-$E$6)),$G$6-SQRT((1-P256)*($G$6-$E$6)*($G$6-$F$6))))</f>
        <v>0.968317206543449</v>
      </c>
      <c r="C256" s="51" t="n">
        <f aca="false">1+IF($G$7=$E$7,$F$7,IF(Q256&lt;($F$7-$E$7)/($G$7-$E$7),$E$7+SQRT(Q256*($G$7-$E$7)*($F$7-$E$7)),$G$7-SQRT((1-Q256)*($G$7-$E$7)*($G$7-$F$7))))</f>
        <v>1.0542018112005</v>
      </c>
      <c r="D256" s="51" t="n">
        <f aca="false">1+IF($G$8=$E$8,$F$8,IF(R256&lt;($F$8-$E$8)/($G$8-$E$8),$E$8+SQRT(R256*($G$8-$E$8)*($F$8-$E$8)),$G$8-SQRT((1-R256)*($G$8-$E$8)*($G$8-$F$8))))</f>
        <v>0.965813835156266</v>
      </c>
      <c r="E256" s="51" t="n">
        <f aca="false">1+IF($G$9=$E$9,$F$9,IF(S256&lt;($F$9-$E$9)/($G$9-$E$9),$E$9+SQRT(S256*($G$9-$E$9)*($F$9-$E$9)),$G$9-SQRT((1-S256)*($G$9-$E$9)*($G$9-$F$9))))</f>
        <v>0.989005031379336</v>
      </c>
      <c r="F256" s="51" t="n">
        <f aca="false">1+IF($G$10=$E$10,$F$10,IF(T256&lt;($F$10-$E$10)/($G$10-$E$10),$E$10+SQRT(T256*($G$10-$E$10)*($F$10-$E$10)),$G$10-SQRT((1-T256)*($G$10-$E$10)*($G$10-$F$10))))</f>
        <v>1.15494199168733</v>
      </c>
      <c r="G256" s="52" t="n">
        <f aca="false">IF($G$11=$E$11,$F$11,IF(U256&lt;($F$11-$E$11)/($G$11-$E$11),$E$11+SQRT(U256*($G$11-$E$11)*($F$11-$E$11)),$G$11-SQRT((1-U256)*($G$11-$E$11)*($G$11-$F$11))))</f>
        <v>0.105595321986732</v>
      </c>
      <c r="H256" s="53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-2309883983.37466</v>
      </c>
      <c r="I256" s="53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5843209.42385149</v>
      </c>
      <c r="J256" s="53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320735496.35175</v>
      </c>
      <c r="K256" s="53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693374882.864015</v>
      </c>
      <c r="L256" s="53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833617887.088763</v>
      </c>
      <c r="M256" s="53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1027651884.2904</v>
      </c>
      <c r="N256" s="53" t="n">
        <f aca="false">IF(COUNT('Business Case'!B11:G11)=0,"",H256+NPV(G256,I256:M256))</f>
        <v>-349090751.335928</v>
      </c>
      <c r="P256" s="54" t="n">
        <f aca="true">RAND()</f>
        <v>0.311149380660019</v>
      </c>
      <c r="Q256" s="54" t="n">
        <f aca="true">RAND()</f>
        <v>0.864040104040534</v>
      </c>
      <c r="R256" s="54" t="n">
        <f aca="true">RAND()</f>
        <v>0.0333436509799418</v>
      </c>
      <c r="S256" s="54" t="n">
        <f aca="true">RAND()</f>
        <v>0.316875824433466</v>
      </c>
      <c r="T256" s="54" t="n">
        <f aca="true">RAND()</f>
        <v>0.879519667408374</v>
      </c>
      <c r="U256" s="54" t="n">
        <f aca="true">RAND()</f>
        <v>0.602941127379149</v>
      </c>
    </row>
    <row r="257" customFormat="false" ht="15" hidden="false" customHeight="false" outlineLevel="0" collapsed="false">
      <c r="A257" s="50" t="n">
        <v>177</v>
      </c>
      <c r="B257" s="51" t="n">
        <f aca="false">1+IF($G$6=$E$6,$F$6,IF(P257&lt;($F$6-$E$6)/($G$6-$E$6),$E$6+SQRT(P257*($G$6-$E$6)*($F$6-$E$6)),$G$6-SQRT((1-P257)*($G$6-$E$6)*($G$6-$F$6))))</f>
        <v>1.01927670184076</v>
      </c>
      <c r="C257" s="51" t="n">
        <f aca="false">1+IF($G$7=$E$7,$F$7,IF(Q257&lt;($F$7-$E$7)/($G$7-$E$7),$E$7+SQRT(Q257*($G$7-$E$7)*($F$7-$E$7)),$G$7-SQRT((1-Q257)*($G$7-$E$7)*($G$7-$F$7))))</f>
        <v>0.927560701631918</v>
      </c>
      <c r="D257" s="51" t="n">
        <f aca="false">1+IF($G$8=$E$8,$F$8,IF(R257&lt;($F$8-$E$8)/($G$8-$E$8),$E$8+SQRT(R257*($G$8-$E$8)*($F$8-$E$8)),$G$8-SQRT((1-R257)*($G$8-$E$8)*($G$8-$F$8))))</f>
        <v>1.02779156248427</v>
      </c>
      <c r="E257" s="51" t="n">
        <f aca="false">1+IF($G$9=$E$9,$F$9,IF(S257&lt;($F$9-$E$9)/($G$9-$E$9),$E$9+SQRT(S257*($G$9-$E$9)*($F$9-$E$9)),$G$9-SQRT((1-S257)*($G$9-$E$9)*($G$9-$F$9))))</f>
        <v>0.950993107538322</v>
      </c>
      <c r="F257" s="51" t="n">
        <f aca="false">1+IF($G$10=$E$10,$F$10,IF(T257&lt;($F$10-$E$10)/($G$10-$E$10),$E$10+SQRT(T257*($G$10-$E$10)*($F$10-$E$10)),$G$10-SQRT((1-T257)*($G$10-$E$10)*($G$10-$F$10))))</f>
        <v>1.00909444983385</v>
      </c>
      <c r="G257" s="52" t="n">
        <f aca="false">IF($G$11=$E$11,$F$11,IF(U257&lt;($F$11-$E$11)/($G$11-$E$11),$E$11+SQRT(U257*($G$11-$E$11)*($F$11-$E$11)),$G$11-SQRT((1-U257)*($G$11-$E$11)*($G$11-$F$11))))</f>
        <v>0.100383451899938</v>
      </c>
      <c r="H257" s="53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-2018188899.66771</v>
      </c>
      <c r="I257" s="53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1198601.14959459</v>
      </c>
      <c r="J257" s="53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287549529.273746</v>
      </c>
      <c r="K257" s="53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624355179.889591</v>
      </c>
      <c r="L257" s="53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752479930.66379</v>
      </c>
      <c r="M257" s="53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932189358.360939</v>
      </c>
      <c r="N257" s="53" t="n">
        <f aca="false">IF(COUNT('Business Case'!B11:G11)=0,"",H257+NPV(G257,I257:M257))</f>
        <v>-219977582.065526</v>
      </c>
      <c r="P257" s="54" t="n">
        <f aca="true">RAND()</f>
        <v>0.874143860029113</v>
      </c>
      <c r="Q257" s="54" t="n">
        <f aca="true">RAND()</f>
        <v>0.383584243905264</v>
      </c>
      <c r="R257" s="54" t="n">
        <f aca="true">RAND()</f>
        <v>0.652396103435784</v>
      </c>
      <c r="S257" s="54" t="n">
        <f aca="true">RAND()</f>
        <v>0.104011880656595</v>
      </c>
      <c r="T257" s="54" t="n">
        <f aca="true">RAND()</f>
        <v>0.226193545321949</v>
      </c>
      <c r="U257" s="54" t="n">
        <f aca="true">RAND()</f>
        <v>0.415240052424488</v>
      </c>
    </row>
    <row r="258" customFormat="false" ht="15" hidden="false" customHeight="false" outlineLevel="0" collapsed="false">
      <c r="A258" s="50" t="n">
        <v>178</v>
      </c>
      <c r="B258" s="51" t="n">
        <f aca="false">1+IF($G$6=$E$6,$F$6,IF(P258&lt;($F$6-$E$6)/($G$6-$E$6),$E$6+SQRT(P258*($G$6-$E$6)*($F$6-$E$6)),$G$6-SQRT((1-P258)*($G$6-$E$6)*($G$6-$F$6))))</f>
        <v>0.991463473314715</v>
      </c>
      <c r="C258" s="51" t="n">
        <f aca="false">1+IF($G$7=$E$7,$F$7,IF(Q258&lt;($F$7-$E$7)/($G$7-$E$7),$E$7+SQRT(Q258*($G$7-$E$7)*($F$7-$E$7)),$G$7-SQRT((1-Q258)*($G$7-$E$7)*($G$7-$F$7))))</f>
        <v>0.893657488563434</v>
      </c>
      <c r="D258" s="51" t="n">
        <f aca="false">1+IF($G$8=$E$8,$F$8,IF(R258&lt;($F$8-$E$8)/($G$8-$E$8),$E$8+SQRT(R258*($G$8-$E$8)*($F$8-$E$8)),$G$8-SQRT((1-R258)*($G$8-$E$8)*($G$8-$F$8))))</f>
        <v>1.00932137787698</v>
      </c>
      <c r="E258" s="51" t="n">
        <f aca="false">1+IF($G$9=$E$9,$F$9,IF(S258&lt;($F$9-$E$9)/($G$9-$E$9),$E$9+SQRT(S258*($G$9-$E$9)*($F$9-$E$9)),$G$9-SQRT((1-S258)*($G$9-$E$9)*($G$9-$F$9))))</f>
        <v>1.08195362947192</v>
      </c>
      <c r="F258" s="51" t="n">
        <f aca="false">1+IF($G$10=$E$10,$F$10,IF(T258&lt;($F$10-$E$10)/($G$10-$E$10),$E$10+SQRT(T258*($G$10-$E$10)*($F$10-$E$10)),$G$10-SQRT((1-T258)*($G$10-$E$10)*($G$10-$F$10))))</f>
        <v>1.0296074535882</v>
      </c>
      <c r="G258" s="52" t="n">
        <f aca="false">IF($G$11=$E$11,$F$11,IF(U258&lt;($F$11-$E$11)/($G$11-$E$11),$E$11+SQRT(U258*($G$11-$E$11)*($F$11-$E$11)),$G$11-SQRT((1-U258)*($G$11-$E$11)*($G$11-$F$11))))</f>
        <v>0.0874126294795878</v>
      </c>
      <c r="H258" s="53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-2059214907.1764</v>
      </c>
      <c r="I258" s="53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-38770431.8830932</v>
      </c>
      <c r="J258" s="53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225205418.495701</v>
      </c>
      <c r="K258" s="53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540661641.553905</v>
      </c>
      <c r="L258" s="53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659274745.541609</v>
      </c>
      <c r="M258" s="53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827691091.779528</v>
      </c>
      <c r="N258" s="53" t="n">
        <f aca="false">IF(COUNT('Business Case'!B11:G11)=0,"",H258+NPV(G258,I258:M258))</f>
        <v>-468056884.038006</v>
      </c>
      <c r="P258" s="54" t="n">
        <f aca="true">RAND()</f>
        <v>0.557704463386106</v>
      </c>
      <c r="Q258" s="54" t="n">
        <f aca="true">RAND()</f>
        <v>0.277801650938494</v>
      </c>
      <c r="R258" s="54" t="n">
        <f aca="true">RAND()</f>
        <v>0.45182583265799</v>
      </c>
      <c r="S258" s="54" t="n">
        <f aca="true">RAND()</f>
        <v>0.876525105545487</v>
      </c>
      <c r="T258" s="54" t="n">
        <f aca="true">RAND()</f>
        <v>0.352361673148297</v>
      </c>
      <c r="U258" s="54" t="n">
        <f aca="true">RAND()</f>
        <v>0.0549470758016541</v>
      </c>
    </row>
    <row r="259" customFormat="false" ht="15" hidden="false" customHeight="false" outlineLevel="0" collapsed="false">
      <c r="A259" s="50" t="n">
        <v>179</v>
      </c>
      <c r="B259" s="51" t="n">
        <f aca="false">1+IF($G$6=$E$6,$F$6,IF(P259&lt;($F$6-$E$6)/($G$6-$E$6),$E$6+SQRT(P259*($G$6-$E$6)*($F$6-$E$6)),$G$6-SQRT((1-P259)*($G$6-$E$6)*($G$6-$F$6))))</f>
        <v>1.01262469663543</v>
      </c>
      <c r="C259" s="51" t="n">
        <f aca="false">1+IF($G$7=$E$7,$F$7,IF(Q259&lt;($F$7-$E$7)/($G$7-$E$7),$E$7+SQRT(Q259*($G$7-$E$7)*($F$7-$E$7)),$G$7-SQRT((1-Q259)*($G$7-$E$7)*($G$7-$F$7))))</f>
        <v>1.08109987936572</v>
      </c>
      <c r="D259" s="51" t="n">
        <f aca="false">1+IF($G$8=$E$8,$F$8,IF(R259&lt;($F$8-$E$8)/($G$8-$E$8),$E$8+SQRT(R259*($G$8-$E$8)*($F$8-$E$8)),$G$8-SQRT((1-R259)*($G$8-$E$8)*($G$8-$F$8))))</f>
        <v>1.05937385557943</v>
      </c>
      <c r="E259" s="51" t="n">
        <f aca="false">1+IF($G$9=$E$9,$F$9,IF(S259&lt;($F$9-$E$9)/($G$9-$E$9),$E$9+SQRT(S259*($G$9-$E$9)*($F$9-$E$9)),$G$9-SQRT((1-S259)*($G$9-$E$9)*($G$9-$F$9))))</f>
        <v>1.01019685877672</v>
      </c>
      <c r="F259" s="51" t="n">
        <f aca="false">1+IF($G$10=$E$10,$F$10,IF(T259&lt;($F$10-$E$10)/($G$10-$E$10),$E$10+SQRT(T259*($G$10-$E$10)*($F$10-$E$10)),$G$10-SQRT((1-T259)*($G$10-$E$10)*($G$10-$F$10))))</f>
        <v>1.15326562065953</v>
      </c>
      <c r="G259" s="52" t="n">
        <f aca="false">IF($G$11=$E$11,$F$11,IF(U259&lt;($F$11-$E$11)/($G$11-$E$11),$E$11+SQRT(U259*($G$11-$E$11)*($F$11-$E$11)),$G$11-SQRT((1-U259)*($G$11-$E$11)*($G$11-$F$11))))</f>
        <v>0.123676747675193</v>
      </c>
      <c r="H259" s="53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-2306531241.31906</v>
      </c>
      <c r="I259" s="53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-5346840.26857531</v>
      </c>
      <c r="J259" s="53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305034633.840388</v>
      </c>
      <c r="K259" s="53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673079388.982327</v>
      </c>
      <c r="L259" s="53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814374386.347672</v>
      </c>
      <c r="M259" s="53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1022464169.32397</v>
      </c>
      <c r="N259" s="53" t="n">
        <f aca="false">IF(COUNT('Business Case'!B11:G11)=0,"",H259+NPV(G259,I259:M259))</f>
        <v>-513756708.121747</v>
      </c>
      <c r="P259" s="54" t="n">
        <f aca="true">RAND()</f>
        <v>0.813744893120802</v>
      </c>
      <c r="Q259" s="54" t="n">
        <f aca="true">RAND()</f>
        <v>0.929670716690101</v>
      </c>
      <c r="R259" s="54" t="n">
        <f aca="true">RAND()</f>
        <v>0.889967759301281</v>
      </c>
      <c r="S259" s="54" t="n">
        <f aca="true">RAND()</f>
        <v>0.47880217877607</v>
      </c>
      <c r="T259" s="54" t="n">
        <f aca="true">RAND()</f>
        <v>0.87523279804819</v>
      </c>
      <c r="U259" s="54" t="n">
        <f aca="true">RAND()</f>
        <v>0.97334432002455</v>
      </c>
    </row>
    <row r="260" customFormat="false" ht="15" hidden="false" customHeight="false" outlineLevel="0" collapsed="false">
      <c r="A260" s="50" t="n">
        <v>180</v>
      </c>
      <c r="B260" s="51" t="n">
        <f aca="false">1+IF($G$6=$E$6,$F$6,IF(P260&lt;($F$6-$E$6)/($G$6-$E$6),$E$6+SQRT(P260*($G$6-$E$6)*($F$6-$E$6)),$G$6-SQRT((1-P260)*($G$6-$E$6)*($G$6-$F$6))))</f>
        <v>0.981866887075923</v>
      </c>
      <c r="C260" s="51" t="n">
        <f aca="false">1+IF($G$7=$E$7,$F$7,IF(Q260&lt;($F$7-$E$7)/($G$7-$E$7),$E$7+SQRT(Q260*($G$7-$E$7)*($F$7-$E$7)),$G$7-SQRT((1-Q260)*($G$7-$E$7)*($G$7-$F$7))))</f>
        <v>0.919536295796517</v>
      </c>
      <c r="D260" s="51" t="n">
        <f aca="false">1+IF($G$8=$E$8,$F$8,IF(R260&lt;($F$8-$E$8)/($G$8-$E$8),$E$8+SQRT(R260*($G$8-$E$8)*($F$8-$E$8)),$G$8-SQRT((1-R260)*($G$8-$E$8)*($G$8-$F$8))))</f>
        <v>1.01111983652556</v>
      </c>
      <c r="E260" s="51" t="n">
        <f aca="false">1+IF($G$9=$E$9,$F$9,IF(S260&lt;($F$9-$E$9)/($G$9-$E$9),$E$9+SQRT(S260*($G$9-$E$9)*($F$9-$E$9)),$G$9-SQRT((1-S260)*($G$9-$E$9)*($G$9-$F$9))))</f>
        <v>1.03561592260255</v>
      </c>
      <c r="F260" s="51" t="n">
        <f aca="false">1+IF($G$10=$E$10,$F$10,IF(T260&lt;($F$10-$E$10)/($G$10-$E$10),$E$10+SQRT(T260*($G$10-$E$10)*($F$10-$E$10)),$G$10-SQRT((1-T260)*($G$10-$E$10)*($G$10-$F$10))))</f>
        <v>1.16798813485949</v>
      </c>
      <c r="G260" s="52" t="n">
        <f aca="false">IF($G$11=$E$11,$F$11,IF(U260&lt;($F$11-$E$11)/($G$11-$E$11),$E$11+SQRT(U260*($G$11-$E$11)*($F$11-$E$11)),$G$11-SQRT((1-U260)*($G$11-$E$11)*($G$11-$F$11))))</f>
        <v>0.0918754938673438</v>
      </c>
      <c r="H260" s="53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-2335976269.71897</v>
      </c>
      <c r="I260" s="53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-47322045.6252123</v>
      </c>
      <c r="J260" s="53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216223684.967124</v>
      </c>
      <c r="K260" s="53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538168822.302435</v>
      </c>
      <c r="L260" s="53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657220318.191559</v>
      </c>
      <c r="M260" s="53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828836372.829123</v>
      </c>
      <c r="N260" s="53" t="n">
        <f aca="false">IF(COUNT('Business Case'!B11:G11)=0,"",H260+NPV(G260,I260:M260))</f>
        <v>-788045707.552888</v>
      </c>
      <c r="P260" s="54" t="n">
        <f aca="true">RAND()</f>
        <v>0.44681247996679</v>
      </c>
      <c r="Q260" s="54" t="n">
        <f aca="true">RAND()</f>
        <v>0.357008779052264</v>
      </c>
      <c r="R260" s="54" t="n">
        <f aca="true">RAND()</f>
        <v>0.473354436050437</v>
      </c>
      <c r="S260" s="54" t="n">
        <f aca="true">RAND()</f>
        <v>0.651100875678243</v>
      </c>
      <c r="T260" s="54" t="n">
        <f aca="true">RAND()</f>
        <v>0.910320719682322</v>
      </c>
      <c r="U260" s="54" t="n">
        <f aca="true">RAND()</f>
        <v>0.14102735459332</v>
      </c>
    </row>
    <row r="261" customFormat="false" ht="15" hidden="false" customHeight="false" outlineLevel="0" collapsed="false">
      <c r="A261" s="50" t="n">
        <v>181</v>
      </c>
      <c r="B261" s="51" t="n">
        <f aca="false">1+IF($G$6=$E$6,$F$6,IF(P261&lt;($F$6-$E$6)/($G$6-$E$6),$E$6+SQRT(P261*($G$6-$E$6)*($F$6-$E$6)),$G$6-SQRT((1-P261)*($G$6-$E$6)*($G$6-$F$6))))</f>
        <v>0.978425245311823</v>
      </c>
      <c r="C261" s="51" t="n">
        <f aca="false">1+IF($G$7=$E$7,$F$7,IF(Q261&lt;($F$7-$E$7)/($G$7-$E$7),$E$7+SQRT(Q261*($G$7-$E$7)*($F$7-$E$7)),$G$7-SQRT((1-Q261)*($G$7-$E$7)*($G$7-$F$7))))</f>
        <v>0.971643916425841</v>
      </c>
      <c r="D261" s="51" t="n">
        <f aca="false">1+IF($G$8=$E$8,$F$8,IF(R261&lt;($F$8-$E$8)/($G$8-$E$8),$E$8+SQRT(R261*($G$8-$E$8)*($F$8-$E$8)),$G$8-SQRT((1-R261)*($G$8-$E$8)*($G$8-$F$8))))</f>
        <v>0.976443463333732</v>
      </c>
      <c r="E261" s="51" t="n">
        <f aca="false">1+IF($G$9=$E$9,$F$9,IF(S261&lt;($F$9-$E$9)/($G$9-$E$9),$E$9+SQRT(S261*($G$9-$E$9)*($F$9-$E$9)),$G$9-SQRT((1-S261)*($G$9-$E$9)*($G$9-$F$9))))</f>
        <v>1.01808073452418</v>
      </c>
      <c r="F261" s="51" t="n">
        <f aca="false">1+IF($G$10=$E$10,$F$10,IF(T261&lt;($F$10-$E$10)/($G$10-$E$10),$E$10+SQRT(T261*($G$10-$E$10)*($F$10-$E$10)),$G$10-SQRT((1-T261)*($G$10-$E$10)*($G$10-$F$10))))</f>
        <v>1.06692361224469</v>
      </c>
      <c r="G261" s="52" t="n">
        <f aca="false">IF($G$11=$E$11,$F$11,IF(U261&lt;($F$11-$E$11)/($G$11-$E$11),$E$11+SQRT(U261*($G$11-$E$11)*($F$11-$E$11)),$G$11-SQRT((1-U261)*($G$11-$E$11)*($G$11-$F$11))))</f>
        <v>0.0957157463851832</v>
      </c>
      <c r="H261" s="53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-2133847224.48937</v>
      </c>
      <c r="I261" s="53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-7757444.02251039</v>
      </c>
      <c r="J261" s="53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285231853.417625</v>
      </c>
      <c r="K261" s="53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631567331.469996</v>
      </c>
      <c r="L261" s="53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762085963.809266</v>
      </c>
      <c r="M261" s="53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942791396.368341</v>
      </c>
      <c r="N261" s="53" t="n">
        <f aca="false">IF(COUNT('Business Case'!B11:G11)=0,"",H261+NPV(G261,I261:M261))</f>
        <v>-297620175.231065</v>
      </c>
      <c r="P261" s="54" t="n">
        <f aca="true">RAND()</f>
        <v>0.410034606814641</v>
      </c>
      <c r="Q261" s="54" t="n">
        <f aca="true">RAND()</f>
        <v>0.546595683934586</v>
      </c>
      <c r="R261" s="54" t="n">
        <f aca="true">RAND()</f>
        <v>0.0932342337443209</v>
      </c>
      <c r="S261" s="54" t="n">
        <f aca="true">RAND()</f>
        <v>0.535928197235231</v>
      </c>
      <c r="T261" s="54" t="n">
        <f aca="true">RAND()</f>
        <v>0.553107149952885</v>
      </c>
      <c r="U261" s="54" t="n">
        <f aca="true">RAND()</f>
        <v>0.2469846844434</v>
      </c>
    </row>
    <row r="262" customFormat="false" ht="15" hidden="false" customHeight="false" outlineLevel="0" collapsed="false">
      <c r="A262" s="50" t="n">
        <v>182</v>
      </c>
      <c r="B262" s="51" t="n">
        <f aca="false">1+IF($G$6=$E$6,$F$6,IF(P262&lt;($F$6-$E$6)/($G$6-$E$6),$E$6+SQRT(P262*($G$6-$E$6)*($F$6-$E$6)),$G$6-SQRT((1-P262)*($G$6-$E$6)*($G$6-$F$6))))</f>
        <v>0.985059809766053</v>
      </c>
      <c r="C262" s="51" t="n">
        <f aca="false">1+IF($G$7=$E$7,$F$7,IF(Q262&lt;($F$7-$E$7)/($G$7-$E$7),$E$7+SQRT(Q262*($G$7-$E$7)*($F$7-$E$7)),$G$7-SQRT((1-Q262)*($G$7-$E$7)*($G$7-$F$7))))</f>
        <v>0.974218775278023</v>
      </c>
      <c r="D262" s="51" t="n">
        <f aca="false">1+IF($G$8=$E$8,$F$8,IF(R262&lt;($F$8-$E$8)/($G$8-$E$8),$E$8+SQRT(R262*($G$8-$E$8)*($F$8-$E$8)),$G$8-SQRT((1-R262)*($G$8-$E$8)*($G$8-$F$8))))</f>
        <v>0.993891799146353</v>
      </c>
      <c r="E262" s="51" t="n">
        <f aca="false">1+IF($G$9=$E$9,$F$9,IF(S262&lt;($F$9-$E$9)/($G$9-$E$9),$E$9+SQRT(S262*($G$9-$E$9)*($F$9-$E$9)),$G$9-SQRT((1-S262)*($G$9-$E$9)*($G$9-$F$9))))</f>
        <v>1.08853333461179</v>
      </c>
      <c r="F262" s="51" t="n">
        <f aca="false">1+IF($G$10=$E$10,$F$10,IF(T262&lt;($F$10-$E$10)/($G$10-$E$10),$E$10+SQRT(T262*($G$10-$E$10)*($F$10-$E$10)),$G$10-SQRT((1-T262)*($G$10-$E$10)*($G$10-$F$10))))</f>
        <v>1.06651032344246</v>
      </c>
      <c r="G262" s="52" t="n">
        <f aca="false">IF($G$11=$E$11,$F$11,IF(U262&lt;($F$11-$E$11)/($G$11-$E$11),$E$11+SQRT(U262*($G$11-$E$11)*($F$11-$E$11)),$G$11-SQRT((1-U262)*($G$11-$E$11)*($G$11-$F$11))))</f>
        <v>0.102429445937326</v>
      </c>
      <c r="H262" s="53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-2133020646.88493</v>
      </c>
      <c r="I262" s="53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-20831506.3377802</v>
      </c>
      <c r="J262" s="53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269526429.243837</v>
      </c>
      <c r="K262" s="53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613209880.997576</v>
      </c>
      <c r="L262" s="53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743161839.120352</v>
      </c>
      <c r="M262" s="53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925574726.895986</v>
      </c>
      <c r="N262" s="53" t="n">
        <f aca="false">IF(COUNT('Business Case'!B11:G11)=0,"",H262+NPV(G262,I262:M262))</f>
        <v>-400939282.003229</v>
      </c>
      <c r="P262" s="54" t="n">
        <f aca="true">RAND()</f>
        <v>0.482344749162476</v>
      </c>
      <c r="Q262" s="54" t="n">
        <f aca="true">RAND()</f>
        <v>0.557006938629472</v>
      </c>
      <c r="R262" s="54" t="n">
        <f aca="true">RAND()</f>
        <v>0.256865337640502</v>
      </c>
      <c r="S262" s="54" t="n">
        <f aca="true">RAND()</f>
        <v>0.899249307894758</v>
      </c>
      <c r="T262" s="54" t="n">
        <f aca="true">RAND()</f>
        <v>0.551087181290805</v>
      </c>
      <c r="U262" s="54" t="n">
        <f aca="true">RAND()</f>
        <v>0.49324303245144</v>
      </c>
    </row>
    <row r="263" customFormat="false" ht="15" hidden="false" customHeight="false" outlineLevel="0" collapsed="false">
      <c r="A263" s="50" t="n">
        <v>183</v>
      </c>
      <c r="B263" s="51" t="n">
        <f aca="false">1+IF($G$6=$E$6,$F$6,IF(P263&lt;($F$6-$E$6)/($G$6-$E$6),$E$6+SQRT(P263*($G$6-$E$6)*($F$6-$E$6)),$G$6-SQRT((1-P263)*($G$6-$E$6)*($G$6-$F$6))))</f>
        <v>1.00780029233762</v>
      </c>
      <c r="C263" s="51" t="n">
        <f aca="false">1+IF($G$7=$E$7,$F$7,IF(Q263&lt;($F$7-$E$7)/($G$7-$E$7),$E$7+SQRT(Q263*($G$7-$E$7)*($F$7-$E$7)),$G$7-SQRT((1-Q263)*($G$7-$E$7)*($G$7-$F$7))))</f>
        <v>1.01843484280599</v>
      </c>
      <c r="D263" s="51" t="n">
        <f aca="false">1+IF($G$8=$E$8,$F$8,IF(R263&lt;($F$8-$E$8)/($G$8-$E$8),$E$8+SQRT(R263*($G$8-$E$8)*($F$8-$E$8)),$G$8-SQRT((1-R263)*($G$8-$E$8)*($G$8-$F$8))))</f>
        <v>1.0249624425048</v>
      </c>
      <c r="E263" s="51" t="n">
        <f aca="false">1+IF($G$9=$E$9,$F$9,IF(S263&lt;($F$9-$E$9)/($G$9-$E$9),$E$9+SQRT(S263*($G$9-$E$9)*($F$9-$E$9)),$G$9-SQRT((1-S263)*($G$9-$E$9)*($G$9-$F$9))))</f>
        <v>1.07398018986854</v>
      </c>
      <c r="F263" s="51" t="n">
        <f aca="false">1+IF($G$10=$E$10,$F$10,IF(T263&lt;($F$10-$E$10)/($G$10-$E$10),$E$10+SQRT(T263*($G$10-$E$10)*($F$10-$E$10)),$G$10-SQRT((1-T263)*($G$10-$E$10)*($G$10-$F$10))))</f>
        <v>1.05266556838847</v>
      </c>
      <c r="G263" s="52" t="n">
        <f aca="false">IF($G$11=$E$11,$F$11,IF(U263&lt;($F$11-$E$11)/($G$11-$E$11),$E$11+SQRT(U263*($G$11-$E$11)*($F$11-$E$11)),$G$11-SQRT((1-U263)*($G$11-$E$11)*($G$11-$F$11))))</f>
        <v>0.111219224019647</v>
      </c>
      <c r="H263" s="53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-2105331136.77694</v>
      </c>
      <c r="I263" s="53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-4887291.82488152</v>
      </c>
      <c r="J263" s="53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301419440.039169</v>
      </c>
      <c r="K263" s="53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660359450.322643</v>
      </c>
      <c r="L263" s="53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797933350.177847</v>
      </c>
      <c r="M263" s="53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993027457.630704</v>
      </c>
      <c r="N263" s="53" t="n">
        <f aca="false">IF(COUNT('Business Case'!B11:G11)=0,"",H263+NPV(G263,I263:M263))</f>
        <v>-274957534.14347</v>
      </c>
      <c r="P263" s="54" t="n">
        <f aca="true">RAND()</f>
        <v>0.762557956427947</v>
      </c>
      <c r="Q263" s="54" t="n">
        <f aca="true">RAND()</f>
        <v>0.743564583889135</v>
      </c>
      <c r="R263" s="54" t="n">
        <f aca="true">RAND()</f>
        <v>0.624624331010254</v>
      </c>
      <c r="S263" s="54" t="n">
        <f aca="true">RAND()</f>
        <v>0.845893025802045</v>
      </c>
      <c r="T263" s="54" t="n">
        <f aca="true">RAND()</f>
        <v>0.480788294674046</v>
      </c>
      <c r="U263" s="54" t="n">
        <f aca="true">RAND()</f>
        <v>0.764854969050541</v>
      </c>
    </row>
    <row r="264" customFormat="false" ht="15" hidden="false" customHeight="false" outlineLevel="0" collapsed="false">
      <c r="A264" s="50" t="n">
        <v>184</v>
      </c>
      <c r="B264" s="51" t="n">
        <f aca="false">1+IF($G$6=$E$6,$F$6,IF(P264&lt;($F$6-$E$6)/($G$6-$E$6),$E$6+SQRT(P264*($G$6-$E$6)*($F$6-$E$6)),$G$6-SQRT((1-P264)*($G$6-$E$6)*($G$6-$F$6))))</f>
        <v>1.02086836080338</v>
      </c>
      <c r="C264" s="51" t="n">
        <f aca="false">1+IF($G$7=$E$7,$F$7,IF(Q264&lt;($F$7-$E$7)/($G$7-$E$7),$E$7+SQRT(Q264*($G$7-$E$7)*($F$7-$E$7)),$G$7-SQRT((1-Q264)*($G$7-$E$7)*($G$7-$F$7))))</f>
        <v>0.893961363886405</v>
      </c>
      <c r="D264" s="51" t="n">
        <f aca="false">1+IF($G$8=$E$8,$F$8,IF(R264&lt;($F$8-$E$8)/($G$8-$E$8),$E$8+SQRT(R264*($G$8-$E$8)*($F$8-$E$8)),$G$8-SQRT((1-R264)*($G$8-$E$8)*($G$8-$F$8))))</f>
        <v>1.00842702882793</v>
      </c>
      <c r="E264" s="51" t="n">
        <f aca="false">1+IF($G$9=$E$9,$F$9,IF(S264&lt;($F$9-$E$9)/($G$9-$E$9),$E$9+SQRT(S264*($G$9-$E$9)*($F$9-$E$9)),$G$9-SQRT((1-S264)*($G$9-$E$9)*($G$9-$F$9))))</f>
        <v>1.03836039241713</v>
      </c>
      <c r="F264" s="51" t="n">
        <f aca="false">1+IF($G$10=$E$10,$F$10,IF(T264&lt;($F$10-$E$10)/($G$10-$E$10),$E$10+SQRT(T264*($G$10-$E$10)*($F$10-$E$10)),$G$10-SQRT((1-T264)*($G$10-$E$10)*($G$10-$F$10))))</f>
        <v>1.08031345338754</v>
      </c>
      <c r="G264" s="52" t="n">
        <f aca="false">IF($G$11=$E$11,$F$11,IF(U264&lt;($F$11-$E$11)/($G$11-$E$11),$E$11+SQRT(U264*($G$11-$E$11)*($F$11-$E$11)),$G$11-SQRT((1-U264)*($G$11-$E$11)*($G$11-$F$11))))</f>
        <v>0.0893378071702454</v>
      </c>
      <c r="H264" s="53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-2160626906.77508</v>
      </c>
      <c r="I264" s="53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-16990544.1461452</v>
      </c>
      <c r="J264" s="53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269015163.50159</v>
      </c>
      <c r="K264" s="53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609036543.818702</v>
      </c>
      <c r="L264" s="53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735911818.803554</v>
      </c>
      <c r="M264" s="53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909382033.866059</v>
      </c>
      <c r="N264" s="53" t="n">
        <f aca="false">IF(COUNT('Business Case'!B11:G11)=0,"",H264+NPV(G264,I264:M264))</f>
        <v>-362936047.619371</v>
      </c>
      <c r="P264" s="54" t="n">
        <f aca="true">RAND()</f>
        <v>0.886846346362402</v>
      </c>
      <c r="Q264" s="54" t="n">
        <f aca="true">RAND()</f>
        <v>0.27867415319018</v>
      </c>
      <c r="R264" s="54" t="n">
        <f aca="true">RAND()</f>
        <v>0.440959396714575</v>
      </c>
      <c r="S264" s="54" t="n">
        <f aca="true">RAND()</f>
        <v>0.667642613833144</v>
      </c>
      <c r="T264" s="54" t="n">
        <f aca="true">RAND()</f>
        <v>0.616086345316491</v>
      </c>
      <c r="U264" s="54" t="n">
        <f aca="true">RAND()</f>
        <v>0.0871946427486854</v>
      </c>
    </row>
    <row r="265" customFormat="false" ht="15" hidden="false" customHeight="false" outlineLevel="0" collapsed="false">
      <c r="A265" s="50" t="n">
        <v>185</v>
      </c>
      <c r="B265" s="51" t="n">
        <f aca="false">1+IF($G$6=$E$6,$F$6,IF(P265&lt;($F$6-$E$6)/($G$6-$E$6),$E$6+SQRT(P265*($G$6-$E$6)*($F$6-$E$6)),$G$6-SQRT((1-P265)*($G$6-$E$6)*($G$6-$F$6))))</f>
        <v>0.985658876839285</v>
      </c>
      <c r="C265" s="51" t="n">
        <f aca="false">1+IF($G$7=$E$7,$F$7,IF(Q265&lt;($F$7-$E$7)/($G$7-$E$7),$E$7+SQRT(Q265*($G$7-$E$7)*($F$7-$E$7)),$G$7-SQRT((1-Q265)*($G$7-$E$7)*($G$7-$F$7))))</f>
        <v>1.03463557534746</v>
      </c>
      <c r="D265" s="51" t="n">
        <f aca="false">1+IF($G$8=$E$8,$F$8,IF(R265&lt;($F$8-$E$8)/($G$8-$E$8),$E$8+SQRT(R265*($G$8-$E$8)*($F$8-$E$8)),$G$8-SQRT((1-R265)*($G$8-$E$8)*($G$8-$F$8))))</f>
        <v>1.00294829173121</v>
      </c>
      <c r="E265" s="51" t="n">
        <f aca="false">1+IF($G$9=$E$9,$F$9,IF(S265&lt;($F$9-$E$9)/($G$9-$E$9),$E$9+SQRT(S265*($G$9-$E$9)*($F$9-$E$9)),$G$9-SQRT((1-S265)*($G$9-$E$9)*($G$9-$F$9))))</f>
        <v>0.95643713235657</v>
      </c>
      <c r="F265" s="51" t="n">
        <f aca="false">1+IF($G$10=$E$10,$F$10,IF(T265&lt;($F$10-$E$10)/($G$10-$E$10),$E$10+SQRT(T265*($G$10-$E$10)*($F$10-$E$10)),$G$10-SQRT((1-T265)*($G$10-$E$10)*($G$10-$F$10))))</f>
        <v>1.0981558464549</v>
      </c>
      <c r="G265" s="52" t="n">
        <f aca="false">IF($G$11=$E$11,$F$11,IF(U265&lt;($F$11-$E$11)/($G$11-$E$11),$E$11+SQRT(U265*($G$11-$E$11)*($F$11-$E$11)),$G$11-SQRT((1-U265)*($G$11-$E$11)*($G$11-$F$11))))</f>
        <v>0.0913903069963663</v>
      </c>
      <c r="H265" s="53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-2196311692.9098</v>
      </c>
      <c r="I265" s="53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5388305.78017224</v>
      </c>
      <c r="J265" s="53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309463871.223695</v>
      </c>
      <c r="K265" s="53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668447228.989962</v>
      </c>
      <c r="L265" s="53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805049960.668973</v>
      </c>
      <c r="M265" s="53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998893114.923744</v>
      </c>
      <c r="N265" s="53" t="n">
        <f aca="false">IF(COUNT('Business Case'!B11:G11)=0,"",H265+NPV(G265,I265:M265))</f>
        <v>-204869863.188311</v>
      </c>
      <c r="P265" s="54" t="n">
        <f aca="true">RAND()</f>
        <v>0.48916287875785</v>
      </c>
      <c r="Q265" s="54" t="n">
        <f aca="true">RAND()</f>
        <v>0.802830363327247</v>
      </c>
      <c r="R265" s="54" t="n">
        <f aca="true">RAND()</f>
        <v>0.3720643948073</v>
      </c>
      <c r="S265" s="54" t="n">
        <f aca="true">RAND()</f>
        <v>0.127405996345318</v>
      </c>
      <c r="T265" s="54" t="n">
        <f aca="true">RAND()</f>
        <v>0.692578040455634</v>
      </c>
      <c r="U265" s="54" t="n">
        <f aca="true">RAND()</f>
        <v>0.129739093471472</v>
      </c>
    </row>
    <row r="266" customFormat="false" ht="15" hidden="false" customHeight="false" outlineLevel="0" collapsed="false">
      <c r="A266" s="50" t="n">
        <v>186</v>
      </c>
      <c r="B266" s="51" t="n">
        <f aca="false">1+IF($G$6=$E$6,$F$6,IF(P266&lt;($F$6-$E$6)/($G$6-$E$6),$E$6+SQRT(P266*($G$6-$E$6)*($F$6-$E$6)),$G$6-SQRT((1-P266)*($G$6-$E$6)*($G$6-$F$6))))</f>
        <v>0.963401284293077</v>
      </c>
      <c r="C266" s="51" t="n">
        <f aca="false">1+IF($G$7=$E$7,$F$7,IF(Q266&lt;($F$7-$E$7)/($G$7-$E$7),$E$7+SQRT(Q266*($G$7-$E$7)*($F$7-$E$7)),$G$7-SQRT((1-Q266)*($G$7-$E$7)*($G$7-$F$7))))</f>
        <v>0.830470424898475</v>
      </c>
      <c r="D266" s="51" t="n">
        <f aca="false">1+IF($G$8=$E$8,$F$8,IF(R266&lt;($F$8-$E$8)/($G$8-$E$8),$E$8+SQRT(R266*($G$8-$E$8)*($F$8-$E$8)),$G$8-SQRT((1-R266)*($G$8-$E$8)*($G$8-$F$8))))</f>
        <v>0.971713875305132</v>
      </c>
      <c r="E266" s="51" t="n">
        <f aca="false">1+IF($G$9=$E$9,$F$9,IF(S266&lt;($F$9-$E$9)/($G$9-$E$9),$E$9+SQRT(S266*($G$9-$E$9)*($F$9-$E$9)),$G$9-SQRT((1-S266)*($G$9-$E$9)*($G$9-$F$9))))</f>
        <v>0.984252128949707</v>
      </c>
      <c r="F266" s="51" t="n">
        <f aca="false">1+IF($G$10=$E$10,$F$10,IF(T266&lt;($F$10-$E$10)/($G$10-$E$10),$E$10+SQRT(T266*($G$10-$E$10)*($F$10-$E$10)),$G$10-SQRT((1-T266)*($G$10-$E$10)*($G$10-$F$10))))</f>
        <v>1.05235817441796</v>
      </c>
      <c r="G266" s="52" t="n">
        <f aca="false">IF($G$11=$E$11,$F$11,IF(U266&lt;($F$11-$E$11)/($G$11-$E$11),$E$11+SQRT(U266*($G$11-$E$11)*($F$11-$E$11)),$G$11-SQRT((1-U266)*($G$11-$E$11)*($G$11-$F$11))))</f>
        <v>0.103520597648568</v>
      </c>
      <c r="H266" s="53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-2104716348.83592</v>
      </c>
      <c r="I266" s="53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-44461365.0906507</v>
      </c>
      <c r="J266" s="53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197749694.036876</v>
      </c>
      <c r="K266" s="53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492578661.885302</v>
      </c>
      <c r="L266" s="53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600966317.620966</v>
      </c>
      <c r="M266" s="53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753044815.766655</v>
      </c>
      <c r="N266" s="53" t="n">
        <f aca="false">IF(COUNT('Business Case'!B11:G11)=0,"",H266+NPV(G266,I266:M266))</f>
        <v>-750642273.596254</v>
      </c>
      <c r="P266" s="54" t="n">
        <f aca="true">RAND()</f>
        <v>0.267981523334102</v>
      </c>
      <c r="Q266" s="54" t="n">
        <f aca="true">RAND()</f>
        <v>0.126092827949546</v>
      </c>
      <c r="R266" s="54" t="n">
        <f aca="true">RAND()</f>
        <v>0.0628656507689104</v>
      </c>
      <c r="S266" s="54" t="n">
        <f aca="true">RAND()</f>
        <v>0.283936849302319</v>
      </c>
      <c r="T266" s="54" t="n">
        <f aca="true">RAND()</f>
        <v>0.479169450407982</v>
      </c>
      <c r="U266" s="54" t="n">
        <f aca="true">RAND()</f>
        <v>0.532560834073996</v>
      </c>
    </row>
    <row r="267" customFormat="false" ht="15" hidden="false" customHeight="false" outlineLevel="0" collapsed="false">
      <c r="A267" s="50" t="n">
        <v>187</v>
      </c>
      <c r="B267" s="51" t="n">
        <f aca="false">1+IF($G$6=$E$6,$F$6,IF(P267&lt;($F$6-$E$6)/($G$6-$E$6),$E$6+SQRT(P267*($G$6-$E$6)*($F$6-$E$6)),$G$6-SQRT((1-P267)*($G$6-$E$6)*($G$6-$F$6))))</f>
        <v>0.997029953989366</v>
      </c>
      <c r="C267" s="51" t="n">
        <f aca="false">1+IF($G$7=$E$7,$F$7,IF(Q267&lt;($F$7-$E$7)/($G$7-$E$7),$E$7+SQRT(Q267*($G$7-$E$7)*($F$7-$E$7)),$G$7-SQRT((1-Q267)*($G$7-$E$7)*($G$7-$F$7))))</f>
        <v>0.856872413152836</v>
      </c>
      <c r="D267" s="51" t="n">
        <f aca="false">1+IF($G$8=$E$8,$F$8,IF(R267&lt;($F$8-$E$8)/($G$8-$E$8),$E$8+SQRT(R267*($G$8-$E$8)*($F$8-$E$8)),$G$8-SQRT((1-R267)*($G$8-$E$8)*($G$8-$F$8))))</f>
        <v>1.05276839068275</v>
      </c>
      <c r="E267" s="51" t="n">
        <f aca="false">1+IF($G$9=$E$9,$F$9,IF(S267&lt;($F$9-$E$9)/($G$9-$E$9),$E$9+SQRT(S267*($G$9-$E$9)*($F$9-$E$9)),$G$9-SQRT((1-S267)*($G$9-$E$9)*($G$9-$F$9))))</f>
        <v>1.02794779741099</v>
      </c>
      <c r="F267" s="51" t="n">
        <f aca="false">1+IF($G$10=$E$10,$F$10,IF(T267&lt;($F$10-$E$10)/($G$10-$E$10),$E$10+SQRT(T267*($G$10-$E$10)*($F$10-$E$10)),$G$10-SQRT((1-T267)*($G$10-$E$10)*($G$10-$F$10))))</f>
        <v>1.13454312087754</v>
      </c>
      <c r="G267" s="52" t="n">
        <f aca="false">IF($G$11=$E$11,$F$11,IF(U267&lt;($F$11-$E$11)/($G$11-$E$11),$E$11+SQRT(U267*($G$11-$E$11)*($F$11-$E$11)),$G$11-SQRT((1-U267)*($G$11-$E$11)*($G$11-$F$11))))</f>
        <v>0.108277824253855</v>
      </c>
      <c r="H267" s="53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-2269086241.75508</v>
      </c>
      <c r="I267" s="53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-65958107.9969814</v>
      </c>
      <c r="J267" s="53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172000608.549956</v>
      </c>
      <c r="K267" s="53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466686481.14077</v>
      </c>
      <c r="L267" s="53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575531610.43263</v>
      </c>
      <c r="M267" s="53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737922174.535143</v>
      </c>
      <c r="N267" s="53" t="n">
        <f aca="false">IF(COUNT('Business Case'!B11:G11)=0,"",H267+NPV(G267,I267:M267))</f>
        <v>-1022919736.15148</v>
      </c>
      <c r="P267" s="54" t="n">
        <f aca="true">RAND()</f>
        <v>0.627654131411903</v>
      </c>
      <c r="Q267" s="54" t="n">
        <f aca="true">RAND()</f>
        <v>0.182288548210325</v>
      </c>
      <c r="R267" s="54" t="n">
        <f aca="true">RAND()</f>
        <v>0.851278338753499</v>
      </c>
      <c r="S267" s="54" t="n">
        <f aca="true">RAND()</f>
        <v>0.602753595817886</v>
      </c>
      <c r="T267" s="54" t="n">
        <f aca="true">RAND()</f>
        <v>0.822262787510694</v>
      </c>
      <c r="U267" s="54" t="n">
        <f aca="true">RAND()</f>
        <v>0.685431387235716</v>
      </c>
    </row>
    <row r="268" customFormat="false" ht="15" hidden="false" customHeight="false" outlineLevel="0" collapsed="false">
      <c r="A268" s="50" t="n">
        <v>188</v>
      </c>
      <c r="B268" s="51" t="n">
        <f aca="false">1+IF($G$6=$E$6,$F$6,IF(P268&lt;($F$6-$E$6)/($G$6-$E$6),$E$6+SQRT(P268*($G$6-$E$6)*($F$6-$E$6)),$G$6-SQRT((1-P268)*($G$6-$E$6)*($G$6-$F$6))))</f>
        <v>0.963689508035805</v>
      </c>
      <c r="C268" s="51" t="n">
        <f aca="false">1+IF($G$7=$E$7,$F$7,IF(Q268&lt;($F$7-$E$7)/($G$7-$E$7),$E$7+SQRT(Q268*($G$7-$E$7)*($F$7-$E$7)),$G$7-SQRT((1-Q268)*($G$7-$E$7)*($G$7-$F$7))))</f>
        <v>0.864487802153415</v>
      </c>
      <c r="D268" s="51" t="n">
        <f aca="false">1+IF($G$8=$E$8,$F$8,IF(R268&lt;($F$8-$E$8)/($G$8-$E$8),$E$8+SQRT(R268*($G$8-$E$8)*($F$8-$E$8)),$G$8-SQRT((1-R268)*($G$8-$E$8)*($G$8-$F$8))))</f>
        <v>0.991704023804115</v>
      </c>
      <c r="E268" s="51" t="n">
        <f aca="false">1+IF($G$9=$E$9,$F$9,IF(S268&lt;($F$9-$E$9)/($G$9-$E$9),$E$9+SQRT(S268*($G$9-$E$9)*($F$9-$E$9)),$G$9-SQRT((1-S268)*($G$9-$E$9)*($G$9-$F$9))))</f>
        <v>0.913703131570508</v>
      </c>
      <c r="F268" s="51" t="n">
        <f aca="false">1+IF($G$10=$E$10,$F$10,IF(T268&lt;($F$10-$E$10)/($G$10-$E$10),$E$10+SQRT(T268*($G$10-$E$10)*($F$10-$E$10)),$G$10-SQRT((1-T268)*($G$10-$E$10)*($G$10-$F$10))))</f>
        <v>0.98483961050418</v>
      </c>
      <c r="G268" s="52" t="n">
        <f aca="false">IF($G$11=$E$11,$F$11,IF(U268&lt;($F$11-$E$11)/($G$11-$E$11),$E$11+SQRT(U268*($G$11-$E$11)*($F$11-$E$11)),$G$11-SQRT((1-U268)*($G$11-$E$11)*($G$11-$F$11))))</f>
        <v>0.103267158605778</v>
      </c>
      <c r="H268" s="53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-1969679221.00836</v>
      </c>
      <c r="I268" s="53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-28110459.1364489</v>
      </c>
      <c r="J268" s="53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215379419.322414</v>
      </c>
      <c r="K268" s="53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508111278.306486</v>
      </c>
      <c r="L268" s="53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618066431.949819</v>
      </c>
      <c r="M268" s="53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776421666.480234</v>
      </c>
      <c r="N268" s="53" t="n">
        <f aca="false">IF(COUNT('Business Case'!B11:G11)=0,"",H268+NPV(G268,I268:M268))</f>
        <v>-547671612.941285</v>
      </c>
      <c r="P268" s="54" t="n">
        <f aca="true">RAND()</f>
        <v>0.270423562256191</v>
      </c>
      <c r="Q268" s="54" t="n">
        <f aca="true">RAND()</f>
        <v>0.200416570794525</v>
      </c>
      <c r="R268" s="54" t="n">
        <f aca="true">RAND()</f>
        <v>0.231896746860559</v>
      </c>
      <c r="S268" s="54" t="n">
        <f aca="true">RAND()</f>
        <v>0.00751103259354631</v>
      </c>
      <c r="T268" s="54" t="n">
        <f aca="true">RAND()</f>
        <v>0.0809198973388627</v>
      </c>
      <c r="U268" s="54" t="n">
        <f aca="true">RAND()</f>
        <v>0.523570127327589</v>
      </c>
    </row>
    <row r="269" customFormat="false" ht="15" hidden="false" customHeight="false" outlineLevel="0" collapsed="false">
      <c r="A269" s="50" t="n">
        <v>189</v>
      </c>
      <c r="B269" s="51" t="n">
        <f aca="false">1+IF($G$6=$E$6,$F$6,IF(P269&lt;($F$6-$E$6)/($G$6-$E$6),$E$6+SQRT(P269*($G$6-$E$6)*($F$6-$E$6)),$G$6-SQRT((1-P269)*($G$6-$E$6)*($G$6-$F$6))))</f>
        <v>0.933316948445232</v>
      </c>
      <c r="C269" s="51" t="n">
        <f aca="false">1+IF($G$7=$E$7,$F$7,IF(Q269&lt;($F$7-$E$7)/($G$7-$E$7),$E$7+SQRT(Q269*($G$7-$E$7)*($F$7-$E$7)),$G$7-SQRT((1-Q269)*($G$7-$E$7)*($G$7-$F$7))))</f>
        <v>1.05458085361139</v>
      </c>
      <c r="D269" s="51" t="n">
        <f aca="false">1+IF($G$8=$E$8,$F$8,IF(R269&lt;($F$8-$E$8)/($G$8-$E$8),$E$8+SQRT(R269*($G$8-$E$8)*($F$8-$E$8)),$G$8-SQRT((1-R269)*($G$8-$E$8)*($G$8-$F$8))))</f>
        <v>1.01368829468785</v>
      </c>
      <c r="E269" s="51" t="n">
        <f aca="false">1+IF($G$9=$E$9,$F$9,IF(S269&lt;($F$9-$E$9)/($G$9-$E$9),$E$9+SQRT(S269*($G$9-$E$9)*($F$9-$E$9)),$G$9-SQRT((1-S269)*($G$9-$E$9)*($G$9-$F$9))))</f>
        <v>0.966105770784489</v>
      </c>
      <c r="F269" s="51" t="n">
        <f aca="false">1+IF($G$10=$E$10,$F$10,IF(T269&lt;($F$10-$E$10)/($G$10-$E$10),$E$10+SQRT(T269*($G$10-$E$10)*($F$10-$E$10)),$G$10-SQRT((1-T269)*($G$10-$E$10)*($G$10-$F$10))))</f>
        <v>1.06257499596136</v>
      </c>
      <c r="G269" s="52" t="n">
        <f aca="false">IF($G$11=$E$11,$F$11,IF(U269&lt;($F$11-$E$11)/($G$11-$E$11),$E$11+SQRT(U269*($G$11-$E$11)*($F$11-$E$11)),$G$11-SQRT((1-U269)*($G$11-$E$11)*($G$11-$F$11))))</f>
        <v>0.105011149646702</v>
      </c>
      <c r="H269" s="53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-2125149991.92273</v>
      </c>
      <c r="I269" s="53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-35734172.4936827</v>
      </c>
      <c r="J269" s="53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223193339.482286</v>
      </c>
      <c r="K269" s="53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535249601.256324</v>
      </c>
      <c r="L269" s="53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655574734.760288</v>
      </c>
      <c r="M269" s="53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842662530.409479</v>
      </c>
      <c r="N269" s="53" t="n">
        <f aca="false">IF(COUNT('Business Case'!B11:G11)=0,"",H269+NPV(G269,I269:M269))</f>
        <v>-626836164.262821</v>
      </c>
      <c r="P269" s="54" t="n">
        <f aca="true">RAND()</f>
        <v>0.0740012702468147</v>
      </c>
      <c r="Q269" s="54" t="n">
        <f aca="true">RAND()</f>
        <v>0.865113874110648</v>
      </c>
      <c r="R269" s="54" t="n">
        <f aca="true">RAND()</f>
        <v>0.503352635073884</v>
      </c>
      <c r="S269" s="54" t="n">
        <f aca="true">RAND()</f>
        <v>0.174798917240455</v>
      </c>
      <c r="T269" s="54" t="n">
        <f aca="true">RAND()</f>
        <v>0.531624904814893</v>
      </c>
      <c r="U269" s="54" t="n">
        <f aca="true">RAND()</f>
        <v>0.583704905346997</v>
      </c>
    </row>
    <row r="270" customFormat="false" ht="15" hidden="false" customHeight="false" outlineLevel="0" collapsed="false">
      <c r="A270" s="50" t="n">
        <v>190</v>
      </c>
      <c r="B270" s="51" t="n">
        <f aca="false">1+IF($G$6=$E$6,$F$6,IF(P270&lt;($F$6-$E$6)/($G$6-$E$6),$E$6+SQRT(P270*($G$6-$E$6)*($F$6-$E$6)),$G$6-SQRT((1-P270)*($G$6-$E$6)*($G$6-$F$6))))</f>
        <v>0.949944524400319</v>
      </c>
      <c r="C270" s="51" t="n">
        <f aca="false">1+IF($G$7=$E$7,$F$7,IF(Q270&lt;($F$7-$E$7)/($G$7-$E$7),$E$7+SQRT(Q270*($G$7-$E$7)*($F$7-$E$7)),$G$7-SQRT((1-Q270)*($G$7-$E$7)*($G$7-$F$7))))</f>
        <v>0.722116237205213</v>
      </c>
      <c r="D270" s="51" t="n">
        <f aca="false">1+IF($G$8=$E$8,$F$8,IF(R270&lt;($F$8-$E$8)/($G$8-$E$8),$E$8+SQRT(R270*($G$8-$E$8)*($F$8-$E$8)),$G$8-SQRT((1-R270)*($G$8-$E$8)*($G$8-$F$8))))</f>
        <v>1.00234753552378</v>
      </c>
      <c r="E270" s="51" t="n">
        <f aca="false">1+IF($G$9=$E$9,$F$9,IF(S270&lt;($F$9-$E$9)/($G$9-$E$9),$E$9+SQRT(S270*($G$9-$E$9)*($F$9-$E$9)),$G$9-SQRT((1-S270)*($G$9-$E$9)*($G$9-$F$9))))</f>
        <v>1.05853557170538</v>
      </c>
      <c r="F270" s="51" t="n">
        <f aca="false">1+IF($G$10=$E$10,$F$10,IF(T270&lt;($F$10-$E$10)/($G$10-$E$10),$E$10+SQRT(T270*($G$10-$E$10)*($F$10-$E$10)),$G$10-SQRT((1-T270)*($G$10-$E$10)*($G$10-$F$10))))</f>
        <v>1.07364593968833</v>
      </c>
      <c r="G270" s="52" t="n">
        <f aca="false">IF($G$11=$E$11,$F$11,IF(U270&lt;($F$11-$E$11)/($G$11-$E$11),$E$11+SQRT(U270*($G$11-$E$11)*($F$11-$E$11)),$G$11-SQRT((1-U270)*($G$11-$E$11)*($G$11-$F$11))))</f>
        <v>0.099148416920052</v>
      </c>
      <c r="H270" s="53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-2147291879.37666</v>
      </c>
      <c r="I270" s="53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-102123484.407975</v>
      </c>
      <c r="J270" s="53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89202087.1976154</v>
      </c>
      <c r="K270" s="53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334209955.787623</v>
      </c>
      <c r="L270" s="53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421692282.154972</v>
      </c>
      <c r="M270" s="53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552081529.231807</v>
      </c>
      <c r="N270" s="53" t="n">
        <f aca="false">IF(COUNT('Business Case'!B11:G11)=0,"",H270+NPV(G270,I270:M270))</f>
        <v>-1281643029.59713</v>
      </c>
      <c r="P270" s="54" t="n">
        <f aca="true">RAND()</f>
        <v>0.16629703450494</v>
      </c>
      <c r="Q270" s="54" t="n">
        <f aca="true">RAND()</f>
        <v>0.00362316998605371</v>
      </c>
      <c r="R270" s="54" t="n">
        <f aca="true">RAND()</f>
        <v>0.364266412114684</v>
      </c>
      <c r="S270" s="54" t="n">
        <f aca="true">RAND()</f>
        <v>0.776913556179711</v>
      </c>
      <c r="T270" s="54" t="n">
        <f aca="true">RAND()</f>
        <v>0.585323272154495</v>
      </c>
      <c r="U270" s="54" t="n">
        <f aca="true">RAND()</f>
        <v>0.366661870544133</v>
      </c>
    </row>
    <row r="271" customFormat="false" ht="15" hidden="false" customHeight="false" outlineLevel="0" collapsed="false">
      <c r="A271" s="50" t="n">
        <v>191</v>
      </c>
      <c r="B271" s="51" t="n">
        <f aca="false">1+IF($G$6=$E$6,$F$6,IF(P271&lt;($F$6-$E$6)/($G$6-$E$6),$E$6+SQRT(P271*($G$6-$E$6)*($F$6-$E$6)),$G$6-SQRT((1-P271)*($G$6-$E$6)*($G$6-$F$6))))</f>
        <v>1.00336979132612</v>
      </c>
      <c r="C271" s="51" t="n">
        <f aca="false">1+IF($G$7=$E$7,$F$7,IF(Q271&lt;($F$7-$E$7)/($G$7-$E$7),$E$7+SQRT(Q271*($G$7-$E$7)*($F$7-$E$7)),$G$7-SQRT((1-Q271)*($G$7-$E$7)*($G$7-$F$7))))</f>
        <v>0.788480930005077</v>
      </c>
      <c r="D271" s="51" t="n">
        <f aca="false">1+IF($G$8=$E$8,$F$8,IF(R271&lt;($F$8-$E$8)/($G$8-$E$8),$E$8+SQRT(R271*($G$8-$E$8)*($F$8-$E$8)),$G$8-SQRT((1-R271)*($G$8-$E$8)*($G$8-$F$8))))</f>
        <v>0.976456376268458</v>
      </c>
      <c r="E271" s="51" t="n">
        <f aca="false">1+IF($G$9=$E$9,$F$9,IF(S271&lt;($F$9-$E$9)/($G$9-$E$9),$E$9+SQRT(S271*($G$9-$E$9)*($F$9-$E$9)),$G$9-SQRT((1-S271)*($G$9-$E$9)*($G$9-$F$9))))</f>
        <v>1.0787531112743</v>
      </c>
      <c r="F271" s="51" t="n">
        <f aca="false">1+IF($G$10=$E$10,$F$10,IF(T271&lt;($F$10-$E$10)/($G$10-$E$10),$E$10+SQRT(T271*($G$10-$E$10)*($F$10-$E$10)),$G$10-SQRT((1-T271)*($G$10-$E$10)*($G$10-$F$10))))</f>
        <v>1.06436190751147</v>
      </c>
      <c r="G271" s="52" t="n">
        <f aca="false">IF($G$11=$E$11,$F$11,IF(U271&lt;($F$11-$E$11)/($G$11-$E$11),$E$11+SQRT(U271*($G$11-$E$11)*($F$11-$E$11)),$G$11-SQRT((1-U271)*($G$11-$E$11)*($G$11-$F$11))))</f>
        <v>0.104695821024588</v>
      </c>
      <c r="H271" s="53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-2128723815.02295</v>
      </c>
      <c r="I271" s="53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-46984563.668779</v>
      </c>
      <c r="J271" s="53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206878346.968001</v>
      </c>
      <c r="K271" s="53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513959352.980355</v>
      </c>
      <c r="L271" s="53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625922050.613419</v>
      </c>
      <c r="M271" s="53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776301551.42784</v>
      </c>
      <c r="N271" s="53" t="n">
        <f aca="false">IF(COUNT('Business Case'!B11:G11)=0,"",H271+NPV(G271,I271:M271))</f>
        <v>-728335794.783206</v>
      </c>
      <c r="P271" s="54" t="n">
        <f aca="true">RAND()</f>
        <v>0.710083151870664</v>
      </c>
      <c r="Q271" s="54" t="n">
        <f aca="true">RAND()</f>
        <v>0.0579916664782462</v>
      </c>
      <c r="R271" s="54" t="n">
        <f aca="true">RAND()</f>
        <v>0.0933253127010947</v>
      </c>
      <c r="S271" s="54" t="n">
        <f aca="true">RAND()</f>
        <v>0.864636822584219</v>
      </c>
      <c r="T271" s="54" t="n">
        <f aca="true">RAND()</f>
        <v>0.540513314896281</v>
      </c>
      <c r="U271" s="54" t="n">
        <f aca="true">RAND()</f>
        <v>0.57313235092022</v>
      </c>
    </row>
    <row r="272" customFormat="false" ht="15" hidden="false" customHeight="false" outlineLevel="0" collapsed="false">
      <c r="A272" s="50" t="n">
        <v>192</v>
      </c>
      <c r="B272" s="51" t="n">
        <f aca="false">1+IF($G$6=$E$6,$F$6,IF(P272&lt;($F$6-$E$6)/($G$6-$E$6),$E$6+SQRT(P272*($G$6-$E$6)*($F$6-$E$6)),$G$6-SQRT((1-P272)*($G$6-$E$6)*($G$6-$F$6))))</f>
        <v>1.01318678400929</v>
      </c>
      <c r="C272" s="51" t="n">
        <f aca="false">1+IF($G$7=$E$7,$F$7,IF(Q272&lt;($F$7-$E$7)/($G$7-$E$7),$E$7+SQRT(Q272*($G$7-$E$7)*($F$7-$E$7)),$G$7-SQRT((1-Q272)*($G$7-$E$7)*($G$7-$F$7))))</f>
        <v>0.898553056455532</v>
      </c>
      <c r="D272" s="51" t="n">
        <f aca="false">1+IF($G$8=$E$8,$F$8,IF(R272&lt;($F$8-$E$8)/($G$8-$E$8),$E$8+SQRT(R272*($G$8-$E$8)*($F$8-$E$8)),$G$8-SQRT((1-R272)*($G$8-$E$8)*($G$8-$F$8))))</f>
        <v>1.01162925926994</v>
      </c>
      <c r="E272" s="51" t="n">
        <f aca="false">1+IF($G$9=$E$9,$F$9,IF(S272&lt;($F$9-$E$9)/($G$9-$E$9),$E$9+SQRT(S272*($G$9-$E$9)*($F$9-$E$9)),$G$9-SQRT((1-S272)*($G$9-$E$9)*($G$9-$F$9))))</f>
        <v>0.97307394720556</v>
      </c>
      <c r="F272" s="51" t="n">
        <f aca="false">1+IF($G$10=$E$10,$F$10,IF(T272&lt;($F$10-$E$10)/($G$10-$E$10),$E$10+SQRT(T272*($G$10-$E$10)*($F$10-$E$10)),$G$10-SQRT((1-T272)*($G$10-$E$10)*($G$10-$F$10))))</f>
        <v>1.09906945903169</v>
      </c>
      <c r="G272" s="52" t="n">
        <f aca="false">IF($G$11=$E$11,$F$11,IF(U272&lt;($F$11-$E$11)/($G$11-$E$11),$E$11+SQRT(U272*($G$11-$E$11)*($F$11-$E$11)),$G$11-SQRT((1-U272)*($G$11-$E$11)*($G$11-$F$11))))</f>
        <v>0.104146603069822</v>
      </c>
      <c r="H272" s="53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-2198138918.06337</v>
      </c>
      <c r="I272" s="53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-15125043.3863107</v>
      </c>
      <c r="J272" s="53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265223218.329791</v>
      </c>
      <c r="K272" s="53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600524952.997478</v>
      </c>
      <c r="L272" s="53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725437869.507254</v>
      </c>
      <c r="M272" s="53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898487097.164837</v>
      </c>
      <c r="N272" s="53" t="n">
        <f aca="false">IF(COUNT('Business Case'!B11:G11)=0,"",H272+NPV(G272,I272:M272))</f>
        <v>-512593730.217093</v>
      </c>
      <c r="P272" s="54" t="n">
        <f aca="true">RAND()</f>
        <v>0.819304950456158</v>
      </c>
      <c r="Q272" s="54" t="n">
        <f aca="true">RAND()</f>
        <v>0.292024564650621</v>
      </c>
      <c r="R272" s="54" t="n">
        <f aca="true">RAND()</f>
        <v>0.479374145521309</v>
      </c>
      <c r="S272" s="54" t="n">
        <f aca="true">RAND()</f>
        <v>0.213592070408039</v>
      </c>
      <c r="T272" s="54" t="n">
        <f aca="true">RAND()</f>
        <v>0.696266290706831</v>
      </c>
      <c r="U272" s="54" t="n">
        <f aca="true">RAND()</f>
        <v>0.554401244780426</v>
      </c>
    </row>
    <row r="273" customFormat="false" ht="15" hidden="false" customHeight="false" outlineLevel="0" collapsed="false">
      <c r="A273" s="50" t="n">
        <v>193</v>
      </c>
      <c r="B273" s="51" t="n">
        <f aca="false">1+IF($G$6=$E$6,$F$6,IF(P273&lt;($F$6-$E$6)/($G$6-$E$6),$E$6+SQRT(P273*($G$6-$E$6)*($F$6-$E$6)),$G$6-SQRT((1-P273)*($G$6-$E$6)*($G$6-$F$6))))</f>
        <v>1.00981168975629</v>
      </c>
      <c r="C273" s="51" t="n">
        <f aca="false">1+IF($G$7=$E$7,$F$7,IF(Q273&lt;($F$7-$E$7)/($G$7-$E$7),$E$7+SQRT(Q273*($G$7-$E$7)*($F$7-$E$7)),$G$7-SQRT((1-Q273)*($G$7-$E$7)*($G$7-$F$7))))</f>
        <v>1.09687667091842</v>
      </c>
      <c r="D273" s="51" t="n">
        <f aca="false">1+IF($G$8=$E$8,$F$8,IF(R273&lt;($F$8-$E$8)/($G$8-$E$8),$E$8+SQRT(R273*($G$8-$E$8)*($F$8-$E$8)),$G$8-SQRT((1-R273)*($G$8-$E$8)*($G$8-$F$8))))</f>
        <v>1.04459041954553</v>
      </c>
      <c r="E273" s="51" t="n">
        <f aca="false">1+IF($G$9=$E$9,$F$9,IF(S273&lt;($F$9-$E$9)/($G$9-$E$9),$E$9+SQRT(S273*($G$9-$E$9)*($F$9-$E$9)),$G$9-SQRT((1-S273)*($G$9-$E$9)*($G$9-$F$9))))</f>
        <v>1.05116431245601</v>
      </c>
      <c r="F273" s="51" t="n">
        <f aca="false">1+IF($G$10=$E$10,$F$10,IF(T273&lt;($F$10-$E$10)/($G$10-$E$10),$E$10+SQRT(T273*($G$10-$E$10)*($F$10-$E$10)),$G$10-SQRT((1-T273)*($G$10-$E$10)*($G$10-$F$10))))</f>
        <v>1.02317369935244</v>
      </c>
      <c r="G273" s="52" t="n">
        <f aca="false">IF($G$11=$E$11,$F$11,IF(U273&lt;($F$11-$E$11)/($G$11-$E$11),$E$11+SQRT(U273*($G$11-$E$11)*($F$11-$E$11)),$G$11-SQRT((1-U273)*($G$11-$E$11)*($G$11-$F$11))))</f>
        <v>0.102242505524573</v>
      </c>
      <c r="H273" s="53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-2046347398.70488</v>
      </c>
      <c r="I273" s="53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11471851.1516427</v>
      </c>
      <c r="J273" s="53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332156637.242999</v>
      </c>
      <c r="K273" s="53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704000108.301979</v>
      </c>
      <c r="L273" s="53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849175036.847915</v>
      </c>
      <c r="M273" s="53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1059715036.01641</v>
      </c>
      <c r="N273" s="53" t="n">
        <f aca="false">IF(COUNT('Business Case'!B11:G11)=0,"",H273+NPV(G273,I273:M273))</f>
        <v>-10216193.4568181</v>
      </c>
      <c r="P273" s="54" t="n">
        <f aca="true">RAND()</f>
        <v>0.784653295967407</v>
      </c>
      <c r="Q273" s="54" t="n">
        <f aca="true">RAND()</f>
        <v>0.958191287515415</v>
      </c>
      <c r="R273" s="54" t="n">
        <f aca="true">RAND()</f>
        <v>0.795318559590646</v>
      </c>
      <c r="S273" s="54" t="n">
        <f aca="true">RAND()</f>
        <v>0.739506849805494</v>
      </c>
      <c r="T273" s="54" t="n">
        <f aca="true">RAND()</f>
        <v>0.313997724460578</v>
      </c>
      <c r="U273" s="54" t="n">
        <f aca="true">RAND()</f>
        <v>0.486347666964435</v>
      </c>
    </row>
    <row r="274" customFormat="false" ht="15" hidden="false" customHeight="false" outlineLevel="0" collapsed="false">
      <c r="A274" s="50" t="n">
        <v>194</v>
      </c>
      <c r="B274" s="51" t="n">
        <f aca="false">1+IF($G$6=$E$6,$F$6,IF(P274&lt;($F$6-$E$6)/($G$6-$E$6),$E$6+SQRT(P274*($G$6-$E$6)*($F$6-$E$6)),$G$6-SQRT((1-P274)*($G$6-$E$6)*($G$6-$F$6))))</f>
        <v>0.921634593085084</v>
      </c>
      <c r="C274" s="51" t="n">
        <f aca="false">1+IF($G$7=$E$7,$F$7,IF(Q274&lt;($F$7-$E$7)/($G$7-$E$7),$E$7+SQRT(Q274*($G$7-$E$7)*($F$7-$E$7)),$G$7-SQRT((1-Q274)*($G$7-$E$7)*($G$7-$F$7))))</f>
        <v>1.04607298399781</v>
      </c>
      <c r="D274" s="51" t="n">
        <f aca="false">1+IF($G$8=$E$8,$F$8,IF(R274&lt;($F$8-$E$8)/($G$8-$E$8),$E$8+SQRT(R274*($G$8-$E$8)*($F$8-$E$8)),$G$8-SQRT((1-R274)*($G$8-$E$8)*($G$8-$F$8))))</f>
        <v>1.02895929124185</v>
      </c>
      <c r="E274" s="51" t="n">
        <f aca="false">1+IF($G$9=$E$9,$F$9,IF(S274&lt;($F$9-$E$9)/($G$9-$E$9),$E$9+SQRT(S274*($G$9-$E$9)*($F$9-$E$9)),$G$9-SQRT((1-S274)*($G$9-$E$9)*($G$9-$F$9))))</f>
        <v>0.971665495377107</v>
      </c>
      <c r="F274" s="51" t="n">
        <f aca="false">1+IF($G$10=$E$10,$F$10,IF(T274&lt;($F$10-$E$10)/($G$10-$E$10),$E$10+SQRT(T274*($G$10-$E$10)*($F$10-$E$10)),$G$10-SQRT((1-T274)*($G$10-$E$10)*($G$10-$F$10))))</f>
        <v>1.1669504862347</v>
      </c>
      <c r="G274" s="52" t="n">
        <f aca="false">IF($G$11=$E$11,$F$11,IF(U274&lt;($F$11-$E$11)/($G$11-$E$11),$E$11+SQRT(U274*($G$11-$E$11)*($F$11-$E$11)),$G$11-SQRT((1-U274)*($G$11-$E$11)*($G$11-$F$11))))</f>
        <v>0.10981825109681</v>
      </c>
      <c r="H274" s="53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-2333900972.46941</v>
      </c>
      <c r="I274" s="53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-66193321.9845408</v>
      </c>
      <c r="J274" s="53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172458029.114277</v>
      </c>
      <c r="K274" s="53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469456904.52483</v>
      </c>
      <c r="L274" s="53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582326548.902611</v>
      </c>
      <c r="M274" s="53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765582115.96591</v>
      </c>
      <c r="N274" s="53" t="n">
        <f aca="false">IF(COUNT('Business Case'!B11:G11)=0,"",H274+NPV(G274,I274:M274))</f>
        <v>-1071540454.86452</v>
      </c>
      <c r="P274" s="54" t="n">
        <f aca="true">RAND()</f>
        <v>0.0312037078638103</v>
      </c>
      <c r="Q274" s="54" t="n">
        <f aca="true">RAND()</f>
        <v>0.839987782887125</v>
      </c>
      <c r="R274" s="54" t="n">
        <f aca="true">RAND()</f>
        <v>0.663547846609342</v>
      </c>
      <c r="S274" s="54" t="n">
        <f aca="true">RAND()</f>
        <v>0.205437729105847</v>
      </c>
      <c r="T274" s="54" t="n">
        <f aca="true">RAND()</f>
        <v>0.908037043511307</v>
      </c>
      <c r="U274" s="54" t="n">
        <f aca="true">RAND()</f>
        <v>0.72846467413906</v>
      </c>
    </row>
    <row r="275" customFormat="false" ht="15" hidden="false" customHeight="false" outlineLevel="0" collapsed="false">
      <c r="A275" s="50" t="n">
        <v>195</v>
      </c>
      <c r="B275" s="51" t="n">
        <f aca="false">1+IF($G$6=$E$6,$F$6,IF(P275&lt;($F$6-$E$6)/($G$6-$E$6),$E$6+SQRT(P275*($G$6-$E$6)*($F$6-$E$6)),$G$6-SQRT((1-P275)*($G$6-$E$6)*($G$6-$F$6))))</f>
        <v>0.936516240489025</v>
      </c>
      <c r="C275" s="51" t="n">
        <f aca="false">1+IF($G$7=$E$7,$F$7,IF(Q275&lt;($F$7-$E$7)/($G$7-$E$7),$E$7+SQRT(Q275*($G$7-$E$7)*($F$7-$E$7)),$G$7-SQRT((1-Q275)*($G$7-$E$7)*($G$7-$F$7))))</f>
        <v>0.816396829898072</v>
      </c>
      <c r="D275" s="51" t="n">
        <f aca="false">1+IF($G$8=$E$8,$F$8,IF(R275&lt;($F$8-$E$8)/($G$8-$E$8),$E$8+SQRT(R275*($G$8-$E$8)*($F$8-$E$8)),$G$8-SQRT((1-R275)*($G$8-$E$8)*($G$8-$F$8))))</f>
        <v>1.02234590101215</v>
      </c>
      <c r="E275" s="51" t="n">
        <f aca="false">1+IF($G$9=$E$9,$F$9,IF(S275&lt;($F$9-$E$9)/($G$9-$E$9),$E$9+SQRT(S275*($G$9-$E$9)*($F$9-$E$9)),$G$9-SQRT((1-S275)*($G$9-$E$9)*($G$9-$F$9))))</f>
        <v>1.02847457268312</v>
      </c>
      <c r="F275" s="51" t="n">
        <f aca="false">1+IF($G$10=$E$10,$F$10,IF(T275&lt;($F$10-$E$10)/($G$10-$E$10),$E$10+SQRT(T275*($G$10-$E$10)*($F$10-$E$10)),$G$10-SQRT((1-T275)*($G$10-$E$10)*($G$10-$F$10))))</f>
        <v>1.11490469143936</v>
      </c>
      <c r="G275" s="52" t="n">
        <f aca="false">IF($G$11=$E$11,$F$11,IF(U275&lt;($F$11-$E$11)/($G$11-$E$11),$E$11+SQRT(U275*($G$11-$E$11)*($F$11-$E$11)),$G$11-SQRT((1-U275)*($G$11-$E$11)*($G$11-$F$11))))</f>
        <v>0.106789985531976</v>
      </c>
      <c r="H275" s="53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-2229809382.87872</v>
      </c>
      <c r="I275" s="53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-98406719.4148709</v>
      </c>
      <c r="J275" s="53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100561365.801284</v>
      </c>
      <c r="K275" s="53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355274685.589408</v>
      </c>
      <c r="L275" s="53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448020881.495826</v>
      </c>
      <c r="M275" s="53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593350136.084844</v>
      </c>
      <c r="N275" s="53" t="n">
        <f aca="false">IF(COUNT('Business Case'!B11:G11)=0,"",H275+NPV(G275,I275:M275))</f>
        <v>-1318764217.73519</v>
      </c>
      <c r="P275" s="54" t="n">
        <f aca="true">RAND()</f>
        <v>0.0888957212968197</v>
      </c>
      <c r="Q275" s="54" t="n">
        <f aca="true">RAND()</f>
        <v>0.10035720007645</v>
      </c>
      <c r="R275" s="54" t="n">
        <f aca="true">RAND()</f>
        <v>0.597989394025683</v>
      </c>
      <c r="S275" s="54" t="n">
        <f aca="true">RAND()</f>
        <v>0.606175213745327</v>
      </c>
      <c r="T275" s="54" t="n">
        <f aca="true">RAND()</f>
        <v>0.756656768065406</v>
      </c>
      <c r="U275" s="54" t="n">
        <f aca="true">RAND()</f>
        <v>0.640863485596086</v>
      </c>
    </row>
    <row r="276" customFormat="false" ht="15" hidden="false" customHeight="false" outlineLevel="0" collapsed="false">
      <c r="A276" s="50" t="n">
        <v>196</v>
      </c>
      <c r="B276" s="51" t="n">
        <f aca="false">1+IF($G$6=$E$6,$F$6,IF(P276&lt;($F$6-$E$6)/($G$6-$E$6),$E$6+SQRT(P276*($G$6-$E$6)*($F$6-$E$6)),$G$6-SQRT((1-P276)*($G$6-$E$6)*($G$6-$F$6))))</f>
        <v>0.991081767849193</v>
      </c>
      <c r="C276" s="51" t="n">
        <f aca="false">1+IF($G$7=$E$7,$F$7,IF(Q276&lt;($F$7-$E$7)/($G$7-$E$7),$E$7+SQRT(Q276*($G$7-$E$7)*($F$7-$E$7)),$G$7-SQRT((1-Q276)*($G$7-$E$7)*($G$7-$F$7))))</f>
        <v>0.952781584398212</v>
      </c>
      <c r="D276" s="51" t="n">
        <f aca="false">1+IF($G$8=$E$8,$F$8,IF(R276&lt;($F$8-$E$8)/($G$8-$E$8),$E$8+SQRT(R276*($G$8-$E$8)*($F$8-$E$8)),$G$8-SQRT((1-R276)*($G$8-$E$8)*($G$8-$F$8))))</f>
        <v>0.979040976472224</v>
      </c>
      <c r="E276" s="51" t="n">
        <f aca="false">1+IF($G$9=$E$9,$F$9,IF(S276&lt;($F$9-$E$9)/($G$9-$E$9),$E$9+SQRT(S276*($G$9-$E$9)*($F$9-$E$9)),$G$9-SQRT((1-S276)*($G$9-$E$9)*($G$9-$F$9))))</f>
        <v>0.979914798360217</v>
      </c>
      <c r="F276" s="51" t="n">
        <f aca="false">1+IF($G$10=$E$10,$F$10,IF(T276&lt;($F$10-$E$10)/($G$10-$E$10),$E$10+SQRT(T276*($G$10-$E$10)*($F$10-$E$10)),$G$10-SQRT((1-T276)*($G$10-$E$10)*($G$10-$F$10))))</f>
        <v>1.06519924526107</v>
      </c>
      <c r="G276" s="52" t="n">
        <f aca="false">IF($G$11=$E$11,$F$11,IF(U276&lt;($F$11-$E$11)/($G$11-$E$11),$E$11+SQRT(U276*($G$11-$E$11)*($F$11-$E$11)),$G$11-SQRT((1-U276)*($G$11-$E$11)*($G$11-$F$11))))</f>
        <v>0.120826238225136</v>
      </c>
      <c r="H276" s="53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-2130398490.52214</v>
      </c>
      <c r="I276" s="53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1096215.73740999</v>
      </c>
      <c r="J276" s="53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297007946.58068</v>
      </c>
      <c r="K276" s="53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646179639.687003</v>
      </c>
      <c r="L276" s="53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777451354.136712</v>
      </c>
      <c r="M276" s="53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956940943.730787</v>
      </c>
      <c r="N276" s="53" t="n">
        <f aca="false">IF(COUNT('Business Case'!B11:G11)=0,"",H276+NPV(G276,I276:M276))</f>
        <v>-400450333.75238</v>
      </c>
      <c r="P276" s="54" t="n">
        <f aca="true">RAND()</f>
        <v>0.553059228968956</v>
      </c>
      <c r="Q276" s="54" t="n">
        <f aca="true">RAND()</f>
        <v>0.47332244008052</v>
      </c>
      <c r="R276" s="54" t="n">
        <f aca="true">RAND()</f>
        <v>0.112450441928037</v>
      </c>
      <c r="S276" s="54" t="n">
        <f aca="true">RAND()</f>
        <v>0.255454999878168</v>
      </c>
      <c r="T276" s="54" t="n">
        <f aca="true">RAND()</f>
        <v>0.544649080638965</v>
      </c>
      <c r="U276" s="54" t="n">
        <f aca="true">RAND()</f>
        <v>0.943894729932034</v>
      </c>
    </row>
    <row r="277" customFormat="false" ht="15" hidden="false" customHeight="false" outlineLevel="0" collapsed="false">
      <c r="A277" s="50" t="n">
        <v>197</v>
      </c>
      <c r="B277" s="51" t="n">
        <f aca="false">1+IF($G$6=$E$6,$F$6,IF(P277&lt;($F$6-$E$6)/($G$6-$E$6),$E$6+SQRT(P277*($G$6-$E$6)*($F$6-$E$6)),$G$6-SQRT((1-P277)*($G$6-$E$6)*($G$6-$F$6))))</f>
        <v>1.00079228183645</v>
      </c>
      <c r="C277" s="51" t="n">
        <f aca="false">1+IF($G$7=$E$7,$F$7,IF(Q277&lt;($F$7-$E$7)/($G$7-$E$7),$E$7+SQRT(Q277*($G$7-$E$7)*($F$7-$E$7)),$G$7-SQRT((1-Q277)*($G$7-$E$7)*($G$7-$F$7))))</f>
        <v>0.829304404482843</v>
      </c>
      <c r="D277" s="51" t="n">
        <f aca="false">1+IF($G$8=$E$8,$F$8,IF(R277&lt;($F$8-$E$8)/($G$8-$E$8),$E$8+SQRT(R277*($G$8-$E$8)*($F$8-$E$8)),$G$8-SQRT((1-R277)*($G$8-$E$8)*($G$8-$F$8))))</f>
        <v>1.02882560943699</v>
      </c>
      <c r="E277" s="51" t="n">
        <f aca="false">1+IF($G$9=$E$9,$F$9,IF(S277&lt;($F$9-$E$9)/($G$9-$E$9),$E$9+SQRT(S277*($G$9-$E$9)*($F$9-$E$9)),$G$9-SQRT((1-S277)*($G$9-$E$9)*($G$9-$F$9))))</f>
        <v>1.02683029665263</v>
      </c>
      <c r="F277" s="51" t="n">
        <f aca="false">1+IF($G$10=$E$10,$F$10,IF(T277&lt;($F$10-$E$10)/($G$10-$E$10),$E$10+SQRT(T277*($G$10-$E$10)*($F$10-$E$10)),$G$10-SQRT((1-T277)*($G$10-$E$10)*($G$10-$F$10))))</f>
        <v>1.05700297466664</v>
      </c>
      <c r="G277" s="52" t="n">
        <f aca="false">IF($G$11=$E$11,$F$11,IF(U277&lt;($F$11-$E$11)/($G$11-$E$11),$E$11+SQRT(U277*($G$11-$E$11)*($F$11-$E$11)),$G$11-SQRT((1-U277)*($G$11-$E$11)*($G$11-$F$11))))</f>
        <v>0.10066247004732</v>
      </c>
      <c r="H277" s="53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-2114005949.33328</v>
      </c>
      <c r="I277" s="53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-51717647.735136</v>
      </c>
      <c r="J277" s="53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191305471.608396</v>
      </c>
      <c r="K277" s="53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487178739.68526</v>
      </c>
      <c r="L277" s="53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596869913.751771</v>
      </c>
      <c r="M277" s="53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754628985.654441</v>
      </c>
      <c r="N277" s="53" t="n">
        <f aca="false">IF(COUNT('Business Case'!B11:G11)=0,"",H277+NPV(G277,I277:M277))</f>
        <v>-763869771.802355</v>
      </c>
      <c r="P277" s="54" t="n">
        <f aca="true">RAND()</f>
        <v>0.677146729751525</v>
      </c>
      <c r="Q277" s="54" t="n">
        <f aca="true">RAND()</f>
        <v>0.123849103841946</v>
      </c>
      <c r="R277" s="54" t="n">
        <f aca="true">RAND()</f>
        <v>0.662280408532285</v>
      </c>
      <c r="S277" s="54" t="n">
        <f aca="true">RAND()</f>
        <v>0.59544597806186</v>
      </c>
      <c r="T277" s="54" t="n">
        <f aca="true">RAND()</f>
        <v>0.503361976166317</v>
      </c>
      <c r="U277" s="54" t="n">
        <f aca="true">RAND()</f>
        <v>0.426206224183739</v>
      </c>
    </row>
    <row r="278" customFormat="false" ht="15" hidden="false" customHeight="false" outlineLevel="0" collapsed="false">
      <c r="A278" s="50" t="n">
        <v>198</v>
      </c>
      <c r="B278" s="51" t="n">
        <f aca="false">1+IF($G$6=$E$6,$F$6,IF(P278&lt;($F$6-$E$6)/($G$6-$E$6),$E$6+SQRT(P278*($G$6-$E$6)*($F$6-$E$6)),$G$6-SQRT((1-P278)*($G$6-$E$6)*($G$6-$F$6))))</f>
        <v>0.985962232264663</v>
      </c>
      <c r="C278" s="51" t="n">
        <f aca="false">1+IF($G$7=$E$7,$F$7,IF(Q278&lt;($F$7-$E$7)/($G$7-$E$7),$E$7+SQRT(Q278*($G$7-$E$7)*($F$7-$E$7)),$G$7-SQRT((1-Q278)*($G$7-$E$7)*($G$7-$F$7))))</f>
        <v>1.08567167475901</v>
      </c>
      <c r="D278" s="51" t="n">
        <f aca="false">1+IF($G$8=$E$8,$F$8,IF(R278&lt;($F$8-$E$8)/($G$8-$E$8),$E$8+SQRT(R278*($G$8-$E$8)*($F$8-$E$8)),$G$8-SQRT((1-R278)*($G$8-$E$8)*($G$8-$F$8))))</f>
        <v>1.04510946545266</v>
      </c>
      <c r="E278" s="51" t="n">
        <f aca="false">1+IF($G$9=$E$9,$F$9,IF(S278&lt;($F$9-$E$9)/($G$9-$E$9),$E$9+SQRT(S278*($G$9-$E$9)*($F$9-$E$9)),$G$9-SQRT((1-S278)*($G$9-$E$9)*($G$9-$F$9))))</f>
        <v>1.09367747651792</v>
      </c>
      <c r="F278" s="51" t="n">
        <f aca="false">1+IF($G$10=$E$10,$F$10,IF(T278&lt;($F$10-$E$10)/($G$10-$E$10),$E$10+SQRT(T278*($G$10-$E$10)*($F$10-$E$10)),$G$10-SQRT((1-T278)*($G$10-$E$10)*($G$10-$F$10))))</f>
        <v>1.02554486303023</v>
      </c>
      <c r="G278" s="52" t="n">
        <f aca="false">IF($G$11=$E$11,$F$11,IF(U278&lt;($F$11-$E$11)/($G$11-$E$11),$E$11+SQRT(U278*($G$11-$E$11)*($F$11-$E$11)),$G$11-SQRT((1-U278)*($G$11-$E$11)*($G$11-$F$11))))</f>
        <v>0.0816951093282179</v>
      </c>
      <c r="H278" s="53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-2051089726.06046</v>
      </c>
      <c r="I278" s="53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-17654149.9873126</v>
      </c>
      <c r="J278" s="53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278258280.419872</v>
      </c>
      <c r="K278" s="53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625447953.978568</v>
      </c>
      <c r="L278" s="53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761079535.401381</v>
      </c>
      <c r="M278" s="53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964547110.81368</v>
      </c>
      <c r="N278" s="53" t="n">
        <f aca="false">IF(COUNT('Business Case'!B11:G11)=0,"",H278+NPV(G278,I278:M278))</f>
        <v>-128180949.793786</v>
      </c>
      <c r="P278" s="54" t="n">
        <f aca="true">RAND()</f>
        <v>0.49263369172826</v>
      </c>
      <c r="Q278" s="54" t="n">
        <f aca="true">RAND()</f>
        <v>0.938694319580586</v>
      </c>
      <c r="R278" s="54" t="n">
        <f aca="true">RAND()</f>
        <v>0.799135281140476</v>
      </c>
      <c r="S278" s="54" t="n">
        <f aca="true">RAND()</f>
        <v>0.915407289296267</v>
      </c>
      <c r="T278" s="54" t="n">
        <f aca="true">RAND()</f>
        <v>0.328265219838409</v>
      </c>
      <c r="U278" s="54" t="n">
        <f aca="true">RAND()</f>
        <v>0.00287339563461149</v>
      </c>
    </row>
    <row r="279" customFormat="false" ht="15" hidden="false" customHeight="false" outlineLevel="0" collapsed="false">
      <c r="A279" s="50" t="n">
        <v>199</v>
      </c>
      <c r="B279" s="51" t="n">
        <f aca="false">1+IF($G$6=$E$6,$F$6,IF(P279&lt;($F$6-$E$6)/($G$6-$E$6),$E$6+SQRT(P279*($G$6-$E$6)*($F$6-$E$6)),$G$6-SQRT((1-P279)*($G$6-$E$6)*($G$6-$F$6))))</f>
        <v>0.962670137525487</v>
      </c>
      <c r="C279" s="51" t="n">
        <f aca="false">1+IF($G$7=$E$7,$F$7,IF(Q279&lt;($F$7-$E$7)/($G$7-$E$7),$E$7+SQRT(Q279*($G$7-$E$7)*($F$7-$E$7)),$G$7-SQRT((1-Q279)*($G$7-$E$7)*($G$7-$F$7))))</f>
        <v>0.842828231097282</v>
      </c>
      <c r="D279" s="51" t="n">
        <f aca="false">1+IF($G$8=$E$8,$F$8,IF(R279&lt;($F$8-$E$8)/($G$8-$E$8),$E$8+SQRT(R279*($G$8-$E$8)*($F$8-$E$8)),$G$8-SQRT((1-R279)*($G$8-$E$8)*($G$8-$F$8))))</f>
        <v>1.04129326902021</v>
      </c>
      <c r="E279" s="51" t="n">
        <f aca="false">1+IF($G$9=$E$9,$F$9,IF(S279&lt;($F$9-$E$9)/($G$9-$E$9),$E$9+SQRT(S279*($G$9-$E$9)*($F$9-$E$9)),$G$9-SQRT((1-S279)*($G$9-$E$9)*($G$9-$F$9))))</f>
        <v>0.971110888977219</v>
      </c>
      <c r="F279" s="51" t="n">
        <f aca="false">1+IF($G$10=$E$10,$F$10,IF(T279&lt;($F$10-$E$10)/($G$10-$E$10),$E$10+SQRT(T279*($G$10-$E$10)*($F$10-$E$10)),$G$10-SQRT((1-T279)*($G$10-$E$10)*($G$10-$F$10))))</f>
        <v>1.01474203710083</v>
      </c>
      <c r="G279" s="52" t="n">
        <f aca="false">IF($G$11=$E$11,$F$11,IF(U279&lt;($F$11-$E$11)/($G$11-$E$11),$E$11+SQRT(U279*($G$11-$E$11)*($F$11-$E$11)),$G$11-SQRT((1-U279)*($G$11-$E$11)*($G$11-$F$11))))</f>
        <v>0.0854948009267983</v>
      </c>
      <c r="H279" s="53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-2029484074.20166</v>
      </c>
      <c r="I279" s="53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-66337591.6291891</v>
      </c>
      <c r="J279" s="53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148952179.968524</v>
      </c>
      <c r="K279" s="53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414979053.421277</v>
      </c>
      <c r="L279" s="53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514783104.690021</v>
      </c>
      <c r="M279" s="53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669007472.072301</v>
      </c>
      <c r="N279" s="53" t="n">
        <f aca="false">IF(COUNT('Business Case'!B11:G11)=0,"",H279+NPV(G279,I279:M279))</f>
        <v>-825052894.637313</v>
      </c>
      <c r="P279" s="54" t="n">
        <f aca="true">RAND()</f>
        <v>0.261836409164227</v>
      </c>
      <c r="Q279" s="54" t="n">
        <f aca="true">RAND()</f>
        <v>0.151110397025027</v>
      </c>
      <c r="R279" s="54" t="n">
        <f aca="true">RAND()</f>
        <v>0.770234649177748</v>
      </c>
      <c r="S279" s="54" t="n">
        <f aca="true">RAND()</f>
        <v>0.202270341245214</v>
      </c>
      <c r="T279" s="54" t="n">
        <f aca="true">RAND()</f>
        <v>0.262049211900447</v>
      </c>
      <c r="U279" s="54" t="n">
        <f aca="true">RAND()</f>
        <v>0.0301928372251432</v>
      </c>
    </row>
    <row r="280" customFormat="false" ht="15" hidden="false" customHeight="false" outlineLevel="0" collapsed="false">
      <c r="A280" s="50" t="n">
        <v>200</v>
      </c>
      <c r="B280" s="51" t="n">
        <f aca="false">1+IF($G$6=$E$6,$F$6,IF(P280&lt;($F$6-$E$6)/($G$6-$E$6),$E$6+SQRT(P280*($G$6-$E$6)*($F$6-$E$6)),$G$6-SQRT((1-P280)*($G$6-$E$6)*($G$6-$F$6))))</f>
        <v>0.983535847970877</v>
      </c>
      <c r="C280" s="51" t="n">
        <f aca="false">1+IF($G$7=$E$7,$F$7,IF(Q280&lt;($F$7-$E$7)/($G$7-$E$7),$E$7+SQRT(Q280*($G$7-$E$7)*($F$7-$E$7)),$G$7-SQRT((1-Q280)*($G$7-$E$7)*($G$7-$F$7))))</f>
        <v>0.965420223408773</v>
      </c>
      <c r="D280" s="51" t="n">
        <f aca="false">1+IF($G$8=$E$8,$F$8,IF(R280&lt;($F$8-$E$8)/($G$8-$E$8),$E$8+SQRT(R280*($G$8-$E$8)*($F$8-$E$8)),$G$8-SQRT((1-R280)*($G$8-$E$8)*($G$8-$F$8))))</f>
        <v>0.994717256161693</v>
      </c>
      <c r="E280" s="51" t="n">
        <f aca="false">1+IF($G$9=$E$9,$F$9,IF(S280&lt;($F$9-$E$9)/($G$9-$E$9),$E$9+SQRT(S280*($G$9-$E$9)*($F$9-$E$9)),$G$9-SQRT((1-S280)*($G$9-$E$9)*($G$9-$F$9))))</f>
        <v>0.981334253320199</v>
      </c>
      <c r="F280" s="51" t="n">
        <f aca="false">1+IF($G$10=$E$10,$F$10,IF(T280&lt;($F$10-$E$10)/($G$10-$E$10),$E$10+SQRT(T280*($G$10-$E$10)*($F$10-$E$10)),$G$10-SQRT((1-T280)*($G$10-$E$10)*($G$10-$F$10))))</f>
        <v>1.02025765772002</v>
      </c>
      <c r="G280" s="52" t="n">
        <f aca="false">IF($G$11=$E$11,$F$11,IF(U280&lt;($F$11-$E$11)/($G$11-$E$11),$E$11+SQRT(U280*($G$11-$E$11)*($F$11-$E$11)),$G$11-SQRT((1-U280)*($G$11-$E$11)*($G$11-$F$11))))</f>
        <v>0.103361461439877</v>
      </c>
      <c r="H280" s="53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-2040515315.44003</v>
      </c>
      <c r="I280" s="53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-4672320.46721199</v>
      </c>
      <c r="J280" s="53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281450252.296104</v>
      </c>
      <c r="K280" s="53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618585707.94542</v>
      </c>
      <c r="L280" s="53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746775496.624121</v>
      </c>
      <c r="M280" s="53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927261284.290897</v>
      </c>
      <c r="N280" s="53" t="n">
        <f aca="false">IF(COUNT('Business Case'!B11:G11)=0,"",H280+NPV(G280,I280:M280))</f>
        <v>-282134165.979308</v>
      </c>
      <c r="P280" s="54" t="n">
        <f aca="true">RAND()</f>
        <v>0.465215859747561</v>
      </c>
      <c r="Q280" s="54" t="n">
        <f aca="true">RAND()</f>
        <v>0.521836259217505</v>
      </c>
      <c r="R280" s="54" t="n">
        <f aca="true">RAND()</f>
        <v>0.266617733150723</v>
      </c>
      <c r="S280" s="54" t="n">
        <f aca="true">RAND()</f>
        <v>0.26461043052617</v>
      </c>
      <c r="T280" s="54" t="n">
        <f aca="true">RAND()</f>
        <v>0.296246082182763</v>
      </c>
      <c r="U280" s="54" t="n">
        <f aca="true">RAND()</f>
        <v>0.526925508920571</v>
      </c>
    </row>
    <row r="281" customFormat="false" ht="15" hidden="false" customHeight="false" outlineLevel="0" collapsed="false">
      <c r="A281" s="50" t="n">
        <v>201</v>
      </c>
      <c r="B281" s="51" t="n">
        <f aca="false">1+IF($G$6=$E$6,$F$6,IF(P281&lt;($F$6-$E$6)/($G$6-$E$6),$E$6+SQRT(P281*($G$6-$E$6)*($F$6-$E$6)),$G$6-SQRT((1-P281)*($G$6-$E$6)*($G$6-$F$6))))</f>
        <v>1.00305081695074</v>
      </c>
      <c r="C281" s="51" t="n">
        <f aca="false">1+IF($G$7=$E$7,$F$7,IF(Q281&lt;($F$7-$E$7)/($G$7-$E$7),$E$7+SQRT(Q281*($G$7-$E$7)*($F$7-$E$7)),$G$7-SQRT((1-Q281)*($G$7-$E$7)*($G$7-$F$7))))</f>
        <v>1.10505403953763</v>
      </c>
      <c r="D281" s="51" t="n">
        <f aca="false">1+IF($G$8=$E$8,$F$8,IF(R281&lt;($F$8-$E$8)/($G$8-$E$8),$E$8+SQRT(R281*($G$8-$E$8)*($F$8-$E$8)),$G$8-SQRT((1-R281)*($G$8-$E$8)*($G$8-$F$8))))</f>
        <v>0.964729079373504</v>
      </c>
      <c r="E281" s="51" t="n">
        <f aca="false">1+IF($G$9=$E$9,$F$9,IF(S281&lt;($F$9-$E$9)/($G$9-$E$9),$E$9+SQRT(S281*($G$9-$E$9)*($F$9-$E$9)),$G$9-SQRT((1-S281)*($G$9-$E$9)*($G$9-$F$9))))</f>
        <v>1.07561213537996</v>
      </c>
      <c r="F281" s="51" t="n">
        <f aca="false">1+IF($G$10=$E$10,$F$10,IF(T281&lt;($F$10-$E$10)/($G$10-$E$10),$E$10+SQRT(T281*($G$10-$E$10)*($F$10-$E$10)),$G$10-SQRT((1-T281)*($G$10-$E$10)*($G$10-$F$10))))</f>
        <v>1.02719228258189</v>
      </c>
      <c r="G281" s="52" t="n">
        <f aca="false">IF($G$11=$E$11,$F$11,IF(U281&lt;($F$11-$E$11)/($G$11-$E$11),$E$11+SQRT(U281*($G$11-$E$11)*($F$11-$E$11)),$G$11-SQRT((1-U281)*($G$11-$E$11)*($G$11-$F$11))))</f>
        <v>0.0954676761497194</v>
      </c>
      <c r="H281" s="53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-2054384565.16379</v>
      </c>
      <c r="I281" s="53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49001599.6106828</v>
      </c>
      <c r="J281" s="53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411135243.644357</v>
      </c>
      <c r="K281" s="53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824628501.807125</v>
      </c>
      <c r="L281" s="53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983646896.827531</v>
      </c>
      <c r="M281" s="53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1194336388.71136</v>
      </c>
      <c r="N281" s="53" t="n">
        <f aca="false">IF(COUNT('Business Case'!B11:G11)=0,"",H281+NPV(G281,I281:M281))</f>
        <v>400311922.089472</v>
      </c>
      <c r="P281" s="54" t="n">
        <f aca="true">RAND()</f>
        <v>0.70610322813425</v>
      </c>
      <c r="Q281" s="54" t="n">
        <f aca="true">RAND()</f>
        <v>0.970072009453552</v>
      </c>
      <c r="R281" s="54" t="n">
        <f aca="true">RAND()</f>
        <v>0.0289261038921308</v>
      </c>
      <c r="S281" s="54" t="n">
        <f aca="true">RAND()</f>
        <v>0.852438549260563</v>
      </c>
      <c r="T281" s="54" t="n">
        <f aca="true">RAND()</f>
        <v>0.338089614119104</v>
      </c>
      <c r="U281" s="54" t="n">
        <f aca="true">RAND()</f>
        <v>0.239249005472597</v>
      </c>
    </row>
    <row r="282" customFormat="false" ht="15" hidden="false" customHeight="false" outlineLevel="0" collapsed="false">
      <c r="A282" s="50" t="n">
        <v>202</v>
      </c>
      <c r="B282" s="51" t="n">
        <f aca="false">1+IF($G$6=$E$6,$F$6,IF(P282&lt;($F$6-$E$6)/($G$6-$E$6),$E$6+SQRT(P282*($G$6-$E$6)*($F$6-$E$6)),$G$6-SQRT((1-P282)*($G$6-$E$6)*($G$6-$F$6))))</f>
        <v>0.946356820361674</v>
      </c>
      <c r="C282" s="51" t="n">
        <f aca="false">1+IF($G$7=$E$7,$F$7,IF(Q282&lt;($F$7-$E$7)/($G$7-$E$7),$E$7+SQRT(Q282*($G$7-$E$7)*($F$7-$E$7)),$G$7-SQRT((1-Q282)*($G$7-$E$7)*($G$7-$F$7))))</f>
        <v>0.988166077454516</v>
      </c>
      <c r="D282" s="51" t="n">
        <f aca="false">1+IF($G$8=$E$8,$F$8,IF(R282&lt;($F$8-$E$8)/($G$8-$E$8),$E$8+SQRT(R282*($G$8-$E$8)*($F$8-$E$8)),$G$8-SQRT((1-R282)*($G$8-$E$8)*($G$8-$F$8))))</f>
        <v>1.03501173222126</v>
      </c>
      <c r="E282" s="51" t="n">
        <f aca="false">1+IF($G$9=$E$9,$F$9,IF(S282&lt;($F$9-$E$9)/($G$9-$E$9),$E$9+SQRT(S282*($G$9-$E$9)*($F$9-$E$9)),$G$9-SQRT((1-S282)*($G$9-$E$9)*($G$9-$F$9))))</f>
        <v>1.02658767070558</v>
      </c>
      <c r="F282" s="51" t="n">
        <f aca="false">1+IF($G$10=$E$10,$F$10,IF(T282&lt;($F$10-$E$10)/($G$10-$E$10),$E$10+SQRT(T282*($G$10-$E$10)*($F$10-$E$10)),$G$10-SQRT((1-T282)*($G$10-$E$10)*($G$10-$F$10))))</f>
        <v>1.0253704193645</v>
      </c>
      <c r="G282" s="52" t="n">
        <f aca="false">IF($G$11=$E$11,$F$11,IF(U282&lt;($F$11-$E$11)/($G$11-$E$11),$E$11+SQRT(U282*($G$11-$E$11)*($F$11-$E$11)),$G$11-SQRT((1-U282)*($G$11-$E$11)*($G$11-$F$11))))</f>
        <v>0.119142363075081</v>
      </c>
      <c r="H282" s="53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-2050740838.72899</v>
      </c>
      <c r="I282" s="53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-54607973.3142128</v>
      </c>
      <c r="J282" s="53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187780437.615785</v>
      </c>
      <c r="K282" s="53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481437369.514007</v>
      </c>
      <c r="L282" s="53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594552556.84629</v>
      </c>
      <c r="M282" s="53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772307333.802188</v>
      </c>
      <c r="N282" s="53" t="n">
        <f aca="false">IF(COUNT('Business Case'!B11:G11)=0,"",H282+NPV(G282,I282:M282))</f>
        <v>-787224244.783992</v>
      </c>
      <c r="P282" s="54" t="n">
        <f aca="true">RAND()</f>
        <v>0.143263652936301</v>
      </c>
      <c r="Q282" s="54" t="n">
        <f aca="true">RAND()</f>
        <v>0.615108801448312</v>
      </c>
      <c r="R282" s="54" t="n">
        <f aca="true">RAND()</f>
        <v>0.718435003407937</v>
      </c>
      <c r="S282" s="54" t="n">
        <f aca="true">RAND()</f>
        <v>0.593850586083371</v>
      </c>
      <c r="T282" s="54" t="n">
        <f aca="true">RAND()</f>
        <v>0.327220686713572</v>
      </c>
      <c r="U282" s="54" t="n">
        <f aca="true">RAND()</f>
        <v>0.921407813604424</v>
      </c>
    </row>
    <row r="283" customFormat="false" ht="15" hidden="false" customHeight="false" outlineLevel="0" collapsed="false">
      <c r="A283" s="50" t="n">
        <v>203</v>
      </c>
      <c r="B283" s="51" t="n">
        <f aca="false">1+IF($G$6=$E$6,$F$6,IF(P283&lt;($F$6-$E$6)/($G$6-$E$6),$E$6+SQRT(P283*($G$6-$E$6)*($F$6-$E$6)),$G$6-SQRT((1-P283)*($G$6-$E$6)*($G$6-$F$6))))</f>
        <v>0.999613607210996</v>
      </c>
      <c r="C283" s="51" t="n">
        <f aca="false">1+IF($G$7=$E$7,$F$7,IF(Q283&lt;($F$7-$E$7)/($G$7-$E$7),$E$7+SQRT(Q283*($G$7-$E$7)*($F$7-$E$7)),$G$7-SQRT((1-Q283)*($G$7-$E$7)*($G$7-$F$7))))</f>
        <v>0.964390246923156</v>
      </c>
      <c r="D283" s="51" t="n">
        <f aca="false">1+IF($G$8=$E$8,$F$8,IF(R283&lt;($F$8-$E$8)/($G$8-$E$8),$E$8+SQRT(R283*($G$8-$E$8)*($F$8-$E$8)),$G$8-SQRT((1-R283)*($G$8-$E$8)*($G$8-$F$8))))</f>
        <v>0.964881059374926</v>
      </c>
      <c r="E283" s="51" t="n">
        <f aca="false">1+IF($G$9=$E$9,$F$9,IF(S283&lt;($F$9-$E$9)/($G$9-$E$9),$E$9+SQRT(S283*($G$9-$E$9)*($F$9-$E$9)),$G$9-SQRT((1-S283)*($G$9-$E$9)*($G$9-$F$9))))</f>
        <v>1.01783135438318</v>
      </c>
      <c r="F283" s="51" t="n">
        <f aca="false">1+IF($G$10=$E$10,$F$10,IF(T283&lt;($F$10-$E$10)/($G$10-$E$10),$E$10+SQRT(T283*($G$10-$E$10)*($F$10-$E$10)),$G$10-SQRT((1-T283)*($G$10-$E$10)*($G$10-$F$10))))</f>
        <v>1.01862494696142</v>
      </c>
      <c r="G283" s="52" t="n">
        <f aca="false">IF($G$11=$E$11,$F$11,IF(U283&lt;($F$11-$E$11)/($G$11-$E$11),$E$11+SQRT(U283*($G$11-$E$11)*($F$11-$E$11)),$G$11-SQRT((1-U283)*($G$11-$E$11)*($G$11-$F$11))))</f>
        <v>0.121048346114393</v>
      </c>
      <c r="H283" s="53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-2037249893.92285</v>
      </c>
      <c r="I283" s="53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16674285.9430214</v>
      </c>
      <c r="J283" s="53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329921358.258586</v>
      </c>
      <c r="K283" s="53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694099677.922221</v>
      </c>
      <c r="L283" s="53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831831817.416151</v>
      </c>
      <c r="M283" s="53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1015072285.38756</v>
      </c>
      <c r="N283" s="53" t="n">
        <f aca="false">IF(COUNT('Business Case'!B11:G11)=0,"",H283+NPV(G283,I283:M283))</f>
        <v>-167234069.802274</v>
      </c>
      <c r="P283" s="54" t="n">
        <f aca="true">RAND()</f>
        <v>0.661524716105766</v>
      </c>
      <c r="Q283" s="54" t="n">
        <f aca="true">RAND()</f>
        <v>0.517794093837686</v>
      </c>
      <c r="R283" s="54" t="n">
        <f aca="true">RAND()</f>
        <v>0.0295261237493412</v>
      </c>
      <c r="S283" s="54" t="n">
        <f aca="true">RAND()</f>
        <v>0.534171976421751</v>
      </c>
      <c r="T283" s="54" t="n">
        <f aca="true">RAND()</f>
        <v>0.286207797751948</v>
      </c>
      <c r="U283" s="54" t="n">
        <f aca="true">RAND()</f>
        <v>0.946578595141537</v>
      </c>
    </row>
    <row r="284" customFormat="false" ht="15" hidden="false" customHeight="false" outlineLevel="0" collapsed="false">
      <c r="A284" s="50" t="n">
        <v>204</v>
      </c>
      <c r="B284" s="51" t="n">
        <f aca="false">1+IF($G$6=$E$6,$F$6,IF(P284&lt;($F$6-$E$6)/($G$6-$E$6),$E$6+SQRT(P284*($G$6-$E$6)*($F$6-$E$6)),$G$6-SQRT((1-P284)*($G$6-$E$6)*($G$6-$F$6))))</f>
        <v>0.960770345045183</v>
      </c>
      <c r="C284" s="51" t="n">
        <f aca="false">1+IF($G$7=$E$7,$F$7,IF(Q284&lt;($F$7-$E$7)/($G$7-$E$7),$E$7+SQRT(Q284*($G$7-$E$7)*($F$7-$E$7)),$G$7-SQRT((1-Q284)*($G$7-$E$7)*($G$7-$F$7))))</f>
        <v>1.05309401068966</v>
      </c>
      <c r="D284" s="51" t="n">
        <f aca="false">1+IF($G$8=$E$8,$F$8,IF(R284&lt;($F$8-$E$8)/($G$8-$E$8),$E$8+SQRT(R284*($G$8-$E$8)*($F$8-$E$8)),$G$8-SQRT((1-R284)*($G$8-$E$8)*($G$8-$F$8))))</f>
        <v>1.05813860029579</v>
      </c>
      <c r="E284" s="51" t="n">
        <f aca="false">1+IF($G$9=$E$9,$F$9,IF(S284&lt;($F$9-$E$9)/($G$9-$E$9),$E$9+SQRT(S284*($G$9-$E$9)*($F$9-$E$9)),$G$9-SQRT((1-S284)*($G$9-$E$9)*($G$9-$F$9))))</f>
        <v>1.03151116022506</v>
      </c>
      <c r="F284" s="51" t="n">
        <f aca="false">1+IF($G$10=$E$10,$F$10,IF(T284&lt;($F$10-$E$10)/($G$10-$E$10),$E$10+SQRT(T284*($G$10-$E$10)*($F$10-$E$10)),$G$10-SQRT((1-T284)*($G$10-$E$10)*($G$10-$F$10))))</f>
        <v>0.999319323949813</v>
      </c>
      <c r="G284" s="52" t="n">
        <f aca="false">IF($G$11=$E$11,$F$11,IF(U284&lt;($F$11-$E$11)/($G$11-$E$11),$E$11+SQRT(U284*($G$11-$E$11)*($F$11-$E$11)),$G$11-SQRT((1-U284)*($G$11-$E$11)*($G$11-$F$11))))</f>
        <v>0.106988914142191</v>
      </c>
      <c r="H284" s="53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-1998638647.89963</v>
      </c>
      <c r="I284" s="53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-40784077.3692941</v>
      </c>
      <c r="J284" s="53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217495417.39383</v>
      </c>
      <c r="K284" s="53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525740878.354446</v>
      </c>
      <c r="L284" s="53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646801211.777777</v>
      </c>
      <c r="M284" s="53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839120638.540368</v>
      </c>
      <c r="N284" s="53" t="n">
        <f aca="false">IF(COUNT('Business Case'!B11:G11)=0,"",H284+NPV(G284,I284:M284))</f>
        <v>-534923015.968634</v>
      </c>
      <c r="P284" s="54" t="n">
        <f aca="true">RAND()</f>
        <v>0.24620232246071</v>
      </c>
      <c r="Q284" s="54" t="n">
        <f aca="true">RAND()</f>
        <v>0.860877470159761</v>
      </c>
      <c r="R284" s="54" t="n">
        <f aca="true">RAND()</f>
        <v>0.88317488098697</v>
      </c>
      <c r="S284" s="54" t="n">
        <f aca="true">RAND()</f>
        <v>0.625610529301016</v>
      </c>
      <c r="T284" s="54" t="n">
        <f aca="true">RAND()</f>
        <v>0.162159714324439</v>
      </c>
      <c r="U284" s="54" t="n">
        <f aca="true">RAND()</f>
        <v>0.64699328509636</v>
      </c>
    </row>
    <row r="285" customFormat="false" ht="15" hidden="false" customHeight="false" outlineLevel="0" collapsed="false">
      <c r="A285" s="50" t="n">
        <v>205</v>
      </c>
      <c r="B285" s="51" t="n">
        <f aca="false">1+IF($G$6=$E$6,$F$6,IF(P285&lt;($F$6-$E$6)/($G$6-$E$6),$E$6+SQRT(P285*($G$6-$E$6)*($F$6-$E$6)),$G$6-SQRT((1-P285)*($G$6-$E$6)*($G$6-$F$6))))</f>
        <v>0.946750359365682</v>
      </c>
      <c r="C285" s="51" t="n">
        <f aca="false">1+IF($G$7=$E$7,$F$7,IF(Q285&lt;($F$7-$E$7)/($G$7-$E$7),$E$7+SQRT(Q285*($G$7-$E$7)*($F$7-$E$7)),$G$7-SQRT((1-Q285)*($G$7-$E$7)*($G$7-$F$7))))</f>
        <v>1.01447017650827</v>
      </c>
      <c r="D285" s="51" t="n">
        <f aca="false">1+IF($G$8=$E$8,$F$8,IF(R285&lt;($F$8-$E$8)/($G$8-$E$8),$E$8+SQRT(R285*($G$8-$E$8)*($F$8-$E$8)),$G$8-SQRT((1-R285)*($G$8-$E$8)*($G$8-$F$8))))</f>
        <v>1.01572255195311</v>
      </c>
      <c r="E285" s="51" t="n">
        <f aca="false">1+IF($G$9=$E$9,$F$9,IF(S285&lt;($F$9-$E$9)/($G$9-$E$9),$E$9+SQRT(S285*($G$9-$E$9)*($F$9-$E$9)),$G$9-SQRT((1-S285)*($G$9-$E$9)*($G$9-$F$9))))</f>
        <v>1.02260182749778</v>
      </c>
      <c r="F285" s="51" t="n">
        <f aca="false">1+IF($G$10=$E$10,$F$10,IF(T285&lt;($F$10-$E$10)/($G$10-$E$10),$E$10+SQRT(T285*($G$10-$E$10)*($F$10-$E$10)),$G$10-SQRT((1-T285)*($G$10-$E$10)*($G$10-$F$10))))</f>
        <v>1.022858714445</v>
      </c>
      <c r="G285" s="52" t="n">
        <f aca="false">IF($G$11=$E$11,$F$11,IF(U285&lt;($F$11-$E$11)/($G$11-$E$11),$E$11+SQRT(U285*($G$11-$E$11)*($F$11-$E$11)),$G$11-SQRT((1-U285)*($G$11-$E$11)*($G$11-$F$11))))</f>
        <v>0.0951293601468686</v>
      </c>
      <c r="H285" s="53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-2045717428.89</v>
      </c>
      <c r="I285" s="53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-38304601.212999</v>
      </c>
      <c r="J285" s="53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220880377.105116</v>
      </c>
      <c r="K285" s="53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531208291.145481</v>
      </c>
      <c r="L285" s="53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650796436.062474</v>
      </c>
      <c r="M285" s="53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833358772.856052</v>
      </c>
      <c r="N285" s="53" t="n">
        <f aca="false">IF(COUNT('Business Case'!B11:G11)=0,"",H285+NPV(G285,I285:M285))</f>
        <v>-510544659.656775</v>
      </c>
      <c r="P285" s="54" t="n">
        <f aca="true">RAND()</f>
        <v>0.14570640672136</v>
      </c>
      <c r="Q285" s="54" t="n">
        <f aca="true">RAND()</f>
        <v>0.727876547322966</v>
      </c>
      <c r="R285" s="54" t="n">
        <f aca="true">RAND()</f>
        <v>0.526487450046941</v>
      </c>
      <c r="S285" s="54" t="n">
        <f aca="true">RAND()</f>
        <v>0.567192150482491</v>
      </c>
      <c r="T285" s="54" t="n">
        <f aca="true">RAND()</f>
        <v>0.312091151952297</v>
      </c>
      <c r="U285" s="54" t="n">
        <f aca="true">RAND()</f>
        <v>0.228897538453657</v>
      </c>
    </row>
    <row r="286" customFormat="false" ht="15" hidden="false" customHeight="false" outlineLevel="0" collapsed="false">
      <c r="A286" s="50" t="n">
        <v>206</v>
      </c>
      <c r="B286" s="51" t="n">
        <f aca="false">1+IF($G$6=$E$6,$F$6,IF(P286&lt;($F$6-$E$6)/($G$6-$E$6),$E$6+SQRT(P286*($G$6-$E$6)*($F$6-$E$6)),$G$6-SQRT((1-P286)*($G$6-$E$6)*($G$6-$F$6))))</f>
        <v>1.00612290519086</v>
      </c>
      <c r="C286" s="51" t="n">
        <f aca="false">1+IF($G$7=$E$7,$F$7,IF(Q286&lt;($F$7-$E$7)/($G$7-$E$7),$E$7+SQRT(Q286*($G$7-$E$7)*($F$7-$E$7)),$G$7-SQRT((1-Q286)*($G$7-$E$7)*($G$7-$F$7))))</f>
        <v>0.991065528289373</v>
      </c>
      <c r="D286" s="51" t="n">
        <f aca="false">1+IF($G$8=$E$8,$F$8,IF(R286&lt;($F$8-$E$8)/($G$8-$E$8),$E$8+SQRT(R286*($G$8-$E$8)*($F$8-$E$8)),$G$8-SQRT((1-R286)*($G$8-$E$8)*($G$8-$F$8))))</f>
        <v>1.02317273775398</v>
      </c>
      <c r="E286" s="51" t="n">
        <f aca="false">1+IF($G$9=$E$9,$F$9,IF(S286&lt;($F$9-$E$9)/($G$9-$E$9),$E$9+SQRT(S286*($G$9-$E$9)*($F$9-$E$9)),$G$9-SQRT((1-S286)*($G$9-$E$9)*($G$9-$F$9))))</f>
        <v>0.944813310552663</v>
      </c>
      <c r="F286" s="51" t="n">
        <f aca="false">1+IF($G$10=$E$10,$F$10,IF(T286&lt;($F$10-$E$10)/($G$10-$E$10),$E$10+SQRT(T286*($G$10-$E$10)*($F$10-$E$10)),$G$10-SQRT((1-T286)*($G$10-$E$10)*($G$10-$F$10))))</f>
        <v>0.970649344892233</v>
      </c>
      <c r="G286" s="52" t="n">
        <f aca="false">IF($G$11=$E$11,$F$11,IF(U286&lt;($F$11-$E$11)/($G$11-$E$11),$E$11+SQRT(U286*($G$11-$E$11)*($F$11-$E$11)),$G$11-SQRT((1-U286)*($G$11-$E$11)*($G$11-$F$11))))</f>
        <v>0.111027779396863</v>
      </c>
      <c r="H286" s="53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-1941298689.78447</v>
      </c>
      <c r="I286" s="53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14512650.3816361</v>
      </c>
      <c r="J286" s="53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312134100.50148</v>
      </c>
      <c r="K286" s="53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658288017.865935</v>
      </c>
      <c r="L286" s="53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791956109.564814</v>
      </c>
      <c r="M286" s="53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981491288.688931</v>
      </c>
      <c r="N286" s="53" t="n">
        <f aca="false">IF(COUNT('Business Case'!B11:G11)=0,"",H286+NPV(G286,I286:M286))</f>
        <v>-95833339.2891917</v>
      </c>
      <c r="P286" s="54" t="n">
        <f aca="true">RAND()</f>
        <v>0.743306740147938</v>
      </c>
      <c r="Q286" s="54" t="n">
        <f aca="true">RAND()</f>
        <v>0.627549198210162</v>
      </c>
      <c r="R286" s="54" t="n">
        <f aca="true">RAND()</f>
        <v>0.606504785052104</v>
      </c>
      <c r="S286" s="54" t="n">
        <f aca="true">RAND()</f>
        <v>0.0803293121075774</v>
      </c>
      <c r="T286" s="54" t="n">
        <f aca="true">RAND()</f>
        <v>0.0284263629652255</v>
      </c>
      <c r="U286" s="54" t="n">
        <f aca="true">RAND()</f>
        <v>0.760036563590604</v>
      </c>
    </row>
    <row r="287" customFormat="false" ht="15" hidden="false" customHeight="false" outlineLevel="0" collapsed="false">
      <c r="A287" s="50" t="n">
        <v>207</v>
      </c>
      <c r="B287" s="51" t="n">
        <f aca="false">1+IF($G$6=$E$6,$F$6,IF(P287&lt;($F$6-$E$6)/($G$6-$E$6),$E$6+SQRT(P287*($G$6-$E$6)*($F$6-$E$6)),$G$6-SQRT((1-P287)*($G$6-$E$6)*($G$6-$F$6))))</f>
        <v>1.00254322370541</v>
      </c>
      <c r="C287" s="51" t="n">
        <f aca="false">1+IF($G$7=$E$7,$F$7,IF(Q287&lt;($F$7-$E$7)/($G$7-$E$7),$E$7+SQRT(Q287*($G$7-$E$7)*($F$7-$E$7)),$G$7-SQRT((1-Q287)*($G$7-$E$7)*($G$7-$F$7))))</f>
        <v>0.960637248659693</v>
      </c>
      <c r="D287" s="51" t="n">
        <f aca="false">1+IF($G$8=$E$8,$F$8,IF(R287&lt;($F$8-$E$8)/($G$8-$E$8),$E$8+SQRT(R287*($G$8-$E$8)*($F$8-$E$8)),$G$8-SQRT((1-R287)*($G$8-$E$8)*($G$8-$F$8))))</f>
        <v>1.04189098584235</v>
      </c>
      <c r="E287" s="51" t="n">
        <f aca="false">1+IF($G$9=$E$9,$F$9,IF(S287&lt;($F$9-$E$9)/($G$9-$E$9),$E$9+SQRT(S287*($G$9-$E$9)*($F$9-$E$9)),$G$9-SQRT((1-S287)*($G$9-$E$9)*($G$9-$F$9))))</f>
        <v>1.0489788960877</v>
      </c>
      <c r="F287" s="51" t="n">
        <f aca="false">1+IF($G$10=$E$10,$F$10,IF(T287&lt;($F$10-$E$10)/($G$10-$E$10),$E$10+SQRT(T287*($G$10-$E$10)*($F$10-$E$10)),$G$10-SQRT((1-T287)*($G$10-$E$10)*($G$10-$F$10))))</f>
        <v>1.14448955067286</v>
      </c>
      <c r="G287" s="52" t="n">
        <f aca="false">IF($G$11=$E$11,$F$11,IF(U287&lt;($F$11-$E$11)/($G$11-$E$11),$E$11+SQRT(U287*($G$11-$E$11)*($F$11-$E$11)),$G$11-SQRT((1-U287)*($G$11-$E$11)*($G$11-$F$11))))</f>
        <v>0.103910904488767</v>
      </c>
      <c r="H287" s="53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-2288979101.34573</v>
      </c>
      <c r="I287" s="53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-37077806.353774</v>
      </c>
      <c r="J287" s="53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239384227.457461</v>
      </c>
      <c r="K287" s="53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573070738.802339</v>
      </c>
      <c r="L287" s="53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698508807.455451</v>
      </c>
      <c r="M287" s="53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881571123.060306</v>
      </c>
      <c r="N287" s="53" t="n">
        <f aca="false">IF(COUNT('Business Case'!B11:G11)=0,"",H287+NPV(G287,I287:M287))</f>
        <v>-692006949.205853</v>
      </c>
      <c r="P287" s="54" t="n">
        <f aca="true">RAND()</f>
        <v>0.699713917829991</v>
      </c>
      <c r="Q287" s="54" t="n">
        <f aca="true">RAND()</f>
        <v>0.503198336214035</v>
      </c>
      <c r="R287" s="54" t="n">
        <f aca="true">RAND()</f>
        <v>0.774889498241735</v>
      </c>
      <c r="S287" s="54" t="n">
        <f aca="true">RAND()</f>
        <v>0.727859641715756</v>
      </c>
      <c r="T287" s="54" t="n">
        <f aca="true">RAND()</f>
        <v>0.851567267770474</v>
      </c>
      <c r="U287" s="54" t="n">
        <f aca="true">RAND()</f>
        <v>0.546239396937172</v>
      </c>
    </row>
    <row r="288" customFormat="false" ht="15" hidden="false" customHeight="false" outlineLevel="0" collapsed="false">
      <c r="A288" s="50" t="n">
        <v>208</v>
      </c>
      <c r="B288" s="51" t="n">
        <f aca="false">1+IF($G$6=$E$6,$F$6,IF(P288&lt;($F$6-$E$6)/($G$6-$E$6),$E$6+SQRT(P288*($G$6-$E$6)*($F$6-$E$6)),$G$6-SQRT((1-P288)*($G$6-$E$6)*($G$6-$F$6))))</f>
        <v>1.01138315239922</v>
      </c>
      <c r="C288" s="51" t="n">
        <f aca="false">1+IF($G$7=$E$7,$F$7,IF(Q288&lt;($F$7-$E$7)/($G$7-$E$7),$E$7+SQRT(Q288*($G$7-$E$7)*($F$7-$E$7)),$G$7-SQRT((1-Q288)*($G$7-$E$7)*($G$7-$F$7))))</f>
        <v>0.754221708459723</v>
      </c>
      <c r="D288" s="51" t="n">
        <f aca="false">1+IF($G$8=$E$8,$F$8,IF(R288&lt;($F$8-$E$8)/($G$8-$E$8),$E$8+SQRT(R288*($G$8-$E$8)*($F$8-$E$8)),$G$8-SQRT((1-R288)*($G$8-$E$8)*($G$8-$F$8))))</f>
        <v>1.02230643326621</v>
      </c>
      <c r="E288" s="51" t="n">
        <f aca="false">1+IF($G$9=$E$9,$F$9,IF(S288&lt;($F$9-$E$9)/($G$9-$E$9),$E$9+SQRT(S288*($G$9-$E$9)*($F$9-$E$9)),$G$9-SQRT((1-S288)*($G$9-$E$9)*($G$9-$F$9))))</f>
        <v>1.05305804390273</v>
      </c>
      <c r="F288" s="51" t="n">
        <f aca="false">1+IF($G$10=$E$10,$F$10,IF(T288&lt;($F$10-$E$10)/($G$10-$E$10),$E$10+SQRT(T288*($G$10-$E$10)*($F$10-$E$10)),$G$10-SQRT((1-T288)*($G$10-$E$10)*($G$10-$F$10))))</f>
        <v>1.10027350658641</v>
      </c>
      <c r="G288" s="52" t="n">
        <f aca="false">IF($G$11=$E$11,$F$11,IF(U288&lt;($F$11-$E$11)/($G$11-$E$11),$E$11+SQRT(U288*($G$11-$E$11)*($F$11-$E$11)),$G$11-SQRT((1-U288)*($G$11-$E$11)*($G$11-$F$11))))</f>
        <v>0.103343861118371</v>
      </c>
      <c r="H288" s="53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-2200547013.17283</v>
      </c>
      <c r="I288" s="53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-69235882.3536891</v>
      </c>
      <c r="J288" s="53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160844361.36729</v>
      </c>
      <c r="K288" s="53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445938280.417589</v>
      </c>
      <c r="L288" s="53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548994309.373288</v>
      </c>
      <c r="M288" s="53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693988688.474501</v>
      </c>
      <c r="N288" s="53" t="n">
        <f aca="false">IF(COUNT('Business Case'!B11:G11)=0,"",H288+NPV(G288,I288:M288))</f>
        <v>-1004302599.76907</v>
      </c>
      <c r="P288" s="54" t="n">
        <f aca="true">RAND()</f>
        <v>0.801165210850371</v>
      </c>
      <c r="Q288" s="54" t="n">
        <f aca="true">RAND()</f>
        <v>0.0217777308762307</v>
      </c>
      <c r="R288" s="54" t="n">
        <f aca="true">RAND()</f>
        <v>0.597580645878803</v>
      </c>
      <c r="S288" s="54" t="n">
        <f aca="true">RAND()</f>
        <v>0.749393523947606</v>
      </c>
      <c r="T288" s="54" t="n">
        <f aca="true">RAND()</f>
        <v>0.701093028934286</v>
      </c>
      <c r="U288" s="54" t="n">
        <f aca="true">RAND()</f>
        <v>0.526300173282218</v>
      </c>
    </row>
    <row r="289" customFormat="false" ht="15" hidden="false" customHeight="false" outlineLevel="0" collapsed="false">
      <c r="A289" s="50" t="n">
        <v>209</v>
      </c>
      <c r="B289" s="51" t="n">
        <f aca="false">1+IF($G$6=$E$6,$F$6,IF(P289&lt;($F$6-$E$6)/($G$6-$E$6),$E$6+SQRT(P289*($G$6-$E$6)*($F$6-$E$6)),$G$6-SQRT((1-P289)*($G$6-$E$6)*($G$6-$F$6))))</f>
        <v>0.994469021335288</v>
      </c>
      <c r="C289" s="51" t="n">
        <f aca="false">1+IF($G$7=$E$7,$F$7,IF(Q289&lt;($F$7-$E$7)/($G$7-$E$7),$E$7+SQRT(Q289*($G$7-$E$7)*($F$7-$E$7)),$G$7-SQRT((1-Q289)*($G$7-$E$7)*($G$7-$F$7))))</f>
        <v>0.87557965431733</v>
      </c>
      <c r="D289" s="51" t="n">
        <f aca="false">1+IF($G$8=$E$8,$F$8,IF(R289&lt;($F$8-$E$8)/($G$8-$E$8),$E$8+SQRT(R289*($G$8-$E$8)*($F$8-$E$8)),$G$8-SQRT((1-R289)*($G$8-$E$8)*($G$8-$F$8))))</f>
        <v>0.987486223456362</v>
      </c>
      <c r="E289" s="51" t="n">
        <f aca="false">1+IF($G$9=$E$9,$F$9,IF(S289&lt;($F$9-$E$9)/($G$9-$E$9),$E$9+SQRT(S289*($G$9-$E$9)*($F$9-$E$9)),$G$9-SQRT((1-S289)*($G$9-$E$9)*($G$9-$F$9))))</f>
        <v>1.00187492197879</v>
      </c>
      <c r="F289" s="51" t="n">
        <f aca="false">1+IF($G$10=$E$10,$F$10,IF(T289&lt;($F$10-$E$10)/($G$10-$E$10),$E$10+SQRT(T289*($G$10-$E$10)*($F$10-$E$10)),$G$10-SQRT((1-T289)*($G$10-$E$10)*($G$10-$F$10))))</f>
        <v>1.17394318471443</v>
      </c>
      <c r="G289" s="52" t="n">
        <f aca="false">IF($G$11=$E$11,$F$11,IF(U289&lt;($F$11-$E$11)/($G$11-$E$11),$E$11+SQRT(U289*($G$11-$E$11)*($F$11-$E$11)),$G$11-SQRT((1-U289)*($G$11-$E$11)*($G$11-$F$11))))</f>
        <v>0.125101734424952</v>
      </c>
      <c r="H289" s="53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-2347886369.42885</v>
      </c>
      <c r="I289" s="53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-34421491.0841077</v>
      </c>
      <c r="J289" s="53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236156948.094264</v>
      </c>
      <c r="K289" s="53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565432546.508358</v>
      </c>
      <c r="L289" s="53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685718024.824918</v>
      </c>
      <c r="M289" s="53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851227683.738981</v>
      </c>
      <c r="N289" s="53" t="n">
        <f aca="false">IF(COUNT('Business Case'!B11:G11)=0,"",H289+NPV(G289,I289:M289))</f>
        <v>-894814512.013614</v>
      </c>
      <c r="P289" s="54" t="n">
        <f aca="true">RAND()</f>
        <v>0.594959732803144</v>
      </c>
      <c r="Q289" s="54" t="n">
        <f aca="true">RAND()</f>
        <v>0.228357148223654</v>
      </c>
      <c r="R289" s="54" t="n">
        <f aca="true">RAND()</f>
        <v>0.187362259869378</v>
      </c>
      <c r="S289" s="54" t="n">
        <f aca="true">RAND()</f>
        <v>0.414905633632239</v>
      </c>
      <c r="T289" s="54" t="n">
        <f aca="true">RAND()</f>
        <v>0.92287147798155</v>
      </c>
      <c r="U289" s="54" t="n">
        <f aca="true">RAND()</f>
        <v>0.984004662904201</v>
      </c>
    </row>
    <row r="290" customFormat="false" ht="15" hidden="false" customHeight="false" outlineLevel="0" collapsed="false">
      <c r="A290" s="50" t="n">
        <v>210</v>
      </c>
      <c r="B290" s="51" t="n">
        <f aca="false">1+IF($G$6=$E$6,$F$6,IF(P290&lt;($F$6-$E$6)/($G$6-$E$6),$E$6+SQRT(P290*($G$6-$E$6)*($F$6-$E$6)),$G$6-SQRT((1-P290)*($G$6-$E$6)*($G$6-$F$6))))</f>
        <v>0.974253621028494</v>
      </c>
      <c r="C290" s="51" t="n">
        <f aca="false">1+IF($G$7=$E$7,$F$7,IF(Q290&lt;($F$7-$E$7)/($G$7-$E$7),$E$7+SQRT(Q290*($G$7-$E$7)*($F$7-$E$7)),$G$7-SQRT((1-Q290)*($G$7-$E$7)*($G$7-$F$7))))</f>
        <v>1.09085572422891</v>
      </c>
      <c r="D290" s="51" t="n">
        <f aca="false">1+IF($G$8=$E$8,$F$8,IF(R290&lt;($F$8-$E$8)/($G$8-$E$8),$E$8+SQRT(R290*($G$8-$E$8)*($F$8-$E$8)),$G$8-SQRT((1-R290)*($G$8-$E$8)*($G$8-$F$8))))</f>
        <v>1.07004576420551</v>
      </c>
      <c r="E290" s="51" t="n">
        <f aca="false">1+IF($G$9=$E$9,$F$9,IF(S290&lt;($F$9-$E$9)/($G$9-$E$9),$E$9+SQRT(S290*($G$9-$E$9)*($F$9-$E$9)),$G$9-SQRT((1-S290)*($G$9-$E$9)*($G$9-$F$9))))</f>
        <v>0.926353257194305</v>
      </c>
      <c r="F290" s="51" t="n">
        <f aca="false">1+IF($G$10=$E$10,$F$10,IF(T290&lt;($F$10-$E$10)/($G$10-$E$10),$E$10+SQRT(T290*($G$10-$E$10)*($F$10-$E$10)),$G$10-SQRT((1-T290)*($G$10-$E$10)*($G$10-$F$10))))</f>
        <v>1.07569619865455</v>
      </c>
      <c r="G290" s="52" t="n">
        <f aca="false">IF($G$11=$E$11,$F$11,IF(U290&lt;($F$11-$E$11)/($G$11-$E$11),$E$11+SQRT(U290*($G$11-$E$11)*($F$11-$E$11)),$G$11-SQRT((1-U290)*($G$11-$E$11)*($G$11-$F$11))))</f>
        <v>0.103299717381892</v>
      </c>
      <c r="H290" s="53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-2151392397.30909</v>
      </c>
      <c r="I290" s="53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-21452372.3412736</v>
      </c>
      <c r="J290" s="53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251486312.379825</v>
      </c>
      <c r="K290" s="53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578209807.03365</v>
      </c>
      <c r="L290" s="53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705918704.623274</v>
      </c>
      <c r="M290" s="53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907930052.710859</v>
      </c>
      <c r="N290" s="53" t="n">
        <f aca="false">IF(COUNT('Business Case'!B11:G11)=0,"",H290+NPV(G290,I290:M290))</f>
        <v>-501923250.062761</v>
      </c>
      <c r="P290" s="54" t="n">
        <f aca="true">RAND()</f>
        <v>0.367573349056209</v>
      </c>
      <c r="Q290" s="54" t="n">
        <f aca="true">RAND()</f>
        <v>0.948177105829818</v>
      </c>
      <c r="R290" s="54" t="n">
        <f aca="true">RAND()</f>
        <v>0.940182917197862</v>
      </c>
      <c r="S290" s="54" t="n">
        <f aca="true">RAND()</f>
        <v>0.027779766589968</v>
      </c>
      <c r="T290" s="54" t="n">
        <f aca="true">RAND()</f>
        <v>0.594909131153664</v>
      </c>
      <c r="U290" s="54" t="n">
        <f aca="true">RAND()</f>
        <v>0.524729938742109</v>
      </c>
    </row>
    <row r="291" customFormat="false" ht="15" hidden="false" customHeight="false" outlineLevel="0" collapsed="false">
      <c r="A291" s="50" t="n">
        <v>211</v>
      </c>
      <c r="B291" s="51" t="n">
        <f aca="false">1+IF($G$6=$E$6,$F$6,IF(P291&lt;($F$6-$E$6)/($G$6-$E$6),$E$6+SQRT(P291*($G$6-$E$6)*($F$6-$E$6)),$G$6-SQRT((1-P291)*($G$6-$E$6)*($G$6-$F$6))))</f>
        <v>1.00107671309582</v>
      </c>
      <c r="C291" s="51" t="n">
        <f aca="false">1+IF($G$7=$E$7,$F$7,IF(Q291&lt;($F$7-$E$7)/($G$7-$E$7),$E$7+SQRT(Q291*($G$7-$E$7)*($F$7-$E$7)),$G$7-SQRT((1-Q291)*($G$7-$E$7)*($G$7-$F$7))))</f>
        <v>1.04640017515385</v>
      </c>
      <c r="D291" s="51" t="n">
        <f aca="false">1+IF($G$8=$E$8,$F$8,IF(R291&lt;($F$8-$E$8)/($G$8-$E$8),$E$8+SQRT(R291*($G$8-$E$8)*($F$8-$E$8)),$G$8-SQRT((1-R291)*($G$8-$E$8)*($G$8-$F$8))))</f>
        <v>1.03871198481836</v>
      </c>
      <c r="E291" s="51" t="n">
        <f aca="false">1+IF($G$9=$E$9,$F$9,IF(S291&lt;($F$9-$E$9)/($G$9-$E$9),$E$9+SQRT(S291*($G$9-$E$9)*($F$9-$E$9)),$G$9-SQRT((1-S291)*($G$9-$E$9)*($G$9-$F$9))))</f>
        <v>1.02636746494705</v>
      </c>
      <c r="F291" s="51" t="n">
        <f aca="false">1+IF($G$10=$E$10,$F$10,IF(T291&lt;($F$10-$E$10)/($G$10-$E$10),$E$10+SQRT(T291*($G$10-$E$10)*($F$10-$E$10)),$G$10-SQRT((1-T291)*($G$10-$E$10)*($G$10-$F$10))))</f>
        <v>1.18085311064582</v>
      </c>
      <c r="G291" s="52" t="n">
        <f aca="false">IF($G$11=$E$11,$F$11,IF(U291&lt;($F$11-$E$11)/($G$11-$E$11),$E$11+SQRT(U291*($G$11-$E$11)*($F$11-$E$11)),$G$11-SQRT((1-U291)*($G$11-$E$11)*($G$11-$F$11))))</f>
        <v>0.0944969252855978</v>
      </c>
      <c r="H291" s="53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-2361706221.29164</v>
      </c>
      <c r="I291" s="53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-16748795.5782788</v>
      </c>
      <c r="J291" s="53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284840965.219975</v>
      </c>
      <c r="K291" s="53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645473381.550519</v>
      </c>
      <c r="L291" s="53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782205829.680923</v>
      </c>
      <c r="M291" s="53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981319732.934681</v>
      </c>
      <c r="N291" s="53" t="n">
        <f aca="false">IF(COUNT('Business Case'!B11:G11)=0,"",H291+NPV(G291,I291:M291))</f>
        <v>-477045862.673653</v>
      </c>
      <c r="P291" s="54" t="n">
        <f aca="true">RAND()</f>
        <v>0.680868266465562</v>
      </c>
      <c r="Q291" s="54" t="n">
        <f aca="true">RAND()</f>
        <v>0.840993722842187</v>
      </c>
      <c r="R291" s="54" t="n">
        <f aca="true">RAND()</f>
        <v>0.749585279673</v>
      </c>
      <c r="S291" s="54" t="n">
        <f aca="true">RAND()</f>
        <v>0.592399900703509</v>
      </c>
      <c r="T291" s="54" t="n">
        <f aca="true">RAND()</f>
        <v>0.936249435901878</v>
      </c>
      <c r="U291" s="54" t="n">
        <f aca="true">RAND()</f>
        <v>0.210160842736206</v>
      </c>
    </row>
    <row r="292" customFormat="false" ht="15" hidden="false" customHeight="false" outlineLevel="0" collapsed="false">
      <c r="A292" s="50" t="n">
        <v>212</v>
      </c>
      <c r="B292" s="51" t="n">
        <f aca="false">1+IF($G$6=$E$6,$F$6,IF(P292&lt;($F$6-$E$6)/($G$6-$E$6),$E$6+SQRT(P292*($G$6-$E$6)*($F$6-$E$6)),$G$6-SQRT((1-P292)*($G$6-$E$6)*($G$6-$F$6))))</f>
        <v>1.01767325115805</v>
      </c>
      <c r="C292" s="51" t="n">
        <f aca="false">1+IF($G$7=$E$7,$F$7,IF(Q292&lt;($F$7-$E$7)/($G$7-$E$7),$E$7+SQRT(Q292*($G$7-$E$7)*($F$7-$E$7)),$G$7-SQRT((1-Q292)*($G$7-$E$7)*($G$7-$F$7))))</f>
        <v>1.02148507867753</v>
      </c>
      <c r="D292" s="51" t="n">
        <f aca="false">1+IF($G$8=$E$8,$F$8,IF(R292&lt;($F$8-$E$8)/($G$8-$E$8),$E$8+SQRT(R292*($G$8-$E$8)*($F$8-$E$8)),$G$8-SQRT((1-R292)*($G$8-$E$8)*($G$8-$F$8))))</f>
        <v>1.00739192166334</v>
      </c>
      <c r="E292" s="51" t="n">
        <f aca="false">1+IF($G$9=$E$9,$F$9,IF(S292&lt;($F$9-$E$9)/($G$9-$E$9),$E$9+SQRT(S292*($G$9-$E$9)*($F$9-$E$9)),$G$9-SQRT((1-S292)*($G$9-$E$9)*($G$9-$F$9))))</f>
        <v>1.02294817896378</v>
      </c>
      <c r="F292" s="51" t="n">
        <f aca="false">1+IF($G$10=$E$10,$F$10,IF(T292&lt;($F$10-$E$10)/($G$10-$E$10),$E$10+SQRT(T292*($G$10-$E$10)*($F$10-$E$10)),$G$10-SQRT((1-T292)*($G$10-$E$10)*($G$10-$F$10))))</f>
        <v>1.0932976788614</v>
      </c>
      <c r="G292" s="52" t="n">
        <f aca="false">IF($G$11=$E$11,$F$11,IF(U292&lt;($F$11-$E$11)/($G$11-$E$11),$E$11+SQRT(U292*($G$11-$E$11)*($F$11-$E$11)),$G$11-SQRT((1-U292)*($G$11-$E$11)*($G$11-$F$11))))</f>
        <v>0.104405687977061</v>
      </c>
      <c r="H292" s="53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-2186595357.7228</v>
      </c>
      <c r="I292" s="53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15989836.2478922</v>
      </c>
      <c r="J292" s="53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340662323.477423</v>
      </c>
      <c r="K292" s="53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719999694.650024</v>
      </c>
      <c r="L292" s="53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864150291.757768</v>
      </c>
      <c r="M292" s="53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1061745682.59622</v>
      </c>
      <c r="N292" s="53" t="n">
        <f aca="false">IF(COUNT('Business Case'!B11:G11)=0,"",H292+NPV(G292,I292:M292))</f>
        <v>-131241554.36037</v>
      </c>
      <c r="P292" s="54" t="n">
        <f aca="true">RAND()</f>
        <v>0.860664174574563</v>
      </c>
      <c r="Q292" s="54" t="n">
        <f aca="true">RAND()</f>
        <v>0.755317259221911</v>
      </c>
      <c r="R292" s="54" t="n">
        <f aca="true">RAND()</f>
        <v>0.428249588452694</v>
      </c>
      <c r="S292" s="54" t="n">
        <f aca="true">RAND()</f>
        <v>0.569542260570135</v>
      </c>
      <c r="T292" s="54" t="n">
        <f aca="true">RAND()</f>
        <v>0.672591767330328</v>
      </c>
      <c r="U292" s="54" t="n">
        <f aca="true">RAND()</f>
        <v>0.563287461381637</v>
      </c>
    </row>
    <row r="293" customFormat="false" ht="15" hidden="false" customHeight="false" outlineLevel="0" collapsed="false">
      <c r="A293" s="50" t="n">
        <v>213</v>
      </c>
      <c r="B293" s="51" t="n">
        <f aca="false">1+IF($G$6=$E$6,$F$6,IF(P293&lt;($F$6-$E$6)/($G$6-$E$6),$E$6+SQRT(P293*($G$6-$E$6)*($F$6-$E$6)),$G$6-SQRT((1-P293)*($G$6-$E$6)*($G$6-$F$6))))</f>
        <v>0.985000895965018</v>
      </c>
      <c r="C293" s="51" t="n">
        <f aca="false">1+IF($G$7=$E$7,$F$7,IF(Q293&lt;($F$7-$E$7)/($G$7-$E$7),$E$7+SQRT(Q293*($G$7-$E$7)*($F$7-$E$7)),$G$7-SQRT((1-Q293)*($G$7-$E$7)*($G$7-$F$7))))</f>
        <v>0.8432798317312</v>
      </c>
      <c r="D293" s="51" t="n">
        <f aca="false">1+IF($G$8=$E$8,$F$8,IF(R293&lt;($F$8-$E$8)/($G$8-$E$8),$E$8+SQRT(R293*($G$8-$E$8)*($F$8-$E$8)),$G$8-SQRT((1-R293)*($G$8-$E$8)*($G$8-$F$8))))</f>
        <v>1.00235377128839</v>
      </c>
      <c r="E293" s="51" t="n">
        <f aca="false">1+IF($G$9=$E$9,$F$9,IF(S293&lt;($F$9-$E$9)/($G$9-$E$9),$E$9+SQRT(S293*($G$9-$E$9)*($F$9-$E$9)),$G$9-SQRT((1-S293)*($G$9-$E$9)*($G$9-$F$9))))</f>
        <v>0.997018188792868</v>
      </c>
      <c r="F293" s="51" t="n">
        <f aca="false">1+IF($G$10=$E$10,$F$10,IF(T293&lt;($F$10-$E$10)/($G$10-$E$10),$E$10+SQRT(T293*($G$10-$E$10)*($F$10-$E$10)),$G$10-SQRT((1-T293)*($G$10-$E$10)*($G$10-$F$10))))</f>
        <v>1.13506198221522</v>
      </c>
      <c r="G293" s="52" t="n">
        <f aca="false">IF($G$11=$E$11,$F$11,IF(U293&lt;($F$11-$E$11)/($G$11-$E$11),$E$11+SQRT(U293*($G$11-$E$11)*($F$11-$E$11)),$G$11-SQRT((1-U293)*($G$11-$E$11)*($G$11-$F$11))))</f>
        <v>0.108514588266496</v>
      </c>
      <c r="H293" s="53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-2270123964.43044</v>
      </c>
      <c r="I293" s="53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-50703117.4564962</v>
      </c>
      <c r="J293" s="53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196935881.002339</v>
      </c>
      <c r="K293" s="53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501327978.571935</v>
      </c>
      <c r="L293" s="53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612580932.223188</v>
      </c>
      <c r="M293" s="53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770467346.797221</v>
      </c>
      <c r="N293" s="53" t="n">
        <f aca="false">IF(COUNT('Business Case'!B11:G11)=0,"",H293+NPV(G293,I293:M293))</f>
        <v>-921555295.929506</v>
      </c>
      <c r="P293" s="54" t="n">
        <f aca="true">RAND()</f>
        <v>0.481676820990391</v>
      </c>
      <c r="Q293" s="54" t="n">
        <f aca="true">RAND()</f>
        <v>0.152067482821636</v>
      </c>
      <c r="R293" s="54" t="n">
        <f aca="true">RAND()</f>
        <v>0.364347601226727</v>
      </c>
      <c r="S293" s="54" t="n">
        <f aca="true">RAND()</f>
        <v>0.376501158265939</v>
      </c>
      <c r="T293" s="54" t="n">
        <f aca="true">RAND()</f>
        <v>0.823856694236074</v>
      </c>
      <c r="U293" s="54" t="n">
        <f aca="true">RAND()</f>
        <v>0.692251388427866</v>
      </c>
    </row>
    <row r="294" customFormat="false" ht="15" hidden="false" customHeight="false" outlineLevel="0" collapsed="false">
      <c r="A294" s="50" t="n">
        <v>214</v>
      </c>
      <c r="B294" s="51" t="n">
        <f aca="false">1+IF($G$6=$E$6,$F$6,IF(P294&lt;($F$6-$E$6)/($G$6-$E$6),$E$6+SQRT(P294*($G$6-$E$6)*($F$6-$E$6)),$G$6-SQRT((1-P294)*($G$6-$E$6)*($G$6-$F$6))))</f>
        <v>1.02224053169521</v>
      </c>
      <c r="C294" s="51" t="n">
        <f aca="false">1+IF($G$7=$E$7,$F$7,IF(Q294&lt;($F$7-$E$7)/($G$7-$E$7),$E$7+SQRT(Q294*($G$7-$E$7)*($F$7-$E$7)),$G$7-SQRT((1-Q294)*($G$7-$E$7)*($G$7-$F$7))))</f>
        <v>0.984814174939069</v>
      </c>
      <c r="D294" s="51" t="n">
        <f aca="false">1+IF($G$8=$E$8,$F$8,IF(R294&lt;($F$8-$E$8)/($G$8-$E$8),$E$8+SQRT(R294*($G$8-$E$8)*($F$8-$E$8)),$G$8-SQRT((1-R294)*($G$8-$E$8)*($G$8-$F$8))))</f>
        <v>1.00805528482206</v>
      </c>
      <c r="E294" s="51" t="n">
        <f aca="false">1+IF($G$9=$E$9,$F$9,IF(S294&lt;($F$9-$E$9)/($G$9-$E$9),$E$9+SQRT(S294*($G$9-$E$9)*($F$9-$E$9)),$G$9-SQRT((1-S294)*($G$9-$E$9)*($G$9-$F$9))))</f>
        <v>1.07014583927995</v>
      </c>
      <c r="F294" s="51" t="n">
        <f aca="false">1+IF($G$10=$E$10,$F$10,IF(T294&lt;($F$10-$E$10)/($G$10-$E$10),$E$10+SQRT(T294*($G$10-$E$10)*($F$10-$E$10)),$G$10-SQRT((1-T294)*($G$10-$E$10)*($G$10-$F$10))))</f>
        <v>0.9864187535004</v>
      </c>
      <c r="G294" s="52" t="n">
        <f aca="false">IF($G$11=$E$11,$F$11,IF(U294&lt;($F$11-$E$11)/($G$11-$E$11),$E$11+SQRT(U294*($G$11-$E$11)*($F$11-$E$11)),$G$11-SQRT((1-U294)*($G$11-$E$11)*($G$11-$F$11))))</f>
        <v>0.100788969437625</v>
      </c>
      <c r="H294" s="53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-1972837507.0008</v>
      </c>
      <c r="I294" s="53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13361744.777028</v>
      </c>
      <c r="J294" s="53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329728310.757332</v>
      </c>
      <c r="K294" s="53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695415814.412655</v>
      </c>
      <c r="L294" s="53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835663474.744508</v>
      </c>
      <c r="M294" s="53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1027020235.6058</v>
      </c>
      <c r="N294" s="53" t="n">
        <f aca="false">IF(COUNT('Business Case'!B11:G11)=0,"",H294+NPV(G294,I294:M294))</f>
        <v>37318204.8350387</v>
      </c>
      <c r="P294" s="54" t="n">
        <f aca="true">RAND()</f>
        <v>0.897254922591383</v>
      </c>
      <c r="Q294" s="54" t="n">
        <f aca="true">RAND()</f>
        <v>0.600882327749798</v>
      </c>
      <c r="R294" s="54" t="n">
        <f aca="true">RAND()</f>
        <v>0.436411290056483</v>
      </c>
      <c r="S294" s="54" t="n">
        <f aca="true">RAND()</f>
        <v>0.829955013751917</v>
      </c>
      <c r="T294" s="54" t="n">
        <f aca="true">RAND()</f>
        <v>0.0884217071015286</v>
      </c>
      <c r="U294" s="54" t="n">
        <f aca="true">RAND()</f>
        <v>0.431143795656001</v>
      </c>
    </row>
    <row r="295" customFormat="false" ht="15" hidden="false" customHeight="false" outlineLevel="0" collapsed="false">
      <c r="A295" s="50" t="n">
        <v>215</v>
      </c>
      <c r="B295" s="51" t="n">
        <f aca="false">1+IF($G$6=$E$6,$F$6,IF(P295&lt;($F$6-$E$6)/($G$6-$E$6),$E$6+SQRT(P295*($G$6-$E$6)*($F$6-$E$6)),$G$6-SQRT((1-P295)*($G$6-$E$6)*($G$6-$F$6))))</f>
        <v>0.959397851038626</v>
      </c>
      <c r="C295" s="51" t="n">
        <f aca="false">1+IF($G$7=$E$7,$F$7,IF(Q295&lt;($F$7-$E$7)/($G$7-$E$7),$E$7+SQRT(Q295*($G$7-$E$7)*($F$7-$E$7)),$G$7-SQRT((1-Q295)*($G$7-$E$7)*($G$7-$F$7))))</f>
        <v>0.896411339706696</v>
      </c>
      <c r="D295" s="51" t="n">
        <f aca="false">1+IF($G$8=$E$8,$F$8,IF(R295&lt;($F$8-$E$8)/($G$8-$E$8),$E$8+SQRT(R295*($G$8-$E$8)*($F$8-$E$8)),$G$8-SQRT((1-R295)*($G$8-$E$8)*($G$8-$F$8))))</f>
        <v>1.0082461789942</v>
      </c>
      <c r="E295" s="51" t="n">
        <f aca="false">1+IF($G$9=$E$9,$F$9,IF(S295&lt;($F$9-$E$9)/($G$9-$E$9),$E$9+SQRT(S295*($G$9-$E$9)*($F$9-$E$9)),$G$9-SQRT((1-S295)*($G$9-$E$9)*($G$9-$F$9))))</f>
        <v>1.00203229708329</v>
      </c>
      <c r="F295" s="51" t="n">
        <f aca="false">1+IF($G$10=$E$10,$F$10,IF(T295&lt;($F$10-$E$10)/($G$10-$E$10),$E$10+SQRT(T295*($G$10-$E$10)*($F$10-$E$10)),$G$10-SQRT((1-T295)*($G$10-$E$10)*($G$10-$F$10))))</f>
        <v>0.97017261495352</v>
      </c>
      <c r="G295" s="52" t="n">
        <f aca="false">IF($G$11=$E$11,$F$11,IF(U295&lt;($F$11-$E$11)/($G$11-$E$11),$E$11+SQRT(U295*($G$11-$E$11)*($F$11-$E$11)),$G$11-SQRT((1-U295)*($G$11-$E$11)*($G$11-$F$11))))</f>
        <v>0.0809712533710931</v>
      </c>
      <c r="H295" s="53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-1940345229.90704</v>
      </c>
      <c r="I295" s="53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-42350128.4584266</v>
      </c>
      <c r="J295" s="53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199389180.679654</v>
      </c>
      <c r="K295" s="53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489637120.565411</v>
      </c>
      <c r="L295" s="53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599939012.582046</v>
      </c>
      <c r="M295" s="53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763410685.253722</v>
      </c>
      <c r="N295" s="53" t="n">
        <f aca="false">IF(COUNT('Business Case'!B11:G11)=0,"",H295+NPV(G295,I295:M295))</f>
        <v>-464618191.963465</v>
      </c>
      <c r="P295" s="54" t="n">
        <f aca="true">RAND()</f>
        <v>0.235206980533786</v>
      </c>
      <c r="Q295" s="54" t="n">
        <f aca="true">RAND()</f>
        <v>0.285758624928736</v>
      </c>
      <c r="R295" s="54" t="n">
        <f aca="true">RAND()</f>
        <v>0.438749088722358</v>
      </c>
      <c r="S295" s="54" t="n">
        <f aca="true">RAND()</f>
        <v>0.416148237161385</v>
      </c>
      <c r="T295" s="54" t="n">
        <f aca="true">RAND()</f>
        <v>0.0271289596041996</v>
      </c>
      <c r="U295" s="54" t="n">
        <f aca="true">RAND()</f>
        <v>0.000943333110859646</v>
      </c>
    </row>
    <row r="296" customFormat="false" ht="15" hidden="false" customHeight="false" outlineLevel="0" collapsed="false">
      <c r="A296" s="50" t="n">
        <v>216</v>
      </c>
      <c r="B296" s="51" t="n">
        <f aca="false">1+IF($G$6=$E$6,$F$6,IF(P296&lt;($F$6-$E$6)/($G$6-$E$6),$E$6+SQRT(P296*($G$6-$E$6)*($F$6-$E$6)),$G$6-SQRT((1-P296)*($G$6-$E$6)*($G$6-$F$6))))</f>
        <v>1.01326807678696</v>
      </c>
      <c r="C296" s="51" t="n">
        <f aca="false">1+IF($G$7=$E$7,$F$7,IF(Q296&lt;($F$7-$E$7)/($G$7-$E$7),$E$7+SQRT(Q296*($G$7-$E$7)*($F$7-$E$7)),$G$7-SQRT((1-Q296)*($G$7-$E$7)*($G$7-$F$7))))</f>
        <v>0.909554122781094</v>
      </c>
      <c r="D296" s="51" t="n">
        <f aca="false">1+IF($G$8=$E$8,$F$8,IF(R296&lt;($F$8-$E$8)/($G$8-$E$8),$E$8+SQRT(R296*($G$8-$E$8)*($F$8-$E$8)),$G$8-SQRT((1-R296)*($G$8-$E$8)*($G$8-$F$8))))</f>
        <v>1.05907635477914</v>
      </c>
      <c r="E296" s="51" t="n">
        <f aca="false">1+IF($G$9=$E$9,$F$9,IF(S296&lt;($F$9-$E$9)/($G$9-$E$9),$E$9+SQRT(S296*($G$9-$E$9)*($F$9-$E$9)),$G$9-SQRT((1-S296)*($G$9-$E$9)*($G$9-$F$9))))</f>
        <v>1.00784509203957</v>
      </c>
      <c r="F296" s="51" t="n">
        <f aca="false">1+IF($G$10=$E$10,$F$10,IF(T296&lt;($F$10-$E$10)/($G$10-$E$10),$E$10+SQRT(T296*($G$10-$E$10)*($F$10-$E$10)),$G$10-SQRT((1-T296)*($G$10-$E$10)*($G$10-$F$10))))</f>
        <v>1.11634763038375</v>
      </c>
      <c r="G296" s="52" t="n">
        <f aca="false">IF($G$11=$E$11,$F$11,IF(U296&lt;($F$11-$E$11)/($G$11-$E$11),$E$11+SQRT(U296*($G$11-$E$11)*($F$11-$E$11)),$G$11-SQRT((1-U296)*($G$11-$E$11)*($G$11-$F$11))))</f>
        <v>0.093616762809164</v>
      </c>
      <c r="H296" s="53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-2232695260.76751</v>
      </c>
      <c r="I296" s="53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-40978341.1901344</v>
      </c>
      <c r="J296" s="53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220770545.350708</v>
      </c>
      <c r="K296" s="53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538336813.410737</v>
      </c>
      <c r="L296" s="53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657437703.994067</v>
      </c>
      <c r="M296" s="53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832619643.544174</v>
      </c>
      <c r="N296" s="53" t="n">
        <f aca="false">IF(COUNT('Business Case'!B11:G11)=0,"",H296+NPV(G296,I296:M296))</f>
        <v>-682119371.088553</v>
      </c>
      <c r="P296" s="54" t="n">
        <f aca="true">RAND()</f>
        <v>0.820102108942803</v>
      </c>
      <c r="Q296" s="54" t="n">
        <f aca="true">RAND()</f>
        <v>0.325280965737437</v>
      </c>
      <c r="R296" s="54" t="n">
        <f aca="true">RAND()</f>
        <v>0.88835035078915</v>
      </c>
      <c r="S296" s="54" t="n">
        <f aca="true">RAND()</f>
        <v>0.461119523806948</v>
      </c>
      <c r="T296" s="54" t="n">
        <f aca="true">RAND()</f>
        <v>0.761827254612832</v>
      </c>
      <c r="U296" s="54" t="n">
        <f aca="true">RAND()</f>
        <v>0.185416229401031</v>
      </c>
    </row>
    <row r="297" customFormat="false" ht="15" hidden="false" customHeight="false" outlineLevel="0" collapsed="false">
      <c r="A297" s="50" t="n">
        <v>217</v>
      </c>
      <c r="B297" s="51" t="n">
        <f aca="false">1+IF($G$6=$E$6,$F$6,IF(P297&lt;($F$6-$E$6)/($G$6-$E$6),$E$6+SQRT(P297*($G$6-$E$6)*($F$6-$E$6)),$G$6-SQRT((1-P297)*($G$6-$E$6)*($G$6-$F$6))))</f>
        <v>0.981812389452586</v>
      </c>
      <c r="C297" s="51" t="n">
        <f aca="false">1+IF($G$7=$E$7,$F$7,IF(Q297&lt;($F$7-$E$7)/($G$7-$E$7),$E$7+SQRT(Q297*($G$7-$E$7)*($F$7-$E$7)),$G$7-SQRT((1-Q297)*($G$7-$E$7)*($G$7-$F$7))))</f>
        <v>1.02057311095774</v>
      </c>
      <c r="D297" s="51" t="n">
        <f aca="false">1+IF($G$8=$E$8,$F$8,IF(R297&lt;($F$8-$E$8)/($G$8-$E$8),$E$8+SQRT(R297*($G$8-$E$8)*($F$8-$E$8)),$G$8-SQRT((1-R297)*($G$8-$E$8)*($G$8-$F$8))))</f>
        <v>0.996368474589188</v>
      </c>
      <c r="E297" s="51" t="n">
        <f aca="false">1+IF($G$9=$E$9,$F$9,IF(S297&lt;($F$9-$E$9)/($G$9-$E$9),$E$9+SQRT(S297*($G$9-$E$9)*($F$9-$E$9)),$G$9-SQRT((1-S297)*($G$9-$E$9)*($G$9-$F$9))))</f>
        <v>0.955143006115757</v>
      </c>
      <c r="F297" s="51" t="n">
        <f aca="false">1+IF($G$10=$E$10,$F$10,IF(T297&lt;($F$10-$E$10)/($G$10-$E$10),$E$10+SQRT(T297*($G$10-$E$10)*($F$10-$E$10)),$G$10-SQRT((1-T297)*($G$10-$E$10)*($G$10-$F$10))))</f>
        <v>1.02030561549761</v>
      </c>
      <c r="G297" s="52" t="n">
        <f aca="false">IF($G$11=$E$11,$F$11,IF(U297&lt;($F$11-$E$11)/($G$11-$E$11),$E$11+SQRT(U297*($G$11-$E$11)*($F$11-$E$11)),$G$11-SQRT((1-U297)*($G$11-$E$11)*($G$11-$F$11))))</f>
        <v>0.101891012472836</v>
      </c>
      <c r="H297" s="53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-2040611230.99522</v>
      </c>
      <c r="I297" s="53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10368765.6166196</v>
      </c>
      <c r="J297" s="53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310533695.324097</v>
      </c>
      <c r="K297" s="53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661713905.806455</v>
      </c>
      <c r="L297" s="53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796398393.756571</v>
      </c>
      <c r="M297" s="53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986860706.351836</v>
      </c>
      <c r="N297" s="53" t="n">
        <f aca="false">IF(COUNT('Business Case'!B11:G11)=0,"",H297+NPV(G297,I297:M297))</f>
        <v>-133092378.376584</v>
      </c>
      <c r="P297" s="54" t="n">
        <f aca="true">RAND()</f>
        <v>0.446217804529439</v>
      </c>
      <c r="Q297" s="54" t="n">
        <f aca="true">RAND()</f>
        <v>0.751832302116193</v>
      </c>
      <c r="R297" s="54" t="n">
        <f aca="true">RAND()</f>
        <v>0.286671391430424</v>
      </c>
      <c r="S297" s="54" t="n">
        <f aca="true">RAND()</f>
        <v>0.121630044939294</v>
      </c>
      <c r="T297" s="54" t="n">
        <f aca="true">RAND()</f>
        <v>0.296539863040911</v>
      </c>
      <c r="U297" s="54" t="n">
        <f aca="true">RAND()</f>
        <v>0.473256546798489</v>
      </c>
    </row>
    <row r="298" customFormat="false" ht="15" hidden="false" customHeight="false" outlineLevel="0" collapsed="false">
      <c r="A298" s="50" t="n">
        <v>218</v>
      </c>
      <c r="B298" s="51" t="n">
        <f aca="false">1+IF($G$6=$E$6,$F$6,IF(P298&lt;($F$6-$E$6)/($G$6-$E$6),$E$6+SQRT(P298*($G$6-$E$6)*($F$6-$E$6)),$G$6-SQRT((1-P298)*($G$6-$E$6)*($G$6-$F$6))))</f>
        <v>0.966573639794866</v>
      </c>
      <c r="C298" s="51" t="n">
        <f aca="false">1+IF($G$7=$E$7,$F$7,IF(Q298&lt;($F$7-$E$7)/($G$7-$E$7),$E$7+SQRT(Q298*($G$7-$E$7)*($F$7-$E$7)),$G$7-SQRT((1-Q298)*($G$7-$E$7)*($G$7-$F$7))))</f>
        <v>0.850418264036685</v>
      </c>
      <c r="D298" s="51" t="n">
        <f aca="false">1+IF($G$8=$E$8,$F$8,IF(R298&lt;($F$8-$E$8)/($G$8-$E$8),$E$8+SQRT(R298*($G$8-$E$8)*($F$8-$E$8)),$G$8-SQRT((1-R298)*($G$8-$E$8)*($G$8-$F$8))))</f>
        <v>1.0119287718167</v>
      </c>
      <c r="E298" s="51" t="n">
        <f aca="false">1+IF($G$9=$E$9,$F$9,IF(S298&lt;($F$9-$E$9)/($G$9-$E$9),$E$9+SQRT(S298*($G$9-$E$9)*($F$9-$E$9)),$G$9-SQRT((1-S298)*($G$9-$E$9)*($G$9-$F$9))))</f>
        <v>1.03142217798981</v>
      </c>
      <c r="F298" s="51" t="n">
        <f aca="false">1+IF($G$10=$E$10,$F$10,IF(T298&lt;($F$10-$E$10)/($G$10-$E$10),$E$10+SQRT(T298*($G$10-$E$10)*($F$10-$E$10)),$G$10-SQRT((1-T298)*($G$10-$E$10)*($G$10-$F$10))))</f>
        <v>1.06221535867326</v>
      </c>
      <c r="G298" s="52" t="n">
        <f aca="false">IF($G$11=$E$11,$F$11,IF(U298&lt;($F$11-$E$11)/($G$11-$E$11),$E$11+SQRT(U298*($G$11-$E$11)*($F$11-$E$11)),$G$11-SQRT((1-U298)*($G$11-$E$11)*($G$11-$F$11))))</f>
        <v>0.101179517220893</v>
      </c>
      <c r="H298" s="53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-2124430717.34652</v>
      </c>
      <c r="I298" s="53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-62770560.1679687</v>
      </c>
      <c r="J298" s="53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169960708.135783</v>
      </c>
      <c r="K298" s="53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455802744.373197</v>
      </c>
      <c r="L298" s="53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561787873.070609</v>
      </c>
      <c r="M298" s="53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718032089.016169</v>
      </c>
      <c r="N298" s="53" t="n">
        <f aca="false">IF(COUNT('Business Case'!B11:G11)=0,"",H298+NPV(G298,I298:M298))</f>
        <v>-874392962.813468</v>
      </c>
      <c r="P298" s="54" t="n">
        <f aca="true">RAND()</f>
        <v>0.295469967702437</v>
      </c>
      <c r="Q298" s="54" t="n">
        <f aca="true">RAND()</f>
        <v>0.167597438191185</v>
      </c>
      <c r="R298" s="54" t="n">
        <f aca="true">RAND()</f>
        <v>0.482897251085716</v>
      </c>
      <c r="S298" s="54" t="n">
        <f aca="true">RAND()</f>
        <v>0.62504800339517</v>
      </c>
      <c r="T298" s="54" t="n">
        <f aca="true">RAND()</f>
        <v>0.529825713090499</v>
      </c>
      <c r="U298" s="54" t="n">
        <f aca="true">RAND()</f>
        <v>0.446253181586138</v>
      </c>
    </row>
    <row r="299" customFormat="false" ht="15" hidden="false" customHeight="false" outlineLevel="0" collapsed="false">
      <c r="A299" s="50" t="n">
        <v>219</v>
      </c>
      <c r="B299" s="51" t="n">
        <f aca="false">1+IF($G$6=$E$6,$F$6,IF(P299&lt;($F$6-$E$6)/($G$6-$E$6),$E$6+SQRT(P299*($G$6-$E$6)*($F$6-$E$6)),$G$6-SQRT((1-P299)*($G$6-$E$6)*($G$6-$F$6))))</f>
        <v>0.999756903562104</v>
      </c>
      <c r="C299" s="51" t="n">
        <f aca="false">1+IF($G$7=$E$7,$F$7,IF(Q299&lt;($F$7-$E$7)/($G$7-$E$7),$E$7+SQRT(Q299*($G$7-$E$7)*($F$7-$E$7)),$G$7-SQRT((1-Q299)*($G$7-$E$7)*($G$7-$F$7))))</f>
        <v>0.767948567312822</v>
      </c>
      <c r="D299" s="51" t="n">
        <f aca="false">1+IF($G$8=$E$8,$F$8,IF(R299&lt;($F$8-$E$8)/($G$8-$E$8),$E$8+SQRT(R299*($G$8-$E$8)*($F$8-$E$8)),$G$8-SQRT((1-R299)*($G$8-$E$8)*($G$8-$F$8))))</f>
        <v>0.979697568266007</v>
      </c>
      <c r="E299" s="51" t="n">
        <f aca="false">1+IF($G$9=$E$9,$F$9,IF(S299&lt;($F$9-$E$9)/($G$9-$E$9),$E$9+SQRT(S299*($G$9-$E$9)*($F$9-$E$9)),$G$9-SQRT((1-S299)*($G$9-$E$9)*($G$9-$F$9))))</f>
        <v>1.04037696990803</v>
      </c>
      <c r="F299" s="51" t="n">
        <f aca="false">1+IF($G$10=$E$10,$F$10,IF(T299&lt;($F$10-$E$10)/($G$10-$E$10),$E$10+SQRT(T299*($G$10-$E$10)*($F$10-$E$10)),$G$10-SQRT((1-T299)*($G$10-$E$10)*($G$10-$F$10))))</f>
        <v>0.976903524805109</v>
      </c>
      <c r="G299" s="52" t="n">
        <f aca="false">IF($G$11=$E$11,$F$11,IF(U299&lt;($F$11-$E$11)/($G$11-$E$11),$E$11+SQRT(U299*($G$11-$E$11)*($F$11-$E$11)),$G$11-SQRT((1-U299)*($G$11-$E$11)*($G$11-$F$11))))</f>
        <v>0.098400813287095</v>
      </c>
      <c r="H299" s="53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-1953807049.61022</v>
      </c>
      <c r="I299" s="53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-41727245.0561227</v>
      </c>
      <c r="J299" s="53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201978243.439192</v>
      </c>
      <c r="K299" s="53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494528908.174762</v>
      </c>
      <c r="L299" s="53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602297921.63987</v>
      </c>
      <c r="M299" s="53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748234100.123218</v>
      </c>
      <c r="N299" s="53" t="n">
        <f aca="false">IF(COUNT('Business Case'!B11:G11)=0,"",H299+NPV(G299,I299:M299))</f>
        <v>-569448479.492051</v>
      </c>
      <c r="P299" s="54" t="n">
        <f aca="true">RAND()</f>
        <v>0.663429320553255</v>
      </c>
      <c r="Q299" s="54" t="n">
        <f aca="true">RAND()</f>
        <v>0.0342000577767781</v>
      </c>
      <c r="R299" s="54" t="n">
        <f aca="true">RAND()</f>
        <v>0.117592741455221</v>
      </c>
      <c r="S299" s="54" t="n">
        <f aca="true">RAND()</f>
        <v>0.679541100625484</v>
      </c>
      <c r="T299" s="54" t="n">
        <f aca="true">RAND()</f>
        <v>0.0482533097959393</v>
      </c>
      <c r="U299" s="54" t="n">
        <f aca="true">RAND()</f>
        <v>0.338589929626532</v>
      </c>
    </row>
    <row r="300" customFormat="false" ht="15" hidden="false" customHeight="false" outlineLevel="0" collapsed="false">
      <c r="A300" s="50" t="n">
        <v>220</v>
      </c>
      <c r="B300" s="51" t="n">
        <f aca="false">1+IF($G$6=$E$6,$F$6,IF(P300&lt;($F$6-$E$6)/($G$6-$E$6),$E$6+SQRT(P300*($G$6-$E$6)*($F$6-$E$6)),$G$6-SQRT((1-P300)*($G$6-$E$6)*($G$6-$F$6))))</f>
        <v>1.01125945796417</v>
      </c>
      <c r="C300" s="51" t="n">
        <f aca="false">1+IF($G$7=$E$7,$F$7,IF(Q300&lt;($F$7-$E$7)/($G$7-$E$7),$E$7+SQRT(Q300*($G$7-$E$7)*($F$7-$E$7)),$G$7-SQRT((1-Q300)*($G$7-$E$7)*($G$7-$F$7))))</f>
        <v>0.859901060596003</v>
      </c>
      <c r="D300" s="51" t="n">
        <f aca="false">1+IF($G$8=$E$8,$F$8,IF(R300&lt;($F$8-$E$8)/($G$8-$E$8),$E$8+SQRT(R300*($G$8-$E$8)*($F$8-$E$8)),$G$8-SQRT((1-R300)*($G$8-$E$8)*($G$8-$F$8))))</f>
        <v>1.07738976131811</v>
      </c>
      <c r="E300" s="51" t="n">
        <f aca="false">1+IF($G$9=$E$9,$F$9,IF(S300&lt;($F$9-$E$9)/($G$9-$E$9),$E$9+SQRT(S300*($G$9-$E$9)*($F$9-$E$9)),$G$9-SQRT((1-S300)*($G$9-$E$9)*($G$9-$F$9))))</f>
        <v>0.995570298193372</v>
      </c>
      <c r="F300" s="51" t="n">
        <f aca="false">1+IF($G$10=$E$10,$F$10,IF(T300&lt;($F$10-$E$10)/($G$10-$E$10),$E$10+SQRT(T300*($G$10-$E$10)*($F$10-$E$10)),$G$10-SQRT((1-T300)*($G$10-$E$10)*($G$10-$F$10))))</f>
        <v>0.974701685465734</v>
      </c>
      <c r="G300" s="52" t="n">
        <f aca="false">IF($G$11=$E$11,$F$11,IF(U300&lt;($F$11-$E$11)/($G$11-$E$11),$E$11+SQRT(U300*($G$11-$E$11)*($F$11-$E$11)),$G$11-SQRT((1-U300)*($G$11-$E$11)*($G$11-$F$11))))</f>
        <v>0.0859865829003313</v>
      </c>
      <c r="H300" s="53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-1949403370.93147</v>
      </c>
      <c r="I300" s="53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-46135865.4863397</v>
      </c>
      <c r="J300" s="53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191847720.86706</v>
      </c>
      <c r="K300" s="53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478566391.493746</v>
      </c>
      <c r="L300" s="53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587947044.871591</v>
      </c>
      <c r="M300" s="53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753237396.80184</v>
      </c>
      <c r="N300" s="53" t="n">
        <f aca="false">IF(COUNT('Business Case'!B11:G11)=0,"",H300+NPV(G300,I300:M300))</f>
        <v>-534189185.874075</v>
      </c>
      <c r="P300" s="54" t="n">
        <f aca="true">RAND()</f>
        <v>0.799889387035976</v>
      </c>
      <c r="Q300" s="54" t="n">
        <f aca="true">RAND()</f>
        <v>0.189395179109087</v>
      </c>
      <c r="R300" s="54" t="n">
        <f aca="true">RAND()</f>
        <v>0.965918473783184</v>
      </c>
      <c r="S300" s="54" t="n">
        <f aca="true">RAND()</f>
        <v>0.365347275870804</v>
      </c>
      <c r="T300" s="54" t="n">
        <f aca="true">RAND()</f>
        <v>0.0406782176565374</v>
      </c>
      <c r="U300" s="54" t="n">
        <f aca="true">RAND()</f>
        <v>0.0358391748225395</v>
      </c>
    </row>
    <row r="301" customFormat="false" ht="15" hidden="false" customHeight="false" outlineLevel="0" collapsed="false">
      <c r="A301" s="50" t="n">
        <v>221</v>
      </c>
      <c r="B301" s="51" t="n">
        <f aca="false">1+IF($G$6=$E$6,$F$6,IF(P301&lt;($F$6-$E$6)/($G$6-$E$6),$E$6+SQRT(P301*($G$6-$E$6)*($F$6-$E$6)),$G$6-SQRT((1-P301)*($G$6-$E$6)*($G$6-$F$6))))</f>
        <v>0.975864656169202</v>
      </c>
      <c r="C301" s="51" t="n">
        <f aca="false">1+IF($G$7=$E$7,$F$7,IF(Q301&lt;($F$7-$E$7)/($G$7-$E$7),$E$7+SQRT(Q301*($G$7-$E$7)*($F$7-$E$7)),$G$7-SQRT((1-Q301)*($G$7-$E$7)*($G$7-$F$7))))</f>
        <v>1.02640259818342</v>
      </c>
      <c r="D301" s="51" t="n">
        <f aca="false">1+IF($G$8=$E$8,$F$8,IF(R301&lt;($F$8-$E$8)/($G$8-$E$8),$E$8+SQRT(R301*($G$8-$E$8)*($F$8-$E$8)),$G$8-SQRT((1-R301)*($G$8-$E$8)*($G$8-$F$8))))</f>
        <v>0.983779010242619</v>
      </c>
      <c r="E301" s="51" t="n">
        <f aca="false">1+IF($G$9=$E$9,$F$9,IF(S301&lt;($F$9-$E$9)/($G$9-$E$9),$E$9+SQRT(S301*($G$9-$E$9)*($F$9-$E$9)),$G$9-SQRT((1-S301)*($G$9-$E$9)*($G$9-$F$9))))</f>
        <v>0.911169511280861</v>
      </c>
      <c r="F301" s="51" t="n">
        <f aca="false">1+IF($G$10=$E$10,$F$10,IF(T301&lt;($F$10-$E$10)/($G$10-$E$10),$E$10+SQRT(T301*($G$10-$E$10)*($F$10-$E$10)),$G$10-SQRT((1-T301)*($G$10-$E$10)*($G$10-$F$10))))</f>
        <v>0.975395225780112</v>
      </c>
      <c r="G301" s="52" t="n">
        <f aca="false">IF($G$11=$E$11,$F$11,IF(U301&lt;($F$11-$E$11)/($G$11-$E$11),$E$11+SQRT(U301*($G$11-$E$11)*($F$11-$E$11)),$G$11-SQRT((1-U301)*($G$11-$E$11)*($G$11-$F$11))))</f>
        <v>0.111531822630308</v>
      </c>
      <c r="H301" s="53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-1950790451.56022</v>
      </c>
      <c r="I301" s="53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24461849.5284707</v>
      </c>
      <c r="J301" s="53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327956026.301627</v>
      </c>
      <c r="K301" s="53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680219964.363789</v>
      </c>
      <c r="L301" s="53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816001023.396532</v>
      </c>
      <c r="M301" s="53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1006390857.32583</v>
      </c>
      <c r="N301" s="53" t="n">
        <f aca="false">IF(COUNT('Business Case'!B11:G11)=0,"",H301+NPV(G301,I301:M301))</f>
        <v>-40314164.2350931</v>
      </c>
      <c r="P301" s="54" t="n">
        <f aca="true">RAND()</f>
        <v>0.383696403711411</v>
      </c>
      <c r="Q301" s="54" t="n">
        <f aca="true">RAND()</f>
        <v>0.773684181691718</v>
      </c>
      <c r="R301" s="54" t="n">
        <f aca="true">RAND()</f>
        <v>0.152136204396125</v>
      </c>
      <c r="S301" s="54" t="n">
        <f aca="true">RAND()</f>
        <v>0.00499031929013108</v>
      </c>
      <c r="T301" s="54" t="n">
        <f aca="true">RAND()</f>
        <v>0.0429944994948574</v>
      </c>
      <c r="U301" s="54" t="n">
        <f aca="true">RAND()</f>
        <v>0.772617616427739</v>
      </c>
    </row>
    <row r="302" customFormat="false" ht="15" hidden="false" customHeight="false" outlineLevel="0" collapsed="false">
      <c r="A302" s="50" t="n">
        <v>222</v>
      </c>
      <c r="B302" s="51" t="n">
        <f aca="false">1+IF($G$6=$E$6,$F$6,IF(P302&lt;($F$6-$E$6)/($G$6-$E$6),$E$6+SQRT(P302*($G$6-$E$6)*($F$6-$E$6)),$G$6-SQRT((1-P302)*($G$6-$E$6)*($G$6-$F$6))))</f>
        <v>0.961337132748836</v>
      </c>
      <c r="C302" s="51" t="n">
        <f aca="false">1+IF($G$7=$E$7,$F$7,IF(Q302&lt;($F$7-$E$7)/($G$7-$E$7),$E$7+SQRT(Q302*($G$7-$E$7)*($F$7-$E$7)),$G$7-SQRT((1-Q302)*($G$7-$E$7)*($G$7-$F$7))))</f>
        <v>0.736315575251177</v>
      </c>
      <c r="D302" s="51" t="n">
        <f aca="false">1+IF($G$8=$E$8,$F$8,IF(R302&lt;($F$8-$E$8)/($G$8-$E$8),$E$8+SQRT(R302*($G$8-$E$8)*($F$8-$E$8)),$G$8-SQRT((1-R302)*($G$8-$E$8)*($G$8-$F$8))))</f>
        <v>0.988315764177707</v>
      </c>
      <c r="E302" s="51" t="n">
        <f aca="false">1+IF($G$9=$E$9,$F$9,IF(S302&lt;($F$9-$E$9)/($G$9-$E$9),$E$9+SQRT(S302*($G$9-$E$9)*($F$9-$E$9)),$G$9-SQRT((1-S302)*($G$9-$E$9)*($G$9-$F$9))))</f>
        <v>0.943176997376886</v>
      </c>
      <c r="F302" s="51" t="n">
        <f aca="false">1+IF($G$10=$E$10,$F$10,IF(T302&lt;($F$10-$E$10)/($G$10-$E$10),$E$10+SQRT(T302*($G$10-$E$10)*($F$10-$E$10)),$G$10-SQRT((1-T302)*($G$10-$E$10)*($G$10-$F$10))))</f>
        <v>1.01977538948068</v>
      </c>
      <c r="G302" s="52" t="n">
        <f aca="false">IF($G$11=$E$11,$F$11,IF(U302&lt;($F$11-$E$11)/($G$11-$E$11),$E$11+SQRT(U302*($G$11-$E$11)*($F$11-$E$11)),$G$11-SQRT((1-U302)*($G$11-$E$11)*($G$11-$F$11))))</f>
        <v>0.109721713011963</v>
      </c>
      <c r="H302" s="53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-2039550778.96136</v>
      </c>
      <c r="I302" s="53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-65544527.572059</v>
      </c>
      <c r="J302" s="53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141703067.433652</v>
      </c>
      <c r="K302" s="53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399939431.913397</v>
      </c>
      <c r="L302" s="53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493485173.317106</v>
      </c>
      <c r="M302" s="53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628032826.860372</v>
      </c>
      <c r="N302" s="53" t="n">
        <f aca="false">IF(COUNT('Business Case'!B11:G11)=0,"",H302+NPV(G302,I302:M302))</f>
        <v>-992320669.806036</v>
      </c>
      <c r="P302" s="54" t="n">
        <f aca="true">RAND()</f>
        <v>0.250816256923221</v>
      </c>
      <c r="Q302" s="54" t="n">
        <f aca="true">RAND()</f>
        <v>0.00976904448758438</v>
      </c>
      <c r="R302" s="54" t="n">
        <f aca="true">RAND()</f>
        <v>0.195746371269555</v>
      </c>
      <c r="S302" s="54" t="n">
        <f aca="true">RAND()</f>
        <v>0.0745701240993446</v>
      </c>
      <c r="T302" s="54" t="n">
        <f aca="true">RAND()</f>
        <v>0.293288382816367</v>
      </c>
      <c r="U302" s="54" t="n">
        <f aca="true">RAND()</f>
        <v>0.725860717887211</v>
      </c>
    </row>
    <row r="303" customFormat="false" ht="15" hidden="false" customHeight="false" outlineLevel="0" collapsed="false">
      <c r="A303" s="50" t="n">
        <v>223</v>
      </c>
      <c r="B303" s="51" t="n">
        <f aca="false">1+IF($G$6=$E$6,$F$6,IF(P303&lt;($F$6-$E$6)/($G$6-$E$6),$E$6+SQRT(P303*($G$6-$E$6)*($F$6-$E$6)),$G$6-SQRT((1-P303)*($G$6-$E$6)*($G$6-$F$6))))</f>
        <v>0.988852967203214</v>
      </c>
      <c r="C303" s="51" t="n">
        <f aca="false">1+IF($G$7=$E$7,$F$7,IF(Q303&lt;($F$7-$E$7)/($G$7-$E$7),$E$7+SQRT(Q303*($G$7-$E$7)*($F$7-$E$7)),$G$7-SQRT((1-Q303)*($G$7-$E$7)*($G$7-$F$7))))</f>
        <v>0.858165479352022</v>
      </c>
      <c r="D303" s="51" t="n">
        <f aca="false">1+IF($G$8=$E$8,$F$8,IF(R303&lt;($F$8-$E$8)/($G$8-$E$8),$E$8+SQRT(R303*($G$8-$E$8)*($F$8-$E$8)),$G$8-SQRT((1-R303)*($G$8-$E$8)*($G$8-$F$8))))</f>
        <v>1.00084354868626</v>
      </c>
      <c r="E303" s="51" t="n">
        <f aca="false">1+IF($G$9=$E$9,$F$9,IF(S303&lt;($F$9-$E$9)/($G$9-$E$9),$E$9+SQRT(S303*($G$9-$E$9)*($F$9-$E$9)),$G$9-SQRT((1-S303)*($G$9-$E$9)*($G$9-$F$9))))</f>
        <v>1.05911238679526</v>
      </c>
      <c r="F303" s="51" t="n">
        <f aca="false">1+IF($G$10=$E$10,$F$10,IF(T303&lt;($F$10-$E$10)/($G$10-$E$10),$E$10+SQRT(T303*($G$10-$E$10)*($F$10-$E$10)),$G$10-SQRT((1-T303)*($G$10-$E$10)*($G$10-$F$10))))</f>
        <v>0.959864929927386</v>
      </c>
      <c r="G303" s="52" t="n">
        <f aca="false">IF($G$11=$E$11,$F$11,IF(U303&lt;($F$11-$E$11)/($G$11-$E$11),$E$11+SQRT(U303*($G$11-$E$11)*($F$11-$E$11)),$G$11-SQRT((1-U303)*($G$11-$E$11)*($G$11-$F$11))))</f>
        <v>0.0906817258422921</v>
      </c>
      <c r="H303" s="53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-1919729859.85477</v>
      </c>
      <c r="I303" s="53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-35202250.999955</v>
      </c>
      <c r="J303" s="53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220179169.469865</v>
      </c>
      <c r="K303" s="53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523553836.436055</v>
      </c>
      <c r="L303" s="53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638008574.642495</v>
      </c>
      <c r="M303" s="53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799310363.916581</v>
      </c>
      <c r="N303" s="53" t="n">
        <f aca="false">IF(COUNT('Business Case'!B11:G11)=0,"",H303+NPV(G303,I303:M303))</f>
        <v>-394666735.112932</v>
      </c>
      <c r="P303" s="54" t="n">
        <f aca="true">RAND()</f>
        <v>0.526323318721023</v>
      </c>
      <c r="Q303" s="54" t="n">
        <f aca="true">RAND()</f>
        <v>0.185306065619666</v>
      </c>
      <c r="R303" s="54" t="n">
        <f aca="true">RAND()</f>
        <v>0.344533210857677</v>
      </c>
      <c r="S303" s="54" t="n">
        <f aca="true">RAND()</f>
        <v>0.77971844709188</v>
      </c>
      <c r="T303" s="54" t="n">
        <f aca="true">RAND()</f>
        <v>0.00648778949814952</v>
      </c>
      <c r="U303" s="54" t="n">
        <f aca="true">RAND()</f>
        <v>0.11409926696989</v>
      </c>
    </row>
    <row r="304" customFormat="false" ht="15" hidden="false" customHeight="false" outlineLevel="0" collapsed="false">
      <c r="A304" s="50" t="n">
        <v>224</v>
      </c>
      <c r="B304" s="51" t="n">
        <f aca="false">1+IF($G$6=$E$6,$F$6,IF(P304&lt;($F$6-$E$6)/($G$6-$E$6),$E$6+SQRT(P304*($G$6-$E$6)*($F$6-$E$6)),$G$6-SQRT((1-P304)*($G$6-$E$6)*($G$6-$F$6))))</f>
        <v>1.03101397207263</v>
      </c>
      <c r="C304" s="51" t="n">
        <f aca="false">1+IF($G$7=$E$7,$F$7,IF(Q304&lt;($F$7-$E$7)/($G$7-$E$7),$E$7+SQRT(Q304*($G$7-$E$7)*($F$7-$E$7)),$G$7-SQRT((1-Q304)*($G$7-$E$7)*($G$7-$F$7))))</f>
        <v>1.05307583567267</v>
      </c>
      <c r="D304" s="51" t="n">
        <f aca="false">1+IF($G$8=$E$8,$F$8,IF(R304&lt;($F$8-$E$8)/($G$8-$E$8),$E$8+SQRT(R304*($G$8-$E$8)*($F$8-$E$8)),$G$8-SQRT((1-R304)*($G$8-$E$8)*($G$8-$F$8))))</f>
        <v>1.00628042279919</v>
      </c>
      <c r="E304" s="51" t="n">
        <f aca="false">1+IF($G$9=$E$9,$F$9,IF(S304&lt;($F$9-$E$9)/($G$9-$E$9),$E$9+SQRT(S304*($G$9-$E$9)*($F$9-$E$9)),$G$9-SQRT((1-S304)*($G$9-$E$9)*($G$9-$F$9))))</f>
        <v>0.972933657550204</v>
      </c>
      <c r="F304" s="51" t="n">
        <f aca="false">1+IF($G$10=$E$10,$F$10,IF(T304&lt;($F$10-$E$10)/($G$10-$E$10),$E$10+SQRT(T304*($G$10-$E$10)*($F$10-$E$10)),$G$10-SQRT((1-T304)*($G$10-$E$10)*($G$10-$F$10))))</f>
        <v>1.15265229257392</v>
      </c>
      <c r="G304" s="52" t="n">
        <f aca="false">IF($G$11=$E$11,$F$11,IF(U304&lt;($F$11-$E$11)/($G$11-$E$11),$E$11+SQRT(U304*($G$11-$E$11)*($F$11-$E$11)),$G$11-SQRT((1-U304)*($G$11-$E$11)*($G$11-$F$11))))</f>
        <v>0.109552995520785</v>
      </c>
      <c r="H304" s="53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-2305304585.14784</v>
      </c>
      <c r="I304" s="53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36918632.2663749</v>
      </c>
      <c r="J304" s="53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383738208.961734</v>
      </c>
      <c r="K304" s="53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788190400.285789</v>
      </c>
      <c r="L304" s="53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941319958.562877</v>
      </c>
      <c r="M304" s="53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1147696638.47871</v>
      </c>
      <c r="N304" s="53" t="n">
        <f aca="false">IF(COUNT('Business Case'!B11:G11)=0,"",H304+NPV(G304,I304:M304))</f>
        <v>-79763139.0226469</v>
      </c>
      <c r="P304" s="54" t="n">
        <f aca="true">RAND()</f>
        <v>0.95193743247213</v>
      </c>
      <c r="Q304" s="54" t="n">
        <f aca="true">RAND()</f>
        <v>0.860825279547384</v>
      </c>
      <c r="R304" s="54" t="n">
        <f aca="true">RAND()</f>
        <v>0.414442723286728</v>
      </c>
      <c r="S304" s="54" t="n">
        <f aca="true">RAND()</f>
        <v>0.212772736146018</v>
      </c>
      <c r="T304" s="54" t="n">
        <f aca="true">RAND()</f>
        <v>0.873645651451819</v>
      </c>
      <c r="U304" s="54" t="n">
        <f aca="true">RAND()</f>
        <v>0.72128000521797</v>
      </c>
    </row>
    <row r="305" customFormat="false" ht="15" hidden="false" customHeight="false" outlineLevel="0" collapsed="false">
      <c r="A305" s="50" t="n">
        <v>225</v>
      </c>
      <c r="B305" s="51" t="n">
        <f aca="false">1+IF($G$6=$E$6,$F$6,IF(P305&lt;($F$6-$E$6)/($G$6-$E$6),$E$6+SQRT(P305*($G$6-$E$6)*($F$6-$E$6)),$G$6-SQRT((1-P305)*($G$6-$E$6)*($G$6-$F$6))))</f>
        <v>1.00572556494188</v>
      </c>
      <c r="C305" s="51" t="n">
        <f aca="false">1+IF($G$7=$E$7,$F$7,IF(Q305&lt;($F$7-$E$7)/($G$7-$E$7),$E$7+SQRT(Q305*($G$7-$E$7)*($F$7-$E$7)),$G$7-SQRT((1-Q305)*($G$7-$E$7)*($G$7-$F$7))))</f>
        <v>0.970664802662251</v>
      </c>
      <c r="D305" s="51" t="n">
        <f aca="false">1+IF($G$8=$E$8,$F$8,IF(R305&lt;($F$8-$E$8)/($G$8-$E$8),$E$8+SQRT(R305*($G$8-$E$8)*($F$8-$E$8)),$G$8-SQRT((1-R305)*($G$8-$E$8)*($G$8-$F$8))))</f>
        <v>0.988750561685129</v>
      </c>
      <c r="E305" s="51" t="n">
        <f aca="false">1+IF($G$9=$E$9,$F$9,IF(S305&lt;($F$9-$E$9)/($G$9-$E$9),$E$9+SQRT(S305*($G$9-$E$9)*($F$9-$E$9)),$G$9-SQRT((1-S305)*($G$9-$E$9)*($G$9-$F$9))))</f>
        <v>1.00315208646158</v>
      </c>
      <c r="F305" s="51" t="n">
        <f aca="false">1+IF($G$10=$E$10,$F$10,IF(T305&lt;($F$10-$E$10)/($G$10-$E$10),$E$10+SQRT(T305*($G$10-$E$10)*($F$10-$E$10)),$G$10-SQRT((1-T305)*($G$10-$E$10)*($G$10-$F$10))))</f>
        <v>1.11558936558774</v>
      </c>
      <c r="G305" s="52" t="n">
        <f aca="false">IF($G$11=$E$11,$F$11,IF(U305&lt;($F$11-$E$11)/($G$11-$E$11),$E$11+SQRT(U305*($G$11-$E$11)*($F$11-$E$11)),$G$11-SQRT((1-U305)*($G$11-$E$11)*($G$11-$F$11))))</f>
        <v>0.089729441458165</v>
      </c>
      <c r="H305" s="53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-2231178731.17547</v>
      </c>
      <c r="I305" s="53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3469057.31757507</v>
      </c>
      <c r="J305" s="53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311752647.469024</v>
      </c>
      <c r="K305" s="53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675815705.89986</v>
      </c>
      <c r="L305" s="53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812315149.003853</v>
      </c>
      <c r="M305" s="53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997875504.131487</v>
      </c>
      <c r="N305" s="53" t="n">
        <f aca="false">IF(COUNT('Business Case'!B11:G11)=0,"",H305+NPV(G305,I305:M305))</f>
        <v>-217834151.08023</v>
      </c>
      <c r="P305" s="54" t="n">
        <f aca="true">RAND()</f>
        <v>0.738636586704609</v>
      </c>
      <c r="Q305" s="54" t="n">
        <f aca="true">RAND()</f>
        <v>0.542662484445892</v>
      </c>
      <c r="R305" s="54" t="n">
        <f aca="true">RAND()</f>
        <v>0.200214137455061</v>
      </c>
      <c r="S305" s="54" t="n">
        <f aca="true">RAND()</f>
        <v>0.42495174105101</v>
      </c>
      <c r="T305" s="54" t="n">
        <f aca="true">RAND()</f>
        <v>0.759117084758571</v>
      </c>
      <c r="U305" s="54" t="n">
        <f aca="true">RAND()</f>
        <v>0.0946620310878597</v>
      </c>
    </row>
    <row r="306" customFormat="false" ht="15" hidden="false" customHeight="false" outlineLevel="0" collapsed="false">
      <c r="A306" s="50" t="n">
        <v>226</v>
      </c>
      <c r="B306" s="51" t="n">
        <f aca="false">1+IF($G$6=$E$6,$F$6,IF(P306&lt;($F$6-$E$6)/($G$6-$E$6),$E$6+SQRT(P306*($G$6-$E$6)*($F$6-$E$6)),$G$6-SQRT((1-P306)*($G$6-$E$6)*($G$6-$F$6))))</f>
        <v>0.935273324869412</v>
      </c>
      <c r="C306" s="51" t="n">
        <f aca="false">1+IF($G$7=$E$7,$F$7,IF(Q306&lt;($F$7-$E$7)/($G$7-$E$7),$E$7+SQRT(Q306*($G$7-$E$7)*($F$7-$E$7)),$G$7-SQRT((1-Q306)*($G$7-$E$7)*($G$7-$F$7))))</f>
        <v>1.01466131255912</v>
      </c>
      <c r="D306" s="51" t="n">
        <f aca="false">1+IF($G$8=$E$8,$F$8,IF(R306&lt;($F$8-$E$8)/($G$8-$E$8),$E$8+SQRT(R306*($G$8-$E$8)*($F$8-$E$8)),$G$8-SQRT((1-R306)*($G$8-$E$8)*($G$8-$F$8))))</f>
        <v>1.00137294133128</v>
      </c>
      <c r="E306" s="51" t="n">
        <f aca="false">1+IF($G$9=$E$9,$F$9,IF(S306&lt;($F$9-$E$9)/($G$9-$E$9),$E$9+SQRT(S306*($G$9-$E$9)*($F$9-$E$9)),$G$9-SQRT((1-S306)*($G$9-$E$9)*($G$9-$F$9))))</f>
        <v>1.057621609988</v>
      </c>
      <c r="F306" s="51" t="n">
        <f aca="false">1+IF($G$10=$E$10,$F$10,IF(T306&lt;($F$10-$E$10)/($G$10-$E$10),$E$10+SQRT(T306*($G$10-$E$10)*($F$10-$E$10)),$G$10-SQRT((1-T306)*($G$10-$E$10)*($G$10-$F$10))))</f>
        <v>1.05526902858366</v>
      </c>
      <c r="G306" s="52" t="n">
        <f aca="false">IF($G$11=$E$11,$F$11,IF(U306&lt;($F$11-$E$11)/($G$11-$E$11),$E$11+SQRT(U306*($G$11-$E$11)*($F$11-$E$11)),$G$11-SQRT((1-U306)*($G$11-$E$11)*($G$11-$F$11))))</f>
        <v>0.0877920420977293</v>
      </c>
      <c r="H306" s="53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-2110538057.16732</v>
      </c>
      <c r="I306" s="53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-47967090.1071985</v>
      </c>
      <c r="J306" s="53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209181932.168259</v>
      </c>
      <c r="K306" s="53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519094405.8729</v>
      </c>
      <c r="L306" s="53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637607691.020718</v>
      </c>
      <c r="M306" s="53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817990885.162041</v>
      </c>
      <c r="N306" s="53" t="n">
        <f aca="false">IF(COUNT('Business Case'!B11:G11)=0,"",H306+NPV(G306,I306:M306))</f>
        <v>-582141005.787772</v>
      </c>
      <c r="P306" s="54" t="n">
        <f aca="true">RAND()</f>
        <v>0.0829471631562055</v>
      </c>
      <c r="Q306" s="54" t="n">
        <f aca="true">RAND()</f>
        <v>0.72864355084117</v>
      </c>
      <c r="R306" s="54" t="n">
        <f aca="true">RAND()</f>
        <v>0.351513553223817</v>
      </c>
      <c r="S306" s="54" t="n">
        <f aca="true">RAND()</f>
        <v>0.772432881567735</v>
      </c>
      <c r="T306" s="54" t="n">
        <f aca="true">RAND()</f>
        <v>0.494397983616646</v>
      </c>
      <c r="U306" s="54" t="n">
        <f aca="true">RAND()</f>
        <v>0.0607159200527855</v>
      </c>
    </row>
    <row r="307" customFormat="false" ht="15" hidden="false" customHeight="false" outlineLevel="0" collapsed="false">
      <c r="A307" s="50" t="n">
        <v>227</v>
      </c>
      <c r="B307" s="51" t="n">
        <f aca="false">1+IF($G$6=$E$6,$F$6,IF(P307&lt;($F$6-$E$6)/($G$6-$E$6),$E$6+SQRT(P307*($G$6-$E$6)*($F$6-$E$6)),$G$6-SQRT((1-P307)*($G$6-$E$6)*($G$6-$F$6))))</f>
        <v>1.0156636582804</v>
      </c>
      <c r="C307" s="51" t="n">
        <f aca="false">1+IF($G$7=$E$7,$F$7,IF(Q307&lt;($F$7-$E$7)/($G$7-$E$7),$E$7+SQRT(Q307*($G$7-$E$7)*($F$7-$E$7)),$G$7-SQRT((1-Q307)*($G$7-$E$7)*($G$7-$F$7))))</f>
        <v>1.04093250788323</v>
      </c>
      <c r="D307" s="51" t="n">
        <f aca="false">1+IF($G$8=$E$8,$F$8,IF(R307&lt;($F$8-$E$8)/($G$8-$E$8),$E$8+SQRT(R307*($G$8-$E$8)*($F$8-$E$8)),$G$8-SQRT((1-R307)*($G$8-$E$8)*($G$8-$F$8))))</f>
        <v>0.999239284292844</v>
      </c>
      <c r="E307" s="51" t="n">
        <f aca="false">1+IF($G$9=$E$9,$F$9,IF(S307&lt;($F$9-$E$9)/($G$9-$E$9),$E$9+SQRT(S307*($G$9-$E$9)*($F$9-$E$9)),$G$9-SQRT((1-S307)*($G$9-$E$9)*($G$9-$F$9))))</f>
        <v>1.02735898414225</v>
      </c>
      <c r="F307" s="51" t="n">
        <f aca="false">1+IF($G$10=$E$10,$F$10,IF(T307&lt;($F$10-$E$10)/($G$10-$E$10),$E$10+SQRT(T307*($G$10-$E$10)*($F$10-$E$10)),$G$10-SQRT((1-T307)*($G$10-$E$10)*($G$10-$F$10))))</f>
        <v>1.06763267245459</v>
      </c>
      <c r="G307" s="52" t="n">
        <f aca="false">IF($G$11=$E$11,$F$11,IF(U307&lt;($F$11-$E$11)/($G$11-$E$11),$E$11+SQRT(U307*($G$11-$E$11)*($F$11-$E$11)),$G$11-SQRT((1-U307)*($G$11-$E$11)*($G$11-$F$11))))</f>
        <v>0.123924360272106</v>
      </c>
      <c r="H307" s="53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-2135265344.90918</v>
      </c>
      <c r="I307" s="53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25823784.2399697</v>
      </c>
      <c r="J307" s="53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359308465.886332</v>
      </c>
      <c r="K307" s="53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746174781.155424</v>
      </c>
      <c r="L307" s="53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893874463.448149</v>
      </c>
      <c r="M307" s="53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1094834133.03981</v>
      </c>
      <c r="N307" s="53" t="n">
        <f aca="false">IF(COUNT('Business Case'!B11:G11)=0,"",H307+NPV(G307,I307:M307))</f>
        <v>-131629937.84727</v>
      </c>
      <c r="P307" s="54" t="n">
        <f aca="true">RAND()</f>
        <v>0.842802084975324</v>
      </c>
      <c r="Q307" s="54" t="n">
        <f aca="true">RAND()</f>
        <v>0.823767143160849</v>
      </c>
      <c r="R307" s="54" t="n">
        <f aca="true">RAND()</f>
        <v>0.323267615689528</v>
      </c>
      <c r="S307" s="54" t="n">
        <f aca="true">RAND()</f>
        <v>0.598911499450088</v>
      </c>
      <c r="T307" s="54" t="n">
        <f aca="true">RAND()</f>
        <v>0.556562104585943</v>
      </c>
      <c r="U307" s="54" t="n">
        <f aca="true">RAND()</f>
        <v>0.975391067931222</v>
      </c>
    </row>
    <row r="308" customFormat="false" ht="15" hidden="false" customHeight="false" outlineLevel="0" collapsed="false">
      <c r="A308" s="50" t="n">
        <v>228</v>
      </c>
      <c r="B308" s="51" t="n">
        <f aca="false">1+IF($G$6=$E$6,$F$6,IF(P308&lt;($F$6-$E$6)/($G$6-$E$6),$E$6+SQRT(P308*($G$6-$E$6)*($F$6-$E$6)),$G$6-SQRT((1-P308)*($G$6-$E$6)*($G$6-$F$6))))</f>
        <v>0.977363934421429</v>
      </c>
      <c r="C308" s="51" t="n">
        <f aca="false">1+IF($G$7=$E$7,$F$7,IF(Q308&lt;($F$7-$E$7)/($G$7-$E$7),$E$7+SQRT(Q308*($G$7-$E$7)*($F$7-$E$7)),$G$7-SQRT((1-Q308)*($G$7-$E$7)*($G$7-$F$7))))</f>
        <v>0.831384738478378</v>
      </c>
      <c r="D308" s="51" t="n">
        <f aca="false">1+IF($G$8=$E$8,$F$8,IF(R308&lt;($F$8-$E$8)/($G$8-$E$8),$E$8+SQRT(R308*($G$8-$E$8)*($F$8-$E$8)),$G$8-SQRT((1-R308)*($G$8-$E$8)*($G$8-$F$8))))</f>
        <v>1.0374981657194</v>
      </c>
      <c r="E308" s="51" t="n">
        <f aca="false">1+IF($G$9=$E$9,$F$9,IF(S308&lt;($F$9-$E$9)/($G$9-$E$9),$E$9+SQRT(S308*($G$9-$E$9)*($F$9-$E$9)),$G$9-SQRT((1-S308)*($G$9-$E$9)*($G$9-$F$9))))</f>
        <v>1.03264807053312</v>
      </c>
      <c r="F308" s="51" t="n">
        <f aca="false">1+IF($G$10=$E$10,$F$10,IF(T308&lt;($F$10-$E$10)/($G$10-$E$10),$E$10+SQRT(T308*($G$10-$E$10)*($F$10-$E$10)),$G$10-SQRT((1-T308)*($G$10-$E$10)*($G$10-$F$10))))</f>
        <v>0.972921354419466</v>
      </c>
      <c r="G308" s="52" t="n">
        <f aca="false">IF($G$11=$E$11,$F$11,IF(U308&lt;($F$11-$E$11)/($G$11-$E$11),$E$11+SQRT(U308*($G$11-$E$11)*($F$11-$E$11)),$G$11-SQRT((1-U308)*($G$11-$E$11)*($G$11-$F$11))))</f>
        <v>0.0894172140156345</v>
      </c>
      <c r="H308" s="53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-1945842708.83893</v>
      </c>
      <c r="I308" s="53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-62270256.2911616</v>
      </c>
      <c r="J308" s="53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161717571.884882</v>
      </c>
      <c r="K308" s="53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434351467.781899</v>
      </c>
      <c r="L308" s="53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537096339.437546</v>
      </c>
      <c r="M308" s="53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691548781.887528</v>
      </c>
      <c r="N308" s="53" t="n">
        <f aca="false">IF(COUNT('Business Case'!B11:G11)=0,"",H308+NPV(G308,I308:M308))</f>
        <v>-698834085.529256</v>
      </c>
      <c r="P308" s="54" t="n">
        <f aca="true">RAND()</f>
        <v>0.399011889944215</v>
      </c>
      <c r="Q308" s="54" t="n">
        <f aca="true">RAND()</f>
        <v>0.127866292629865</v>
      </c>
      <c r="R308" s="54" t="n">
        <f aca="true">RAND()</f>
        <v>0.739568047437396</v>
      </c>
      <c r="S308" s="54" t="n">
        <f aca="true">RAND()</f>
        <v>0.63276065734398</v>
      </c>
      <c r="T308" s="54" t="n">
        <f aca="true">RAND()</f>
        <v>0.0350258992281854</v>
      </c>
      <c r="U308" s="54" t="n">
        <f aca="true">RAND()</f>
        <v>0.0886839198162627</v>
      </c>
    </row>
    <row r="309" customFormat="false" ht="15" hidden="false" customHeight="false" outlineLevel="0" collapsed="false">
      <c r="A309" s="50" t="n">
        <v>229</v>
      </c>
      <c r="B309" s="51" t="n">
        <f aca="false">1+IF($G$6=$E$6,$F$6,IF(P309&lt;($F$6-$E$6)/($G$6-$E$6),$E$6+SQRT(P309*($G$6-$E$6)*($F$6-$E$6)),$G$6-SQRT((1-P309)*($G$6-$E$6)*($G$6-$F$6))))</f>
        <v>1.02388402915487</v>
      </c>
      <c r="C309" s="51" t="n">
        <f aca="false">1+IF($G$7=$E$7,$F$7,IF(Q309&lt;($F$7-$E$7)/($G$7-$E$7),$E$7+SQRT(Q309*($G$7-$E$7)*($F$7-$E$7)),$G$7-SQRT((1-Q309)*($G$7-$E$7)*($G$7-$F$7))))</f>
        <v>0.986191231991053</v>
      </c>
      <c r="D309" s="51" t="n">
        <f aca="false">1+IF($G$8=$E$8,$F$8,IF(R309&lt;($F$8-$E$8)/($G$8-$E$8),$E$8+SQRT(R309*($G$8-$E$8)*($F$8-$E$8)),$G$8-SQRT((1-R309)*($G$8-$E$8)*($G$8-$F$8))))</f>
        <v>0.984010724749212</v>
      </c>
      <c r="E309" s="51" t="n">
        <f aca="false">1+IF($G$9=$E$9,$F$9,IF(S309&lt;($F$9-$E$9)/($G$9-$E$9),$E$9+SQRT(S309*($G$9-$E$9)*($F$9-$E$9)),$G$9-SQRT((1-S309)*($G$9-$E$9)*($G$9-$F$9))))</f>
        <v>1.02038806192549</v>
      </c>
      <c r="F309" s="51" t="n">
        <f aca="false">1+IF($G$10=$E$10,$F$10,IF(T309&lt;($F$10-$E$10)/($G$10-$E$10),$E$10+SQRT(T309*($G$10-$E$10)*($F$10-$E$10)),$G$10-SQRT((1-T309)*($G$10-$E$10)*($G$10-$F$10))))</f>
        <v>1.13020581448062</v>
      </c>
      <c r="G309" s="52" t="n">
        <f aca="false">IF($G$11=$E$11,$F$11,IF(U309&lt;($F$11-$E$11)/($G$11-$E$11),$E$11+SQRT(U309*($G$11-$E$11)*($F$11-$E$11)),$G$11-SQRT((1-U309)*($G$11-$E$11)*($G$11-$F$11))))</f>
        <v>0.110036683379202</v>
      </c>
      <c r="H309" s="53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-2260411628.96124</v>
      </c>
      <c r="I309" s="53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19810445.239664</v>
      </c>
      <c r="J309" s="53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350085858.571521</v>
      </c>
      <c r="K309" s="53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736871562.627409</v>
      </c>
      <c r="L309" s="53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881860169.896911</v>
      </c>
      <c r="M309" s="53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1073792585.43744</v>
      </c>
      <c r="N309" s="53" t="n">
        <f aca="false">IF(COUNT('Business Case'!B11:G11)=0,"",H309+NPV(G309,I309:M309))</f>
        <v>-201735321.64802</v>
      </c>
      <c r="P309" s="54" t="n">
        <f aca="true">RAND()</f>
        <v>0.909060808908845</v>
      </c>
      <c r="Q309" s="54" t="n">
        <f aca="true">RAND()</f>
        <v>0.606706824211533</v>
      </c>
      <c r="R309" s="54" t="n">
        <f aca="true">RAND()</f>
        <v>0.154230586395552</v>
      </c>
      <c r="S309" s="54" t="n">
        <f aca="true">RAND()</f>
        <v>0.552019880228508</v>
      </c>
      <c r="T309" s="54" t="n">
        <f aca="true">RAND()</f>
        <v>0.808658041543307</v>
      </c>
      <c r="U309" s="54" t="n">
        <f aca="true">RAND()</f>
        <v>0.734310659665188</v>
      </c>
    </row>
    <row r="310" customFormat="false" ht="15" hidden="false" customHeight="false" outlineLevel="0" collapsed="false">
      <c r="A310" s="50" t="n">
        <v>230</v>
      </c>
      <c r="B310" s="51" t="n">
        <f aca="false">1+IF($G$6=$E$6,$F$6,IF(P310&lt;($F$6-$E$6)/($G$6-$E$6),$E$6+SQRT(P310*($G$6-$E$6)*($F$6-$E$6)),$G$6-SQRT((1-P310)*($G$6-$E$6)*($G$6-$F$6))))</f>
        <v>0.969497261891301</v>
      </c>
      <c r="C310" s="51" t="n">
        <f aca="false">1+IF($G$7=$E$7,$F$7,IF(Q310&lt;($F$7-$E$7)/($G$7-$E$7),$E$7+SQRT(Q310*($G$7-$E$7)*($F$7-$E$7)),$G$7-SQRT((1-Q310)*($G$7-$E$7)*($G$7-$F$7))))</f>
        <v>0.898156153535814</v>
      </c>
      <c r="D310" s="51" t="n">
        <f aca="false">1+IF($G$8=$E$8,$F$8,IF(R310&lt;($F$8-$E$8)/($G$8-$E$8),$E$8+SQRT(R310*($G$8-$E$8)*($F$8-$E$8)),$G$8-SQRT((1-R310)*($G$8-$E$8)*($G$8-$F$8))))</f>
        <v>1.05253561653055</v>
      </c>
      <c r="E310" s="51" t="n">
        <f aca="false">1+IF($G$9=$E$9,$F$9,IF(S310&lt;($F$9-$E$9)/($G$9-$E$9),$E$9+SQRT(S310*($G$9-$E$9)*($F$9-$E$9)),$G$9-SQRT((1-S310)*($G$9-$E$9)*($G$9-$F$9))))</f>
        <v>1.09581568440703</v>
      </c>
      <c r="F310" s="51" t="n">
        <f aca="false">1+IF($G$10=$E$10,$F$10,IF(T310&lt;($F$10-$E$10)/($G$10-$E$10),$E$10+SQRT(T310*($G$10-$E$10)*($F$10-$E$10)),$G$10-SQRT((1-T310)*($G$10-$E$10)*($G$10-$F$10))))</f>
        <v>1.04897144053159</v>
      </c>
      <c r="G310" s="52" t="n">
        <f aca="false">IF($G$11=$E$11,$F$11,IF(U310&lt;($F$11-$E$11)/($G$11-$E$11),$E$11+SQRT(U310*($G$11-$E$11)*($F$11-$E$11)),$G$11-SQRT((1-U310)*($G$11-$E$11)*($G$11-$F$11))))</f>
        <v>0.107505570095014</v>
      </c>
      <c r="H310" s="53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-2097942881.06318</v>
      </c>
      <c r="I310" s="53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-76586389.7152269</v>
      </c>
      <c r="J310" s="53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152689549.799726</v>
      </c>
      <c r="K310" s="53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434414061.341259</v>
      </c>
      <c r="L310" s="53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540932837.749137</v>
      </c>
      <c r="M310" s="53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706446885.548387</v>
      </c>
      <c r="N310" s="53" t="n">
        <f aca="false">IF(COUNT('Business Case'!B11:G11)=0,"",H310+NPV(G310,I310:M310))</f>
        <v>-939284235.88985</v>
      </c>
      <c r="P310" s="54" t="n">
        <f aca="true">RAND()</f>
        <v>0.321991294025869</v>
      </c>
      <c r="Q310" s="54" t="n">
        <f aca="true">RAND()</f>
        <v>0.2908582309934</v>
      </c>
      <c r="R310" s="54" t="n">
        <f aca="true">RAND()</f>
        <v>0.849808820124347</v>
      </c>
      <c r="S310" s="54" t="n">
        <f aca="true">RAND()</f>
        <v>0.921708265165918</v>
      </c>
      <c r="T310" s="54" t="n">
        <f aca="true">RAND()</f>
        <v>0.461166910374083</v>
      </c>
      <c r="U310" s="54" t="n">
        <f aca="true">RAND()</f>
        <v>0.662667082166439</v>
      </c>
    </row>
    <row r="311" customFormat="false" ht="15" hidden="false" customHeight="false" outlineLevel="0" collapsed="false">
      <c r="A311" s="50" t="n">
        <v>231</v>
      </c>
      <c r="B311" s="51" t="n">
        <f aca="false">1+IF($G$6=$E$6,$F$6,IF(P311&lt;($F$6-$E$6)/($G$6-$E$6),$E$6+SQRT(P311*($G$6-$E$6)*($F$6-$E$6)),$G$6-SQRT((1-P311)*($G$6-$E$6)*($G$6-$F$6))))</f>
        <v>0.958844261078625</v>
      </c>
      <c r="C311" s="51" t="n">
        <f aca="false">1+IF($G$7=$E$7,$F$7,IF(Q311&lt;($F$7-$E$7)/($G$7-$E$7),$E$7+SQRT(Q311*($G$7-$E$7)*($F$7-$E$7)),$G$7-SQRT((1-Q311)*($G$7-$E$7)*($G$7-$F$7))))</f>
        <v>0.834750570413529</v>
      </c>
      <c r="D311" s="51" t="n">
        <f aca="false">1+IF($G$8=$E$8,$F$8,IF(R311&lt;($F$8-$E$8)/($G$8-$E$8),$E$8+SQRT(R311*($G$8-$E$8)*($F$8-$E$8)),$G$8-SQRT((1-R311)*($G$8-$E$8)*($G$8-$F$8))))</f>
        <v>1.00533409122032</v>
      </c>
      <c r="E311" s="51" t="n">
        <f aca="false">1+IF($G$9=$E$9,$F$9,IF(S311&lt;($F$9-$E$9)/($G$9-$E$9),$E$9+SQRT(S311*($G$9-$E$9)*($F$9-$E$9)),$G$9-SQRT((1-S311)*($G$9-$E$9)*($G$9-$F$9))))</f>
        <v>1.00088299954933</v>
      </c>
      <c r="F311" s="51" t="n">
        <f aca="false">1+IF($G$10=$E$10,$F$10,IF(T311&lt;($F$10-$E$10)/($G$10-$E$10),$E$10+SQRT(T311*($G$10-$E$10)*($F$10-$E$10)),$G$10-SQRT((1-T311)*($G$10-$E$10)*($G$10-$F$10))))</f>
        <v>1.00271828385157</v>
      </c>
      <c r="G311" s="52" t="n">
        <f aca="false">IF($G$11=$E$11,$F$11,IF(U311&lt;($F$11-$E$11)/($G$11-$E$11),$E$11+SQRT(U311*($G$11-$E$11)*($F$11-$E$11)),$G$11-SQRT((1-U311)*($G$11-$E$11)*($G$11-$F$11))))</f>
        <v>0.109023927037428</v>
      </c>
      <c r="H311" s="53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-2005436567.70313</v>
      </c>
      <c r="I311" s="53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-58113030.4641115</v>
      </c>
      <c r="J311" s="53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167863847.947231</v>
      </c>
      <c r="K311" s="53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443976640.551151</v>
      </c>
      <c r="L311" s="53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546963945.324521</v>
      </c>
      <c r="M311" s="53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699103177.823923</v>
      </c>
      <c r="N311" s="53" t="n">
        <f aca="false">IF(COUNT('Business Case'!B11:G11)=0,"",H311+NPV(G311,I311:M311))</f>
        <v>-817580082.816804</v>
      </c>
      <c r="P311" s="54" t="n">
        <f aca="true">RAND()</f>
        <v>0.230843137459296</v>
      </c>
      <c r="Q311" s="54" t="n">
        <f aca="true">RAND()</f>
        <v>0.134501601679788</v>
      </c>
      <c r="R311" s="54" t="n">
        <f aca="true">RAND()</f>
        <v>0.40255771432778</v>
      </c>
      <c r="S311" s="54" t="n">
        <f aca="true">RAND()</f>
        <v>0.407043204709186</v>
      </c>
      <c r="T311" s="54" t="n">
        <f aca="true">RAND()</f>
        <v>0.184690038115809</v>
      </c>
      <c r="U311" s="54" t="n">
        <f aca="true">RAND()</f>
        <v>0.70666957537923</v>
      </c>
    </row>
    <row r="312" customFormat="false" ht="15" hidden="false" customHeight="false" outlineLevel="0" collapsed="false">
      <c r="A312" s="50" t="n">
        <v>232</v>
      </c>
      <c r="B312" s="51" t="n">
        <f aca="false">1+IF($G$6=$E$6,$F$6,IF(P312&lt;($F$6-$E$6)/($G$6-$E$6),$E$6+SQRT(P312*($G$6-$E$6)*($F$6-$E$6)),$G$6-SQRT((1-P312)*($G$6-$E$6)*($G$6-$F$6))))</f>
        <v>1.03772446991407</v>
      </c>
      <c r="C312" s="51" t="n">
        <f aca="false">1+IF($G$7=$E$7,$F$7,IF(Q312&lt;($F$7-$E$7)/($G$7-$E$7),$E$7+SQRT(Q312*($G$7-$E$7)*($F$7-$E$7)),$G$7-SQRT((1-Q312)*($G$7-$E$7)*($G$7-$F$7))))</f>
        <v>0.873877479858827</v>
      </c>
      <c r="D312" s="51" t="n">
        <f aca="false">1+IF($G$8=$E$8,$F$8,IF(R312&lt;($F$8-$E$8)/($G$8-$E$8),$E$8+SQRT(R312*($G$8-$E$8)*($F$8-$E$8)),$G$8-SQRT((1-R312)*($G$8-$E$8)*($G$8-$F$8))))</f>
        <v>1.08986029595012</v>
      </c>
      <c r="E312" s="51" t="n">
        <f aca="false">1+IF($G$9=$E$9,$F$9,IF(S312&lt;($F$9-$E$9)/($G$9-$E$9),$E$9+SQRT(S312*($G$9-$E$9)*($F$9-$E$9)),$G$9-SQRT((1-S312)*($G$9-$E$9)*($G$9-$F$9))))</f>
        <v>0.932534466588224</v>
      </c>
      <c r="F312" s="51" t="n">
        <f aca="false">1+IF($G$10=$E$10,$F$10,IF(T312&lt;($F$10-$E$10)/($G$10-$E$10),$E$10+SQRT(T312*($G$10-$E$10)*($F$10-$E$10)),$G$10-SQRT((1-T312)*($G$10-$E$10)*($G$10-$F$10))))</f>
        <v>1.01919238851772</v>
      </c>
      <c r="G312" s="52" t="n">
        <f aca="false">IF($G$11=$E$11,$F$11,IF(U312&lt;($F$11-$E$11)/($G$11-$E$11),$E$11+SQRT(U312*($G$11-$E$11)*($F$11-$E$11)),$G$11-SQRT((1-U312)*($G$11-$E$11)*($G$11-$F$11))))</f>
        <v>0.0939806782258756</v>
      </c>
      <c r="H312" s="53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-2038384777.03544</v>
      </c>
      <c r="I312" s="53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-26320714.495481</v>
      </c>
      <c r="J312" s="53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228895006.279456</v>
      </c>
      <c r="K312" s="53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535070346.48028</v>
      </c>
      <c r="L312" s="53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651482783.585126</v>
      </c>
      <c r="M312" s="53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823855699.574396</v>
      </c>
      <c r="N312" s="53" t="n">
        <f aca="false">IF(COUNT('Business Case'!B11:G11)=0,"",H312+NPV(G312,I312:M312))</f>
        <v>-481884330.199436</v>
      </c>
      <c r="P312" s="54" t="n">
        <f aca="true">RAND()</f>
        <v>0.979908181481253</v>
      </c>
      <c r="Q312" s="54" t="n">
        <f aca="true">RAND()</f>
        <v>0.223950948163382</v>
      </c>
      <c r="R312" s="54" t="n">
        <f aca="true">RAND()</f>
        <v>0.993145760118727</v>
      </c>
      <c r="S312" s="54" t="n">
        <f aca="true">RAND()</f>
        <v>0.0423396606472106</v>
      </c>
      <c r="T312" s="54" t="n">
        <f aca="true">RAND()</f>
        <v>0.289704619757942</v>
      </c>
      <c r="U312" s="54" t="n">
        <f aca="true">RAND()</f>
        <v>0.195459363655471</v>
      </c>
    </row>
    <row r="313" customFormat="false" ht="15" hidden="false" customHeight="false" outlineLevel="0" collapsed="false">
      <c r="A313" s="50" t="n">
        <v>233</v>
      </c>
      <c r="B313" s="51" t="n">
        <f aca="false">1+IF($G$6=$E$6,$F$6,IF(P313&lt;($F$6-$E$6)/($G$6-$E$6),$E$6+SQRT(P313*($G$6-$E$6)*($F$6-$E$6)),$G$6-SQRT((1-P313)*($G$6-$E$6)*($G$6-$F$6))))</f>
        <v>0.982589684778765</v>
      </c>
      <c r="C313" s="51" t="n">
        <f aca="false">1+IF($G$7=$E$7,$F$7,IF(Q313&lt;($F$7-$E$7)/($G$7-$E$7),$E$7+SQRT(Q313*($G$7-$E$7)*($F$7-$E$7)),$G$7-SQRT((1-Q313)*($G$7-$E$7)*($G$7-$F$7))))</f>
        <v>1.06291821023774</v>
      </c>
      <c r="D313" s="51" t="n">
        <f aca="false">1+IF($G$8=$E$8,$F$8,IF(R313&lt;($F$8-$E$8)/($G$8-$E$8),$E$8+SQRT(R313*($G$8-$E$8)*($F$8-$E$8)),$G$8-SQRT((1-R313)*($G$8-$E$8)*($G$8-$F$8))))</f>
        <v>0.986446282653188</v>
      </c>
      <c r="E313" s="51" t="n">
        <f aca="false">1+IF($G$9=$E$9,$F$9,IF(S313&lt;($F$9-$E$9)/($G$9-$E$9),$E$9+SQRT(S313*($G$9-$E$9)*($F$9-$E$9)),$G$9-SQRT((1-S313)*($G$9-$E$9)*($G$9-$F$9))))</f>
        <v>1.00021511201102</v>
      </c>
      <c r="F313" s="51" t="n">
        <f aca="false">1+IF($G$10=$E$10,$F$10,IF(T313&lt;($F$10-$E$10)/($G$10-$E$10),$E$10+SQRT(T313*($G$10-$E$10)*($F$10-$E$10)),$G$10-SQRT((1-T313)*($G$10-$E$10)*($G$10-$F$10))))</f>
        <v>1.02311170729703</v>
      </c>
      <c r="G313" s="52" t="n">
        <f aca="false">IF($G$11=$E$11,$F$11,IF(U313&lt;($F$11-$E$11)/($G$11-$E$11),$E$11+SQRT(U313*($G$11-$E$11)*($F$11-$E$11)),$G$11-SQRT((1-U313)*($G$11-$E$11)*($G$11-$F$11))))</f>
        <v>0.116954837417352</v>
      </c>
      <c r="H313" s="53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-2046223414.59406</v>
      </c>
      <c r="I313" s="53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20010789.571575</v>
      </c>
      <c r="J313" s="53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338705681.201199</v>
      </c>
      <c r="K313" s="53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708556158.195674</v>
      </c>
      <c r="L313" s="53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850882683.672468</v>
      </c>
      <c r="M313" s="53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1049404605.80719</v>
      </c>
      <c r="N313" s="53" t="n">
        <f aca="false">IF(COUNT('Business Case'!B11:G11)=0,"",H313+NPV(G313,I313:M313))</f>
        <v>-98052798.8010094</v>
      </c>
      <c r="P313" s="54" t="n">
        <f aca="true">RAND()</f>
        <v>0.454737068790379</v>
      </c>
      <c r="Q313" s="54" t="n">
        <f aca="true">RAND()</f>
        <v>0.887655731730381</v>
      </c>
      <c r="R313" s="54" t="n">
        <f aca="true">RAND()</f>
        <v>0.177110869231473</v>
      </c>
      <c r="S313" s="54" t="n">
        <f aca="true">RAND()</f>
        <v>0.401719662136801</v>
      </c>
      <c r="T313" s="54" t="n">
        <f aca="true">RAND()</f>
        <v>0.313622701791077</v>
      </c>
      <c r="U313" s="54" t="n">
        <f aca="true">RAND()</f>
        <v>0.886549155461514</v>
      </c>
    </row>
    <row r="314" customFormat="false" ht="15" hidden="false" customHeight="false" outlineLevel="0" collapsed="false">
      <c r="A314" s="50" t="n">
        <v>234</v>
      </c>
      <c r="B314" s="51" t="n">
        <f aca="false">1+IF($G$6=$E$6,$F$6,IF(P314&lt;($F$6-$E$6)/($G$6-$E$6),$E$6+SQRT(P314*($G$6-$E$6)*($F$6-$E$6)),$G$6-SQRT((1-P314)*($G$6-$E$6)*($G$6-$F$6))))</f>
        <v>1.02300626431528</v>
      </c>
      <c r="C314" s="51" t="n">
        <f aca="false">1+IF($G$7=$E$7,$F$7,IF(Q314&lt;($F$7-$E$7)/($G$7-$E$7),$E$7+SQRT(Q314*($G$7-$E$7)*($F$7-$E$7)),$G$7-SQRT((1-Q314)*($G$7-$E$7)*($G$7-$F$7))))</f>
        <v>0.960188109079076</v>
      </c>
      <c r="D314" s="51" t="n">
        <f aca="false">1+IF($G$8=$E$8,$F$8,IF(R314&lt;($F$8-$E$8)/($G$8-$E$8),$E$8+SQRT(R314*($G$8-$E$8)*($F$8-$E$8)),$G$8-SQRT((1-R314)*($G$8-$E$8)*($G$8-$F$8))))</f>
        <v>0.972163028750579</v>
      </c>
      <c r="E314" s="51" t="n">
        <f aca="false">1+IF($G$9=$E$9,$F$9,IF(S314&lt;($F$9-$E$9)/($G$9-$E$9),$E$9+SQRT(S314*($G$9-$E$9)*($F$9-$E$9)),$G$9-SQRT((1-S314)*($G$9-$E$9)*($G$9-$F$9))))</f>
        <v>0.996077532043097</v>
      </c>
      <c r="F314" s="51" t="n">
        <f aca="false">1+IF($G$10=$E$10,$F$10,IF(T314&lt;($F$10-$E$10)/($G$10-$E$10),$E$10+SQRT(T314*($G$10-$E$10)*($F$10-$E$10)),$G$10-SQRT((1-T314)*($G$10-$E$10)*($G$10-$F$10))))</f>
        <v>1.08495118548388</v>
      </c>
      <c r="G314" s="52" t="n">
        <f aca="false">IF($G$11=$E$11,$F$11,IF(U314&lt;($F$11-$E$11)/($G$11-$E$11),$E$11+SQRT(U314*($G$11-$E$11)*($F$11-$E$11)),$G$11-SQRT((1-U314)*($G$11-$E$11)*($G$11-$F$11))))</f>
        <v>0.104069507247883</v>
      </c>
      <c r="H314" s="53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-2169902370.96777</v>
      </c>
      <c r="I314" s="53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25641590.5765633</v>
      </c>
      <c r="J314" s="53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352341839.632426</v>
      </c>
      <c r="K314" s="53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733289647.962483</v>
      </c>
      <c r="L314" s="53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876137274.230693</v>
      </c>
      <c r="M314" s="53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1062848762.10343</v>
      </c>
      <c r="N314" s="53" t="n">
        <f aca="false">IF(COUNT('Business Case'!B11:G11)=0,"",H314+NPV(G314,I314:M314))</f>
        <v>-75255405.4880788</v>
      </c>
      <c r="P314" s="54" t="n">
        <f aca="true">RAND()</f>
        <v>0.902845097837769</v>
      </c>
      <c r="Q314" s="54" t="n">
        <f aca="true">RAND()</f>
        <v>0.501465571156631</v>
      </c>
      <c r="R314" s="54" t="n">
        <f aca="true">RAND()</f>
        <v>0.0654933124532002</v>
      </c>
      <c r="S314" s="54" t="n">
        <f aca="true">RAND()</f>
        <v>0.369235686539693</v>
      </c>
      <c r="T314" s="54" t="n">
        <f aca="true">RAND()</f>
        <v>0.636785184357658</v>
      </c>
      <c r="U314" s="54" t="n">
        <f aca="true">RAND()</f>
        <v>0.551739697088288</v>
      </c>
    </row>
    <row r="315" customFormat="false" ht="15" hidden="false" customHeight="false" outlineLevel="0" collapsed="false">
      <c r="A315" s="50" t="n">
        <v>235</v>
      </c>
      <c r="B315" s="51" t="n">
        <f aca="false">1+IF($G$6=$E$6,$F$6,IF(P315&lt;($F$6-$E$6)/($G$6-$E$6),$E$6+SQRT(P315*($G$6-$E$6)*($F$6-$E$6)),$G$6-SQRT((1-P315)*($G$6-$E$6)*($G$6-$F$6))))</f>
        <v>0.966274813330229</v>
      </c>
      <c r="C315" s="51" t="n">
        <f aca="false">1+IF($G$7=$E$7,$F$7,IF(Q315&lt;($F$7-$E$7)/($G$7-$E$7),$E$7+SQRT(Q315*($G$7-$E$7)*($F$7-$E$7)),$G$7-SQRT((1-Q315)*($G$7-$E$7)*($G$7-$F$7))))</f>
        <v>1.08975775189187</v>
      </c>
      <c r="D315" s="51" t="n">
        <f aca="false">1+IF($G$8=$E$8,$F$8,IF(R315&lt;($F$8-$E$8)/($G$8-$E$8),$E$8+SQRT(R315*($G$8-$E$8)*($F$8-$E$8)),$G$8-SQRT((1-R315)*($G$8-$E$8)*($G$8-$F$8))))</f>
        <v>1.03007011036957</v>
      </c>
      <c r="E315" s="51" t="n">
        <f aca="false">1+IF($G$9=$E$9,$F$9,IF(S315&lt;($F$9-$E$9)/($G$9-$E$9),$E$9+SQRT(S315*($G$9-$E$9)*($F$9-$E$9)),$G$9-SQRT((1-S315)*($G$9-$E$9)*($G$9-$F$9))))</f>
        <v>0.956940116399665</v>
      </c>
      <c r="F315" s="51" t="n">
        <f aca="false">1+IF($G$10=$E$10,$F$10,IF(T315&lt;($F$10-$E$10)/($G$10-$E$10),$E$10+SQRT(T315*($G$10-$E$10)*($F$10-$E$10)),$G$10-SQRT((1-T315)*($G$10-$E$10)*($G$10-$F$10))))</f>
        <v>1.07868252474073</v>
      </c>
      <c r="G315" s="52" t="n">
        <f aca="false">IF($G$11=$E$11,$F$11,IF(U315&lt;($F$11-$E$11)/($G$11-$E$11),$E$11+SQRT(U315*($G$11-$E$11)*($F$11-$E$11)),$G$11-SQRT((1-U315)*($G$11-$E$11)*($G$11-$F$11))))</f>
        <v>0.08859690840697</v>
      </c>
      <c r="H315" s="53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-2157365049.48146</v>
      </c>
      <c r="I315" s="53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-10689609.9691259</v>
      </c>
      <c r="J315" s="53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277153720.563721</v>
      </c>
      <c r="K315" s="53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618931177.333605</v>
      </c>
      <c r="L315" s="53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751270823.161799</v>
      </c>
      <c r="M315" s="53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951426102.573315</v>
      </c>
      <c r="N315" s="53" t="n">
        <f aca="false">IF(COUNT('Business Case'!B11:G11)=0,"",H315+NPV(G315,I315:M315))</f>
        <v>-296203979.824471</v>
      </c>
      <c r="P315" s="54" t="n">
        <f aca="true">RAND()</f>
        <v>0.292823392130444</v>
      </c>
      <c r="Q315" s="54" t="n">
        <f aca="true">RAND()</f>
        <v>0.946235133968572</v>
      </c>
      <c r="R315" s="54" t="n">
        <f aca="true">RAND()</f>
        <v>0.673987369085064</v>
      </c>
      <c r="S315" s="54" t="n">
        <f aca="true">RAND()</f>
        <v>0.129687074224294</v>
      </c>
      <c r="T315" s="54" t="n">
        <f aca="true">RAND()</f>
        <v>0.608670968943861</v>
      </c>
      <c r="U315" s="54" t="n">
        <f aca="true">RAND()</f>
        <v>0.0739068341578321</v>
      </c>
    </row>
    <row r="316" customFormat="false" ht="15" hidden="false" customHeight="false" outlineLevel="0" collapsed="false">
      <c r="A316" s="50" t="n">
        <v>236</v>
      </c>
      <c r="B316" s="51" t="n">
        <f aca="false">1+IF($G$6=$E$6,$F$6,IF(P316&lt;($F$6-$E$6)/($G$6-$E$6),$E$6+SQRT(P316*($G$6-$E$6)*($F$6-$E$6)),$G$6-SQRT((1-P316)*($G$6-$E$6)*($G$6-$F$6))))</f>
        <v>0.982157029120211</v>
      </c>
      <c r="C316" s="51" t="n">
        <f aca="false">1+IF($G$7=$E$7,$F$7,IF(Q316&lt;($F$7-$E$7)/($G$7-$E$7),$E$7+SQRT(Q316*($G$7-$E$7)*($F$7-$E$7)),$G$7-SQRT((1-Q316)*($G$7-$E$7)*($G$7-$F$7))))</f>
        <v>0.824431917295629</v>
      </c>
      <c r="D316" s="51" t="n">
        <f aca="false">1+IF($G$8=$E$8,$F$8,IF(R316&lt;($F$8-$E$8)/($G$8-$E$8),$E$8+SQRT(R316*($G$8-$E$8)*($F$8-$E$8)),$G$8-SQRT((1-R316)*($G$8-$E$8)*($G$8-$F$8))))</f>
        <v>0.990799067363866</v>
      </c>
      <c r="E316" s="51" t="n">
        <f aca="false">1+IF($G$9=$E$9,$F$9,IF(S316&lt;($F$9-$E$9)/($G$9-$E$9),$E$9+SQRT(S316*($G$9-$E$9)*($F$9-$E$9)),$G$9-SQRT((1-S316)*($G$9-$E$9)*($G$9-$F$9))))</f>
        <v>1.0437480416725</v>
      </c>
      <c r="F316" s="51" t="n">
        <f aca="false">1+IF($G$10=$E$10,$F$10,IF(T316&lt;($F$10-$E$10)/($G$10-$E$10),$E$10+SQRT(T316*($G$10-$E$10)*($F$10-$E$10)),$G$10-SQRT((1-T316)*($G$10-$E$10)*($G$10-$F$10))))</f>
        <v>1.13196133532469</v>
      </c>
      <c r="G316" s="52" t="n">
        <f aca="false">IF($G$11=$E$11,$F$11,IF(U316&lt;($F$11-$E$11)/($G$11-$E$11),$E$11+SQRT(U316*($G$11-$E$11)*($F$11-$E$11)),$G$11-SQRT((1-U316)*($G$11-$E$11)*($G$11-$F$11))))</f>
        <v>0.108544044265718</v>
      </c>
      <c r="H316" s="53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-2263922670.64938</v>
      </c>
      <c r="I316" s="53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-58532776.6179429</v>
      </c>
      <c r="J316" s="53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186527519.701351</v>
      </c>
      <c r="K316" s="53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488185882.786879</v>
      </c>
      <c r="L316" s="53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597856626.812601</v>
      </c>
      <c r="M316" s="53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751768509.035371</v>
      </c>
      <c r="N316" s="53" t="n">
        <f aca="false">IF(COUNT('Business Case'!B11:G11)=0,"",H316+NPV(G316,I316:M316))</f>
        <v>-961595415.156262</v>
      </c>
      <c r="P316" s="54" t="n">
        <f aca="true">RAND()</f>
        <v>0.449985162257278</v>
      </c>
      <c r="Q316" s="54" t="n">
        <f aca="true">RAND()</f>
        <v>0.114691126236047</v>
      </c>
      <c r="R316" s="54" t="n">
        <f aca="true">RAND()</f>
        <v>0.221941853034832</v>
      </c>
      <c r="S316" s="54" t="n">
        <f aca="true">RAND()</f>
        <v>0.698947236041918</v>
      </c>
      <c r="T316" s="54" t="n">
        <f aca="true">RAND()</f>
        <v>0.814224981888937</v>
      </c>
      <c r="U316" s="54" t="n">
        <f aca="true">RAND()</f>
        <v>0.693094642352368</v>
      </c>
    </row>
    <row r="317" customFormat="false" ht="15" hidden="false" customHeight="false" outlineLevel="0" collapsed="false">
      <c r="A317" s="50" t="n">
        <v>237</v>
      </c>
      <c r="B317" s="51" t="n">
        <f aca="false">1+IF($G$6=$E$6,$F$6,IF(P317&lt;($F$6-$E$6)/($G$6-$E$6),$E$6+SQRT(P317*($G$6-$E$6)*($F$6-$E$6)),$G$6-SQRT((1-P317)*($G$6-$E$6)*($G$6-$F$6))))</f>
        <v>0.953210053571406</v>
      </c>
      <c r="C317" s="51" t="n">
        <f aca="false">1+IF($G$7=$E$7,$F$7,IF(Q317&lt;($F$7-$E$7)/($G$7-$E$7),$E$7+SQRT(Q317*($G$7-$E$7)*($F$7-$E$7)),$G$7-SQRT((1-Q317)*($G$7-$E$7)*($G$7-$F$7))))</f>
        <v>0.87134539160022</v>
      </c>
      <c r="D317" s="51" t="n">
        <f aca="false">1+IF($G$8=$E$8,$F$8,IF(R317&lt;($F$8-$E$8)/($G$8-$E$8),$E$8+SQRT(R317*($G$8-$E$8)*($F$8-$E$8)),$G$8-SQRT((1-R317)*($G$8-$E$8)*($G$8-$F$8))))</f>
        <v>1.03560313872275</v>
      </c>
      <c r="E317" s="51" t="n">
        <f aca="false">1+IF($G$9=$E$9,$F$9,IF(S317&lt;($F$9-$E$9)/($G$9-$E$9),$E$9+SQRT(S317*($G$9-$E$9)*($F$9-$E$9)),$G$9-SQRT((1-S317)*($G$9-$E$9)*($G$9-$F$9))))</f>
        <v>1.00691020900878</v>
      </c>
      <c r="F317" s="51" t="n">
        <f aca="false">1+IF($G$10=$E$10,$F$10,IF(T317&lt;($F$10-$E$10)/($G$10-$E$10),$E$10+SQRT(T317*($G$10-$E$10)*($F$10-$E$10)),$G$10-SQRT((1-T317)*($G$10-$E$10)*($G$10-$F$10))))</f>
        <v>0.979168390618686</v>
      </c>
      <c r="G317" s="52" t="n">
        <f aca="false">IF($G$11=$E$11,$F$11,IF(U317&lt;($F$11-$E$11)/($G$11-$E$11),$E$11+SQRT(U317*($G$11-$E$11)*($F$11-$E$11)),$G$11-SQRT((1-U317)*($G$11-$E$11)*($G$11-$F$11))))</f>
        <v>0.107279314878935</v>
      </c>
      <c r="H317" s="53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-1958336781.23737</v>
      </c>
      <c r="I317" s="53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-65795846.6527305</v>
      </c>
      <c r="J317" s="53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152564795.192606</v>
      </c>
      <c r="K317" s="53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419883856.568876</v>
      </c>
      <c r="L317" s="53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521375415.660755</v>
      </c>
      <c r="M317" s="53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679251147.282972</v>
      </c>
      <c r="N317" s="53" t="n">
        <f aca="false">IF(COUNT('Business Case'!B11:G11)=0,"",H317+NPV(G317,I317:M317))</f>
        <v>-829126294.635093</v>
      </c>
      <c r="P317" s="54" t="n">
        <f aca="true">RAND()</f>
        <v>0.188753986738123</v>
      </c>
      <c r="Q317" s="54" t="n">
        <f aca="true">RAND()</f>
        <v>0.217475875723205</v>
      </c>
      <c r="R317" s="54" t="n">
        <f aca="true">RAND()</f>
        <v>0.723536283842586</v>
      </c>
      <c r="S317" s="54" t="n">
        <f aca="true">RAND()</f>
        <v>0.454008312375689</v>
      </c>
      <c r="T317" s="54" t="n">
        <f aca="true">RAND()</f>
        <v>0.0567196674189514</v>
      </c>
      <c r="U317" s="54" t="n">
        <f aca="true">RAND()</f>
        <v>0.655846978419617</v>
      </c>
    </row>
    <row r="318" customFormat="false" ht="15" hidden="false" customHeight="false" outlineLevel="0" collapsed="false">
      <c r="A318" s="50" t="n">
        <v>238</v>
      </c>
      <c r="B318" s="51" t="n">
        <f aca="false">1+IF($G$6=$E$6,$F$6,IF(P318&lt;($F$6-$E$6)/($G$6-$E$6),$E$6+SQRT(P318*($G$6-$E$6)*($F$6-$E$6)),$G$6-SQRT((1-P318)*($G$6-$E$6)*($G$6-$F$6))))</f>
        <v>0.971403128737417</v>
      </c>
      <c r="C318" s="51" t="n">
        <f aca="false">1+IF($G$7=$E$7,$F$7,IF(Q318&lt;($F$7-$E$7)/($G$7-$E$7),$E$7+SQRT(Q318*($G$7-$E$7)*($F$7-$E$7)),$G$7-SQRT((1-Q318)*($G$7-$E$7)*($G$7-$F$7))))</f>
        <v>1.00277742226451</v>
      </c>
      <c r="D318" s="51" t="n">
        <f aca="false">1+IF($G$8=$E$8,$F$8,IF(R318&lt;($F$8-$E$8)/($G$8-$E$8),$E$8+SQRT(R318*($G$8-$E$8)*($F$8-$E$8)),$G$8-SQRT((1-R318)*($G$8-$E$8)*($G$8-$F$8))))</f>
        <v>1.07847545301092</v>
      </c>
      <c r="E318" s="51" t="n">
        <f aca="false">1+IF($G$9=$E$9,$F$9,IF(S318&lt;($F$9-$E$9)/($G$9-$E$9),$E$9+SQRT(S318*($G$9-$E$9)*($F$9-$E$9)),$G$9-SQRT((1-S318)*($G$9-$E$9)*($G$9-$F$9))))</f>
        <v>1.02857593986301</v>
      </c>
      <c r="F318" s="51" t="n">
        <f aca="false">1+IF($G$10=$E$10,$F$10,IF(T318&lt;($F$10-$E$10)/($G$10-$E$10),$E$10+SQRT(T318*($G$10-$E$10)*($F$10-$E$10)),$G$10-SQRT((1-T318)*($G$10-$E$10)*($G$10-$F$10))))</f>
        <v>0.96315973526832</v>
      </c>
      <c r="G318" s="52" t="n">
        <f aca="false">IF($G$11=$E$11,$F$11,IF(U318&lt;($F$11-$E$11)/($G$11-$E$11),$E$11+SQRT(U318*($G$11-$E$11)*($F$11-$E$11)),$G$11-SQRT((1-U318)*($G$11-$E$11)*($G$11-$F$11))))</f>
        <v>0.103834034400483</v>
      </c>
      <c r="H318" s="53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-1926319470.53664</v>
      </c>
      <c r="I318" s="53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-48844467.24405</v>
      </c>
      <c r="J318" s="53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195387940.028765</v>
      </c>
      <c r="K318" s="53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487778334.064995</v>
      </c>
      <c r="L318" s="53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602854071.383608</v>
      </c>
      <c r="M318" s="53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788011213.302488</v>
      </c>
      <c r="N318" s="53" t="n">
        <f aca="false">IF(COUNT('Business Case'!B11:G11)=0,"",H318+NPV(G318,I318:M318))</f>
        <v>-560621142.038532</v>
      </c>
      <c r="P318" s="54" t="n">
        <f aca="true">RAND()</f>
        <v>0.339893786232806</v>
      </c>
      <c r="Q318" s="54" t="n">
        <f aca="true">RAND()</f>
        <v>0.678896483035798</v>
      </c>
      <c r="R318" s="54" t="n">
        <f aca="true">RAND()</f>
        <v>0.969112925127647</v>
      </c>
      <c r="S318" s="54" t="n">
        <f aca="true">RAND()</f>
        <v>0.606831936529286</v>
      </c>
      <c r="T318" s="54" t="n">
        <f aca="true">RAND()</f>
        <v>0.0115452421554837</v>
      </c>
      <c r="U318" s="54" t="n">
        <f aca="true">RAND()</f>
        <v>0.54356149616326</v>
      </c>
    </row>
    <row r="319" customFormat="false" ht="15" hidden="false" customHeight="false" outlineLevel="0" collapsed="false">
      <c r="A319" s="50" t="n">
        <v>239</v>
      </c>
      <c r="B319" s="51" t="n">
        <f aca="false">1+IF($G$6=$E$6,$F$6,IF(P319&lt;($F$6-$E$6)/($G$6-$E$6),$E$6+SQRT(P319*($G$6-$E$6)*($F$6-$E$6)),$G$6-SQRT((1-P319)*($G$6-$E$6)*($G$6-$F$6))))</f>
        <v>0.943238631911111</v>
      </c>
      <c r="C319" s="51" t="n">
        <f aca="false">1+IF($G$7=$E$7,$F$7,IF(Q319&lt;($F$7-$E$7)/($G$7-$E$7),$E$7+SQRT(Q319*($G$7-$E$7)*($F$7-$E$7)),$G$7-SQRT((1-Q319)*($G$7-$E$7)*($G$7-$F$7))))</f>
        <v>0.86275554468161</v>
      </c>
      <c r="D319" s="51" t="n">
        <f aca="false">1+IF($G$8=$E$8,$F$8,IF(R319&lt;($F$8-$E$8)/($G$8-$E$8),$E$8+SQRT(R319*($G$8-$E$8)*($F$8-$E$8)),$G$8-SQRT((1-R319)*($G$8-$E$8)*($G$8-$F$8))))</f>
        <v>1.03007515329923</v>
      </c>
      <c r="E319" s="51" t="n">
        <f aca="false">1+IF($G$9=$E$9,$F$9,IF(S319&lt;($F$9-$E$9)/($G$9-$E$9),$E$9+SQRT(S319*($G$9-$E$9)*($F$9-$E$9)),$G$9-SQRT((1-S319)*($G$9-$E$9)*($G$9-$F$9))))</f>
        <v>1.0668627954027</v>
      </c>
      <c r="F319" s="51" t="n">
        <f aca="false">1+IF($G$10=$E$10,$F$10,IF(T319&lt;($F$10-$E$10)/($G$10-$E$10),$E$10+SQRT(T319*($G$10-$E$10)*($F$10-$E$10)),$G$10-SQRT((1-T319)*($G$10-$E$10)*($G$10-$F$10))))</f>
        <v>1.06024822396042</v>
      </c>
      <c r="G319" s="52" t="n">
        <f aca="false">IF($G$11=$E$11,$F$11,IF(U319&lt;($F$11-$E$11)/($G$11-$E$11),$E$11+SQRT(U319*($G$11-$E$11)*($F$11-$E$11)),$G$11-SQRT((1-U319)*($G$11-$E$11)*($G$11-$F$11))))</f>
        <v>0.105449565529935</v>
      </c>
      <c r="H319" s="53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-2120496447.92083</v>
      </c>
      <c r="I319" s="53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-88316175.4168079</v>
      </c>
      <c r="J319" s="53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123286942.272386</v>
      </c>
      <c r="K319" s="53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387902471.159601</v>
      </c>
      <c r="L319" s="53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486561231.191797</v>
      </c>
      <c r="M319" s="53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641245362.272018</v>
      </c>
      <c r="N319" s="53" t="n">
        <f aca="false">IF(COUNT('Business Case'!B11:G11)=0,"",H319+NPV(G319,I319:M319))</f>
        <v>-1098084132.94937</v>
      </c>
      <c r="P319" s="54" t="n">
        <f aca="true">RAND()</f>
        <v>0.124638619302972</v>
      </c>
      <c r="Q319" s="54" t="n">
        <f aca="true">RAND()</f>
        <v>0.196217535737834</v>
      </c>
      <c r="R319" s="54" t="n">
        <f aca="true">RAND()</f>
        <v>0.674034387591582</v>
      </c>
      <c r="S319" s="54" t="n">
        <f aca="true">RAND()</f>
        <v>0.815685472313239</v>
      </c>
      <c r="T319" s="54" t="n">
        <f aca="true">RAND()</f>
        <v>0.519923513197649</v>
      </c>
      <c r="U319" s="54" t="n">
        <f aca="true">RAND()</f>
        <v>0.598184111554013</v>
      </c>
    </row>
    <row r="320" customFormat="false" ht="15" hidden="false" customHeight="false" outlineLevel="0" collapsed="false">
      <c r="A320" s="50" t="n">
        <v>240</v>
      </c>
      <c r="B320" s="51" t="n">
        <f aca="false">1+IF($G$6=$E$6,$F$6,IF(P320&lt;($F$6-$E$6)/($G$6-$E$6),$E$6+SQRT(P320*($G$6-$E$6)*($F$6-$E$6)),$G$6-SQRT((1-P320)*($G$6-$E$6)*($G$6-$F$6))))</f>
        <v>0.95732112557664</v>
      </c>
      <c r="C320" s="51" t="n">
        <f aca="false">1+IF($G$7=$E$7,$F$7,IF(Q320&lt;($F$7-$E$7)/($G$7-$E$7),$E$7+SQRT(Q320*($G$7-$E$7)*($F$7-$E$7)),$G$7-SQRT((1-Q320)*($G$7-$E$7)*($G$7-$F$7))))</f>
        <v>1.09336117030474</v>
      </c>
      <c r="D320" s="51" t="n">
        <f aca="false">1+IF($G$8=$E$8,$F$8,IF(R320&lt;($F$8-$E$8)/($G$8-$E$8),$E$8+SQRT(R320*($G$8-$E$8)*($F$8-$E$8)),$G$8-SQRT((1-R320)*($G$8-$E$8)*($G$8-$F$8))))</f>
        <v>1.06955581711135</v>
      </c>
      <c r="E320" s="51" t="n">
        <f aca="false">1+IF($G$9=$E$9,$F$9,IF(S320&lt;($F$9-$E$9)/($G$9-$E$9),$E$9+SQRT(S320*($G$9-$E$9)*($F$9-$E$9)),$G$9-SQRT((1-S320)*($G$9-$E$9)*($G$9-$F$9))))</f>
        <v>1.01520409647331</v>
      </c>
      <c r="F320" s="51" t="n">
        <f aca="false">1+IF($G$10=$E$10,$F$10,IF(T320&lt;($F$10-$E$10)/($G$10-$E$10),$E$10+SQRT(T320*($G$10-$E$10)*($F$10-$E$10)),$G$10-SQRT((1-T320)*($G$10-$E$10)*($G$10-$F$10))))</f>
        <v>1.02916788018432</v>
      </c>
      <c r="G320" s="52" t="n">
        <f aca="false">IF($G$11=$E$11,$F$11,IF(U320&lt;($F$11-$E$11)/($G$11-$E$11),$E$11+SQRT(U320*($G$11-$E$11)*($F$11-$E$11)),$G$11-SQRT((1-U320)*($G$11-$E$11)*($G$11-$F$11))))</f>
        <v>0.102779906795608</v>
      </c>
      <c r="H320" s="53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-2058335760.36863</v>
      </c>
      <c r="I320" s="53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-42863581.997065</v>
      </c>
      <c r="J320" s="53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215812457.706744</v>
      </c>
      <c r="K320" s="53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525946891.419769</v>
      </c>
      <c r="L320" s="53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648346112.096997</v>
      </c>
      <c r="M320" s="53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847302419.6981</v>
      </c>
      <c r="N320" s="53" t="n">
        <f aca="false">IF(COUNT('Business Case'!B11:G11)=0,"",H320+NPV(G320,I320:M320))</f>
        <v>-569683023.719351</v>
      </c>
      <c r="P320" s="54" t="n">
        <f aca="true">RAND()</f>
        <v>0.219047429158192</v>
      </c>
      <c r="Q320" s="54" t="n">
        <f aca="true">RAND()</f>
        <v>0.952474710677795</v>
      </c>
      <c r="R320" s="54" t="n">
        <f aca="true">RAND()</f>
        <v>0.938210115216163</v>
      </c>
      <c r="S320" s="54" t="n">
        <f aca="true">RAND()</f>
        <v>0.515468383797989</v>
      </c>
      <c r="T320" s="54" t="n">
        <f aca="true">RAND()</f>
        <v>0.349775664769486</v>
      </c>
      <c r="U320" s="54" t="n">
        <f aca="true">RAND()</f>
        <v>0.506044350629483</v>
      </c>
    </row>
    <row r="321" customFormat="false" ht="15" hidden="false" customHeight="false" outlineLevel="0" collapsed="false">
      <c r="A321" s="50" t="n">
        <v>241</v>
      </c>
      <c r="B321" s="51" t="n">
        <f aca="false">1+IF($G$6=$E$6,$F$6,IF(P321&lt;($F$6-$E$6)/($G$6-$E$6),$E$6+SQRT(P321*($G$6-$E$6)*($F$6-$E$6)),$G$6-SQRT((1-P321)*($G$6-$E$6)*($G$6-$F$6))))</f>
        <v>0.957143164706938</v>
      </c>
      <c r="C321" s="51" t="n">
        <f aca="false">1+IF($G$7=$E$7,$F$7,IF(Q321&lt;($F$7-$E$7)/($G$7-$E$7),$E$7+SQRT(Q321*($G$7-$E$7)*($F$7-$E$7)),$G$7-SQRT((1-Q321)*($G$7-$E$7)*($G$7-$F$7))))</f>
        <v>1.0213723898809</v>
      </c>
      <c r="D321" s="51" t="n">
        <f aca="false">1+IF($G$8=$E$8,$F$8,IF(R321&lt;($F$8-$E$8)/($G$8-$E$8),$E$8+SQRT(R321*($G$8-$E$8)*($F$8-$E$8)),$G$8-SQRT((1-R321)*($G$8-$E$8)*($G$8-$F$8))))</f>
        <v>0.971214958930752</v>
      </c>
      <c r="E321" s="51" t="n">
        <f aca="false">1+IF($G$9=$E$9,$F$9,IF(S321&lt;($F$9-$E$9)/($G$9-$E$9),$E$9+SQRT(S321*($G$9-$E$9)*($F$9-$E$9)),$G$9-SQRT((1-S321)*($G$9-$E$9)*($G$9-$F$9))))</f>
        <v>0.916559692822293</v>
      </c>
      <c r="F321" s="51" t="n">
        <f aca="false">1+IF($G$10=$E$10,$F$10,IF(T321&lt;($F$10-$E$10)/($G$10-$E$10),$E$10+SQRT(T321*($G$10-$E$10)*($F$10-$E$10)),$G$10-SQRT((1-T321)*($G$10-$E$10)*($G$10-$F$10))))</f>
        <v>0.992006232899295</v>
      </c>
      <c r="G321" s="52" t="n">
        <f aca="false">IF($G$11=$E$11,$F$11,IF(U321&lt;($F$11-$E$11)/($G$11-$E$11),$E$11+SQRT(U321*($G$11-$E$11)*($F$11-$E$11)),$G$11-SQRT((1-U321)*($G$11-$E$11)*($G$11-$F$11))))</f>
        <v>0.0924166837347902</v>
      </c>
      <c r="H321" s="53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-1984012465.79859</v>
      </c>
      <c r="I321" s="53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12699906.1232039</v>
      </c>
      <c r="J321" s="53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305613987.202347</v>
      </c>
      <c r="K321" s="53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648128379.926454</v>
      </c>
      <c r="L321" s="53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779552249.183955</v>
      </c>
      <c r="M321" s="53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965374381.455112</v>
      </c>
      <c r="N321" s="53" t="n">
        <f aca="false">IF(COUNT('Business Case'!B11:G11)=0,"",H321+NPV(G321,I321:M321))</f>
        <v>-51233293.4488697</v>
      </c>
      <c r="P321" s="54" t="n">
        <f aca="true">RAND()</f>
        <v>0.217689418181618</v>
      </c>
      <c r="Q321" s="54" t="n">
        <f aca="true">RAND()</f>
        <v>0.754887969111834</v>
      </c>
      <c r="R321" s="54" t="n">
        <f aca="true">RAND()</f>
        <v>0.0600099309911299</v>
      </c>
      <c r="S321" s="54" t="n">
        <f aca="true">RAND()</f>
        <v>0.0109689370547484</v>
      </c>
      <c r="T321" s="54" t="n">
        <f aca="true">RAND()</f>
        <v>0.117634906825987</v>
      </c>
      <c r="U321" s="54" t="n">
        <f aca="true">RAND()</f>
        <v>0.154174034969803</v>
      </c>
    </row>
    <row r="322" customFormat="false" ht="15" hidden="false" customHeight="false" outlineLevel="0" collapsed="false">
      <c r="A322" s="50" t="n">
        <v>242</v>
      </c>
      <c r="B322" s="51" t="n">
        <f aca="false">1+IF($G$6=$E$6,$F$6,IF(P322&lt;($F$6-$E$6)/($G$6-$E$6),$E$6+SQRT(P322*($G$6-$E$6)*($F$6-$E$6)),$G$6-SQRT((1-P322)*($G$6-$E$6)*($G$6-$F$6))))</f>
        <v>0.975249847467609</v>
      </c>
      <c r="C322" s="51" t="n">
        <f aca="false">1+IF($G$7=$E$7,$F$7,IF(Q322&lt;($F$7-$E$7)/($G$7-$E$7),$E$7+SQRT(Q322*($G$7-$E$7)*($F$7-$E$7)),$G$7-SQRT((1-Q322)*($G$7-$E$7)*($G$7-$F$7))))</f>
        <v>0.890200668523037</v>
      </c>
      <c r="D322" s="51" t="n">
        <f aca="false">1+IF($G$8=$E$8,$F$8,IF(R322&lt;($F$8-$E$8)/($G$8-$E$8),$E$8+SQRT(R322*($G$8-$E$8)*($F$8-$E$8)),$G$8-SQRT((1-R322)*($G$8-$E$8)*($G$8-$F$8))))</f>
        <v>1.05028173893445</v>
      </c>
      <c r="E322" s="51" t="n">
        <f aca="false">1+IF($G$9=$E$9,$F$9,IF(S322&lt;($F$9-$E$9)/($G$9-$E$9),$E$9+SQRT(S322*($G$9-$E$9)*($F$9-$E$9)),$G$9-SQRT((1-S322)*($G$9-$E$9)*($G$9-$F$9))))</f>
        <v>1.03015252832331</v>
      </c>
      <c r="F322" s="51" t="n">
        <f aca="false">1+IF($G$10=$E$10,$F$10,IF(T322&lt;($F$10-$E$10)/($G$10-$E$10),$E$10+SQRT(T322*($G$10-$E$10)*($F$10-$E$10)),$G$10-SQRT((1-T322)*($G$10-$E$10)*($G$10-$F$10))))</f>
        <v>1.02353502593328</v>
      </c>
      <c r="G322" s="52" t="n">
        <f aca="false">IF($G$11=$E$11,$F$11,IF(U322&lt;($F$11-$E$11)/($G$11-$E$11),$E$11+SQRT(U322*($G$11-$E$11)*($F$11-$E$11)),$G$11-SQRT((1-U322)*($G$11-$E$11)*($G$11-$F$11))))</f>
        <v>0.0807529543269255</v>
      </c>
      <c r="H322" s="53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-2047070051.86656</v>
      </c>
      <c r="I322" s="53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-61380364.5814219</v>
      </c>
      <c r="J322" s="53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171086295.509485</v>
      </c>
      <c r="K322" s="53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454729706.897056</v>
      </c>
      <c r="L322" s="53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562222481.961644</v>
      </c>
      <c r="M322" s="53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727243867.983543</v>
      </c>
      <c r="N322" s="53" t="n">
        <f aca="false">IF(COUNT('Business Case'!B11:G11)=0,"",H322+NPV(G322,I322:M322))</f>
        <v>-691836273.901884</v>
      </c>
      <c r="P322" s="54" t="n">
        <f aca="true">RAND()</f>
        <v>0.377502636259895</v>
      </c>
      <c r="Q322" s="54" t="n">
        <f aca="true">RAND()</f>
        <v>0.267972550419334</v>
      </c>
      <c r="R322" s="54" t="n">
        <f aca="true">RAND()</f>
        <v>0.835206301107825</v>
      </c>
      <c r="S322" s="54" t="n">
        <f aca="true">RAND()</f>
        <v>0.616975560872109</v>
      </c>
      <c r="T322" s="54" t="n">
        <f aca="true">RAND()</f>
        <v>0.316181540279451</v>
      </c>
      <c r="U322" s="54" t="n">
        <f aca="true">RAND()</f>
        <v>0.000566940218435802</v>
      </c>
    </row>
    <row r="323" customFormat="false" ht="15" hidden="false" customHeight="false" outlineLevel="0" collapsed="false">
      <c r="A323" s="50" t="n">
        <v>243</v>
      </c>
      <c r="B323" s="51" t="n">
        <f aca="false">1+IF($G$6=$E$6,$F$6,IF(P323&lt;($F$6-$E$6)/($G$6-$E$6),$E$6+SQRT(P323*($G$6-$E$6)*($F$6-$E$6)),$G$6-SQRT((1-P323)*($G$6-$E$6)*($G$6-$F$6))))</f>
        <v>0.964000539376401</v>
      </c>
      <c r="C323" s="51" t="n">
        <f aca="false">1+IF($G$7=$E$7,$F$7,IF(Q323&lt;($F$7-$E$7)/($G$7-$E$7),$E$7+SQRT(Q323*($G$7-$E$7)*($F$7-$E$7)),$G$7-SQRT((1-Q323)*($G$7-$E$7)*($G$7-$F$7))))</f>
        <v>1.1306336455923</v>
      </c>
      <c r="D323" s="51" t="n">
        <f aca="false">1+IF($G$8=$E$8,$F$8,IF(R323&lt;($F$8-$E$8)/($G$8-$E$8),$E$8+SQRT(R323*($G$8-$E$8)*($F$8-$E$8)),$G$8-SQRT((1-R323)*($G$8-$E$8)*($G$8-$F$8))))</f>
        <v>0.992418667391499</v>
      </c>
      <c r="E323" s="51" t="n">
        <f aca="false">1+IF($G$9=$E$9,$F$9,IF(S323&lt;($F$9-$E$9)/($G$9-$E$9),$E$9+SQRT(S323*($G$9-$E$9)*($F$9-$E$9)),$G$9-SQRT((1-S323)*($G$9-$E$9)*($G$9-$F$9))))</f>
        <v>1.05750673825603</v>
      </c>
      <c r="F323" s="51" t="n">
        <f aca="false">1+IF($G$10=$E$10,$F$10,IF(T323&lt;($F$10-$E$10)/($G$10-$E$10),$E$10+SQRT(T323*($G$10-$E$10)*($F$10-$E$10)),$G$10-SQRT((1-T323)*($G$10-$E$10)*($G$10-$F$10))))</f>
        <v>1.08445845524396</v>
      </c>
      <c r="G323" s="52" t="n">
        <f aca="false">IF($G$11=$E$11,$F$11,IF(U323&lt;($F$11-$E$11)/($G$11-$E$11),$E$11+SQRT(U323*($G$11-$E$11)*($F$11-$E$11)),$G$11-SQRT((1-U323)*($G$11-$E$11)*($G$11-$F$11))))</f>
        <v>0.107960238334452</v>
      </c>
      <c r="H323" s="53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-2168916910.48792</v>
      </c>
      <c r="I323" s="53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3001031.8740256</v>
      </c>
      <c r="J323" s="53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321327413.519165</v>
      </c>
      <c r="K323" s="53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693876717.926503</v>
      </c>
      <c r="L323" s="53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837653542.519356</v>
      </c>
      <c r="M323" s="53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1044827711.43063</v>
      </c>
      <c r="N323" s="53" t="n">
        <f aca="false">IF(COUNT('Business Case'!B11:G11)=0,"",H323+NPV(G323,I323:M323))</f>
        <v>-212640626.450354</v>
      </c>
      <c r="P323" s="54" t="n">
        <f aca="true">RAND()</f>
        <v>0.273071269364683</v>
      </c>
      <c r="Q323" s="54" t="n">
        <f aca="true">RAND()</f>
        <v>0.99444361951045</v>
      </c>
      <c r="R323" s="54" t="n">
        <f aca="true">RAND()</f>
        <v>0.239912445769418</v>
      </c>
      <c r="S323" s="54" t="n">
        <f aca="true">RAND()</f>
        <v>0.771866574185652</v>
      </c>
      <c r="T323" s="54" t="n">
        <f aca="true">RAND()</f>
        <v>0.634613292797124</v>
      </c>
      <c r="U323" s="54" t="n">
        <f aca="true">RAND()</f>
        <v>0.676165937150547</v>
      </c>
    </row>
    <row r="324" customFormat="false" ht="15" hidden="false" customHeight="false" outlineLevel="0" collapsed="false">
      <c r="A324" s="50" t="n">
        <v>244</v>
      </c>
      <c r="B324" s="51" t="n">
        <f aca="false">1+IF($G$6=$E$6,$F$6,IF(P324&lt;($F$6-$E$6)/($G$6-$E$6),$E$6+SQRT(P324*($G$6-$E$6)*($F$6-$E$6)),$G$6-SQRT((1-P324)*($G$6-$E$6)*($G$6-$F$6))))</f>
        <v>0.939246561542167</v>
      </c>
      <c r="C324" s="51" t="n">
        <f aca="false">1+IF($G$7=$E$7,$F$7,IF(Q324&lt;($F$7-$E$7)/($G$7-$E$7),$E$7+SQRT(Q324*($G$7-$E$7)*($F$7-$E$7)),$G$7-SQRT((1-Q324)*($G$7-$E$7)*($G$7-$F$7))))</f>
        <v>1.09375821156057</v>
      </c>
      <c r="D324" s="51" t="n">
        <f aca="false">1+IF($G$8=$E$8,$F$8,IF(R324&lt;($F$8-$E$8)/($G$8-$E$8),$E$8+SQRT(R324*($G$8-$E$8)*($F$8-$E$8)),$G$8-SQRT((1-R324)*($G$8-$E$8)*($G$8-$F$8))))</f>
        <v>1.01927072069015</v>
      </c>
      <c r="E324" s="51" t="n">
        <f aca="false">1+IF($G$9=$E$9,$F$9,IF(S324&lt;($F$9-$E$9)/($G$9-$E$9),$E$9+SQRT(S324*($G$9-$E$9)*($F$9-$E$9)),$G$9-SQRT((1-S324)*($G$9-$E$9)*($G$9-$F$9))))</f>
        <v>0.987256129256589</v>
      </c>
      <c r="F324" s="51" t="n">
        <f aca="false">1+IF($G$10=$E$10,$F$10,IF(T324&lt;($F$10-$E$10)/($G$10-$E$10),$E$10+SQRT(T324*($G$10-$E$10)*($F$10-$E$10)),$G$10-SQRT((1-T324)*($G$10-$E$10)*($G$10-$F$10))))</f>
        <v>1.01977992129151</v>
      </c>
      <c r="G324" s="52" t="n">
        <f aca="false">IF($G$11=$E$11,$F$11,IF(U324&lt;($F$11-$E$11)/($G$11-$E$11),$E$11+SQRT(U324*($G$11-$E$11)*($F$11-$E$11)),$G$11-SQRT((1-U324)*($G$11-$E$11)*($G$11-$F$11))))</f>
        <v>0.0912240391945925</v>
      </c>
      <c r="H324" s="53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-2039559842.58303</v>
      </c>
      <c r="I324" s="53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-24888453.7788977</v>
      </c>
      <c r="J324" s="53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245844586.016417</v>
      </c>
      <c r="K324" s="53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567566621.876307</v>
      </c>
      <c r="L324" s="53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693314755.051261</v>
      </c>
      <c r="M324" s="53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888585581.222098</v>
      </c>
      <c r="N324" s="53" t="n">
        <f aca="false">IF(COUNT('Business Case'!B11:G11)=0,"",H324+NPV(G324,I324:M324))</f>
        <v>-355867307.061507</v>
      </c>
      <c r="P324" s="54" t="n">
        <f aca="true">RAND()</f>
        <v>0.102686172858875</v>
      </c>
      <c r="Q324" s="54" t="n">
        <f aca="true">RAND()</f>
        <v>0.953138684935329</v>
      </c>
      <c r="R324" s="54" t="n">
        <f aca="true">RAND()</f>
        <v>0.565518897474173</v>
      </c>
      <c r="S324" s="54" t="n">
        <f aca="true">RAND()</f>
        <v>0.3045452837137</v>
      </c>
      <c r="T324" s="54" t="n">
        <f aca="true">RAND()</f>
        <v>0.293316204792781</v>
      </c>
      <c r="U324" s="54" t="n">
        <f aca="true">RAND()</f>
        <v>0.125979055841749</v>
      </c>
    </row>
    <row r="325" customFormat="false" ht="15" hidden="false" customHeight="false" outlineLevel="0" collapsed="false">
      <c r="A325" s="50" t="n">
        <v>245</v>
      </c>
      <c r="B325" s="51" t="n">
        <f aca="false">1+IF($G$6=$E$6,$F$6,IF(P325&lt;($F$6-$E$6)/($G$6-$E$6),$E$6+SQRT(P325*($G$6-$E$6)*($F$6-$E$6)),$G$6-SQRT((1-P325)*($G$6-$E$6)*($G$6-$F$6))))</f>
        <v>0.989249489172031</v>
      </c>
      <c r="C325" s="51" t="n">
        <f aca="false">1+IF($G$7=$E$7,$F$7,IF(Q325&lt;($F$7-$E$7)/($G$7-$E$7),$E$7+SQRT(Q325*($G$7-$E$7)*($F$7-$E$7)),$G$7-SQRT((1-Q325)*($G$7-$E$7)*($G$7-$F$7))))</f>
        <v>1.06244127241176</v>
      </c>
      <c r="D325" s="51" t="n">
        <f aca="false">1+IF($G$8=$E$8,$F$8,IF(R325&lt;($F$8-$E$8)/($G$8-$E$8),$E$8+SQRT(R325*($G$8-$E$8)*($F$8-$E$8)),$G$8-SQRT((1-R325)*($G$8-$E$8)*($G$8-$F$8))))</f>
        <v>1.01862099698963</v>
      </c>
      <c r="E325" s="51" t="n">
        <f aca="false">1+IF($G$9=$E$9,$F$9,IF(S325&lt;($F$9-$E$9)/($G$9-$E$9),$E$9+SQRT(S325*($G$9-$E$9)*($F$9-$E$9)),$G$9-SQRT((1-S325)*($G$9-$E$9)*($G$9-$F$9))))</f>
        <v>1.09799203181422</v>
      </c>
      <c r="F325" s="51" t="n">
        <f aca="false">1+IF($G$10=$E$10,$F$10,IF(T325&lt;($F$10-$E$10)/($G$10-$E$10),$E$10+SQRT(T325*($G$10-$E$10)*($F$10-$E$10)),$G$10-SQRT((1-T325)*($G$10-$E$10)*($G$10-$F$10))))</f>
        <v>0.95632162245071</v>
      </c>
      <c r="G325" s="52" t="n">
        <f aca="false">IF($G$11=$E$11,$F$11,IF(U325&lt;($F$11-$E$11)/($G$11-$E$11),$E$11+SQRT(U325*($G$11-$E$11)*($F$11-$E$11)),$G$11-SQRT((1-U325)*($G$11-$E$11)*($G$11-$F$11))))</f>
        <v>0.123075494525723</v>
      </c>
      <c r="H325" s="53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-1912643244.90142</v>
      </c>
      <c r="I325" s="53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596537.188100696</v>
      </c>
      <c r="J325" s="53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307444553.699941</v>
      </c>
      <c r="K325" s="53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662108651.334316</v>
      </c>
      <c r="L325" s="53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800714556.941387</v>
      </c>
      <c r="M325" s="53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1000492340.8419</v>
      </c>
      <c r="N325" s="53" t="n">
        <f aca="false">IF(COUNT('Business Case'!B11:G11)=0,"",H325+NPV(G325,I325:M325))</f>
        <v>-137652079.794308</v>
      </c>
      <c r="P325" s="54" t="n">
        <f aca="true">RAND()</f>
        <v>0.531031421164568</v>
      </c>
      <c r="Q325" s="54" t="n">
        <f aca="true">RAND()</f>
        <v>0.886421766268564</v>
      </c>
      <c r="R325" s="54" t="n">
        <f aca="true">RAND()</f>
        <v>0.558497191269169</v>
      </c>
      <c r="S325" s="54" t="n">
        <f aca="true">RAND()</f>
        <v>0.927871233204976</v>
      </c>
      <c r="T325" s="54" t="n">
        <f aca="true">RAND()</f>
        <v>0.00266419402728777</v>
      </c>
      <c r="U325" s="54" t="n">
        <f aca="true">RAND()</f>
        <v>0.968034149291142</v>
      </c>
    </row>
    <row r="326" customFormat="false" ht="15" hidden="false" customHeight="false" outlineLevel="0" collapsed="false">
      <c r="A326" s="50" t="n">
        <v>246</v>
      </c>
      <c r="B326" s="51" t="n">
        <f aca="false">1+IF($G$6=$E$6,$F$6,IF(P326&lt;($F$6-$E$6)/($G$6-$E$6),$E$6+SQRT(P326*($G$6-$E$6)*($F$6-$E$6)),$G$6-SQRT((1-P326)*($G$6-$E$6)*($G$6-$F$6))))</f>
        <v>1.00089670779482</v>
      </c>
      <c r="C326" s="51" t="n">
        <f aca="false">1+IF($G$7=$E$7,$F$7,IF(Q326&lt;($F$7-$E$7)/($G$7-$E$7),$E$7+SQRT(Q326*($G$7-$E$7)*($F$7-$E$7)),$G$7-SQRT((1-Q326)*($G$7-$E$7)*($G$7-$F$7))))</f>
        <v>1.0309059584935</v>
      </c>
      <c r="D326" s="51" t="n">
        <f aca="false">1+IF($G$8=$E$8,$F$8,IF(R326&lt;($F$8-$E$8)/($G$8-$E$8),$E$8+SQRT(R326*($G$8-$E$8)*($F$8-$E$8)),$G$8-SQRT((1-R326)*($G$8-$E$8)*($G$8-$F$8))))</f>
        <v>0.993724263116836</v>
      </c>
      <c r="E326" s="51" t="n">
        <f aca="false">1+IF($G$9=$E$9,$F$9,IF(S326&lt;($F$9-$E$9)/($G$9-$E$9),$E$9+SQRT(S326*($G$9-$E$9)*($F$9-$E$9)),$G$9-SQRT((1-S326)*($G$9-$E$9)*($G$9-$F$9))))</f>
        <v>0.976884686412157</v>
      </c>
      <c r="F326" s="51" t="n">
        <f aca="false">1+IF($G$10=$E$10,$F$10,IF(T326&lt;($F$10-$E$10)/($G$10-$E$10),$E$10+SQRT(T326*($G$10-$E$10)*($F$10-$E$10)),$G$10-SQRT((1-T326)*($G$10-$E$10)*($G$10-$F$10))))</f>
        <v>1.02638879797515</v>
      </c>
      <c r="G326" s="52" t="n">
        <f aca="false">IF($G$11=$E$11,$F$11,IF(U326&lt;($F$11-$E$11)/($G$11-$E$11),$E$11+SQRT(U326*($G$11-$E$11)*($F$11-$E$11)),$G$11-SQRT((1-U326)*($G$11-$E$11)*($G$11-$F$11))))</f>
        <v>0.102967772152941</v>
      </c>
      <c r="H326" s="53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-2052777595.9503</v>
      </c>
      <c r="I326" s="53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25671991.5882067</v>
      </c>
      <c r="J326" s="53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346385952.275868</v>
      </c>
      <c r="K326" s="53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718419352.862287</v>
      </c>
      <c r="L326" s="53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860984064.35426</v>
      </c>
      <c r="M326" s="53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1057114382.96607</v>
      </c>
      <c r="N326" s="53" t="n">
        <f aca="false">IF(COUNT('Business Case'!B11:G11)=0,"",H326+NPV(G326,I326:M326))</f>
        <v>20003974.2000513</v>
      </c>
      <c r="P326" s="54" t="n">
        <f aca="true">RAND()</f>
        <v>0.678515559281668</v>
      </c>
      <c r="Q326" s="54" t="n">
        <f aca="true">RAND()</f>
        <v>0.789875693002205</v>
      </c>
      <c r="R326" s="54" t="n">
        <f aca="true">RAND()</f>
        <v>0.254908158014703</v>
      </c>
      <c r="S326" s="54" t="n">
        <f aca="true">RAND()</f>
        <v>0.236450200187827</v>
      </c>
      <c r="T326" s="54" t="n">
        <f aca="true">RAND()</f>
        <v>0.33330707105337</v>
      </c>
      <c r="U326" s="54" t="n">
        <f aca="true">RAND()</f>
        <v>0.512839105083113</v>
      </c>
    </row>
    <row r="327" customFormat="false" ht="15" hidden="false" customHeight="false" outlineLevel="0" collapsed="false">
      <c r="A327" s="50" t="n">
        <v>247</v>
      </c>
      <c r="B327" s="51" t="n">
        <f aca="false">1+IF($G$6=$E$6,$F$6,IF(P327&lt;($F$6-$E$6)/($G$6-$E$6),$E$6+SQRT(P327*($G$6-$E$6)*($F$6-$E$6)),$G$6-SQRT((1-P327)*($G$6-$E$6)*($G$6-$F$6))))</f>
        <v>0.991744801621973</v>
      </c>
      <c r="C327" s="51" t="n">
        <f aca="false">1+IF($G$7=$E$7,$F$7,IF(Q327&lt;($F$7-$E$7)/($G$7-$E$7),$E$7+SQRT(Q327*($G$7-$E$7)*($F$7-$E$7)),$G$7-SQRT((1-Q327)*($G$7-$E$7)*($G$7-$F$7))))</f>
        <v>0.912751659743231</v>
      </c>
      <c r="D327" s="51" t="n">
        <f aca="false">1+IF($G$8=$E$8,$F$8,IF(R327&lt;($F$8-$E$8)/($G$8-$E$8),$E$8+SQRT(R327*($G$8-$E$8)*($F$8-$E$8)),$G$8-SQRT((1-R327)*($G$8-$E$8)*($G$8-$F$8))))</f>
        <v>1.06255879094018</v>
      </c>
      <c r="E327" s="51" t="n">
        <f aca="false">1+IF($G$9=$E$9,$F$9,IF(S327&lt;($F$9-$E$9)/($G$9-$E$9),$E$9+SQRT(S327*($G$9-$E$9)*($F$9-$E$9)),$G$9-SQRT((1-S327)*($G$9-$E$9)*($G$9-$F$9))))</f>
        <v>1.0130945185786</v>
      </c>
      <c r="F327" s="51" t="n">
        <f aca="false">1+IF($G$10=$E$10,$F$10,IF(T327&lt;($F$10-$E$10)/($G$10-$E$10),$E$10+SQRT(T327*($G$10-$E$10)*($F$10-$E$10)),$G$10-SQRT((1-T327)*($G$10-$E$10)*($G$10-$F$10))))</f>
        <v>1.03211845429655</v>
      </c>
      <c r="G327" s="52" t="n">
        <f aca="false">IF($G$11=$E$11,$F$11,IF(U327&lt;($F$11-$E$11)/($G$11-$E$11),$E$11+SQRT(U327*($G$11-$E$11)*($F$11-$E$11)),$G$11-SQRT((1-U327)*($G$11-$E$11)*($G$11-$F$11))))</f>
        <v>0.112855434071941</v>
      </c>
      <c r="H327" s="53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-2064236908.59311</v>
      </c>
      <c r="I327" s="53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-49249445.6878088</v>
      </c>
      <c r="J327" s="53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195701429.035272</v>
      </c>
      <c r="K327" s="53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492258226.473181</v>
      </c>
      <c r="L327" s="53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605192807.67378</v>
      </c>
      <c r="M327" s="53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777256400.618091</v>
      </c>
      <c r="N327" s="53" t="n">
        <f aca="false">IF(COUNT('Business Case'!B11:G11)=0,"",H327+NPV(G327,I327:M327))</f>
        <v>-743339090.265705</v>
      </c>
      <c r="P327" s="54" t="n">
        <f aca="true">RAND()</f>
        <v>0.561140574977013</v>
      </c>
      <c r="Q327" s="54" t="n">
        <f aca="true">RAND()</f>
        <v>0.335283472025922</v>
      </c>
      <c r="R327" s="54" t="n">
        <f aca="true">RAND()</f>
        <v>0.906543724275932</v>
      </c>
      <c r="S327" s="54" t="n">
        <f aca="true">RAND()</f>
        <v>0.500183710847309</v>
      </c>
      <c r="T327" s="54" t="n">
        <f aca="true">RAND()</f>
        <v>0.367035093891693</v>
      </c>
      <c r="U327" s="54" t="n">
        <f aca="true">RAND()</f>
        <v>0.804042572758947</v>
      </c>
    </row>
    <row r="328" customFormat="false" ht="15" hidden="false" customHeight="false" outlineLevel="0" collapsed="false">
      <c r="A328" s="50" t="n">
        <v>248</v>
      </c>
      <c r="B328" s="51" t="n">
        <f aca="false">1+IF($G$6=$E$6,$F$6,IF(P328&lt;($F$6-$E$6)/($G$6-$E$6),$E$6+SQRT(P328*($G$6-$E$6)*($F$6-$E$6)),$G$6-SQRT((1-P328)*($G$6-$E$6)*($G$6-$F$6))))</f>
        <v>0.960053497736331</v>
      </c>
      <c r="C328" s="51" t="n">
        <f aca="false">1+IF($G$7=$E$7,$F$7,IF(Q328&lt;($F$7-$E$7)/($G$7-$E$7),$E$7+SQRT(Q328*($G$7-$E$7)*($F$7-$E$7)),$G$7-SQRT((1-Q328)*($G$7-$E$7)*($G$7-$F$7))))</f>
        <v>0.892677489926005</v>
      </c>
      <c r="D328" s="51" t="n">
        <f aca="false">1+IF($G$8=$E$8,$F$8,IF(R328&lt;($F$8-$E$8)/($G$8-$E$8),$E$8+SQRT(R328*($G$8-$E$8)*($F$8-$E$8)),$G$8-SQRT((1-R328)*($G$8-$E$8)*($G$8-$F$8))))</f>
        <v>1.01279872958821</v>
      </c>
      <c r="E328" s="51" t="n">
        <f aca="false">1+IF($G$9=$E$9,$F$9,IF(S328&lt;($F$9-$E$9)/($G$9-$E$9),$E$9+SQRT(S328*($G$9-$E$9)*($F$9-$E$9)),$G$9-SQRT((1-S328)*($G$9-$E$9)*($G$9-$F$9))))</f>
        <v>0.996326989276523</v>
      </c>
      <c r="F328" s="51" t="n">
        <f aca="false">1+IF($G$10=$E$10,$F$10,IF(T328&lt;($F$10-$E$10)/($G$10-$E$10),$E$10+SQRT(T328*($G$10-$E$10)*($F$10-$E$10)),$G$10-SQRT((1-T328)*($G$10-$E$10)*($G$10-$F$10))))</f>
        <v>1.01309982530189</v>
      </c>
      <c r="G328" s="52" t="n">
        <f aca="false">IF($G$11=$E$11,$F$11,IF(U328&lt;($F$11-$E$11)/($G$11-$E$11),$E$11+SQRT(U328*($G$11-$E$11)*($F$11-$E$11)),$G$11-SQRT((1-U328)*($G$11-$E$11)*($G$11-$F$11))))</f>
        <v>0.118978688244775</v>
      </c>
      <c r="H328" s="53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-2026199650.60377</v>
      </c>
      <c r="I328" s="53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-48284150.9754852</v>
      </c>
      <c r="J328" s="53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190847199.171697</v>
      </c>
      <c r="K328" s="53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480633540.583973</v>
      </c>
      <c r="L328" s="53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589962537.777938</v>
      </c>
      <c r="M328" s="53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752864547.074913</v>
      </c>
      <c r="N328" s="53" t="n">
        <f aca="false">IF(COUNT('Business Case'!B11:G11)=0,"",H328+NPV(G328,I328:M328))</f>
        <v>-768435492.242626</v>
      </c>
      <c r="P328" s="54" t="n">
        <f aca="true">RAND()</f>
        <v>0.240428172691164</v>
      </c>
      <c r="Q328" s="54" t="n">
        <f aca="true">RAND()</f>
        <v>0.274997149068043</v>
      </c>
      <c r="R328" s="54" t="n">
        <f aca="true">RAND()</f>
        <v>0.493062562571302</v>
      </c>
      <c r="S328" s="54" t="n">
        <f aca="true">RAND()</f>
        <v>0.371155554523178</v>
      </c>
      <c r="T328" s="54" t="n">
        <f aca="true">RAND()</f>
        <v>0.251710763040048</v>
      </c>
      <c r="U328" s="54" t="n">
        <f aca="true">RAND()</f>
        <v>0.919020458129419</v>
      </c>
    </row>
    <row r="329" customFormat="false" ht="15" hidden="false" customHeight="false" outlineLevel="0" collapsed="false">
      <c r="A329" s="50" t="n">
        <v>249</v>
      </c>
      <c r="B329" s="51" t="n">
        <f aca="false">1+IF($G$6=$E$6,$F$6,IF(P329&lt;($F$6-$E$6)/($G$6-$E$6),$E$6+SQRT(P329*($G$6-$E$6)*($F$6-$E$6)),$G$6-SQRT((1-P329)*($G$6-$E$6)*($G$6-$F$6))))</f>
        <v>1.03411521948492</v>
      </c>
      <c r="C329" s="51" t="n">
        <f aca="false">1+IF($G$7=$E$7,$F$7,IF(Q329&lt;($F$7-$E$7)/($G$7-$E$7),$E$7+SQRT(Q329*($G$7-$E$7)*($F$7-$E$7)),$G$7-SQRT((1-Q329)*($G$7-$E$7)*($G$7-$F$7))))</f>
        <v>0.894623890718335</v>
      </c>
      <c r="D329" s="51" t="n">
        <f aca="false">1+IF($G$8=$E$8,$F$8,IF(R329&lt;($F$8-$E$8)/($G$8-$E$8),$E$8+SQRT(R329*($G$8-$E$8)*($F$8-$E$8)),$G$8-SQRT((1-R329)*($G$8-$E$8)*($G$8-$F$8))))</f>
        <v>0.964300307418411</v>
      </c>
      <c r="E329" s="51" t="n">
        <f aca="false">1+IF($G$9=$E$9,$F$9,IF(S329&lt;($F$9-$E$9)/($G$9-$E$9),$E$9+SQRT(S329*($G$9-$E$9)*($F$9-$E$9)),$G$9-SQRT((1-S329)*($G$9-$E$9)*($G$9-$F$9))))</f>
        <v>1.09280208973587</v>
      </c>
      <c r="F329" s="51" t="n">
        <f aca="false">1+IF($G$10=$E$10,$F$10,IF(T329&lt;($F$10-$E$10)/($G$10-$E$10),$E$10+SQRT(T329*($G$10-$E$10)*($F$10-$E$10)),$G$10-SQRT((1-T329)*($G$10-$E$10)*($G$10-$F$10))))</f>
        <v>1.14828141618516</v>
      </c>
      <c r="G329" s="52" t="n">
        <f aca="false">IF($G$11=$E$11,$F$11,IF(U329&lt;($F$11-$E$11)/($G$11-$E$11),$E$11+SQRT(U329*($G$11-$E$11)*($F$11-$E$11)),$G$11-SQRT((1-U329)*($G$11-$E$11)*($G$11-$F$11))))</f>
        <v>0.0983878290058027</v>
      </c>
      <c r="H329" s="53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-2296562832.37033</v>
      </c>
      <c r="I329" s="53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-2050643.06861594</v>
      </c>
      <c r="J329" s="53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314082786.990294</v>
      </c>
      <c r="K329" s="53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687630287.858462</v>
      </c>
      <c r="L329" s="53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824981080.777144</v>
      </c>
      <c r="M329" s="53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1000832486.72189</v>
      </c>
      <c r="N329" s="53" t="n">
        <f aca="false">IF(COUNT('Business Case'!B11:G11)=0,"",H329+NPV(G329,I329:M329))</f>
        <v>-326388791.324699</v>
      </c>
      <c r="P329" s="54" t="n">
        <f aca="true">RAND()</f>
        <v>0.966356499731679</v>
      </c>
      <c r="Q329" s="54" t="n">
        <f aca="true">RAND()</f>
        <v>0.280581176580314</v>
      </c>
      <c r="R329" s="54" t="n">
        <f aca="true">RAND()</f>
        <v>0.0272665056348091</v>
      </c>
      <c r="S329" s="54" t="n">
        <f aca="true">RAND()</f>
        <v>0.912757308304452</v>
      </c>
      <c r="T329" s="54" t="n">
        <f aca="true">RAND()</f>
        <v>0.862044396089391</v>
      </c>
      <c r="U329" s="54" t="n">
        <f aca="true">RAND()</f>
        <v>0.33811225554664</v>
      </c>
    </row>
    <row r="330" customFormat="false" ht="15" hidden="false" customHeight="false" outlineLevel="0" collapsed="false">
      <c r="A330" s="50" t="n">
        <v>250</v>
      </c>
      <c r="B330" s="51" t="n">
        <f aca="false">1+IF($G$6=$E$6,$F$6,IF(P330&lt;($F$6-$E$6)/($G$6-$E$6),$E$6+SQRT(P330*($G$6-$E$6)*($F$6-$E$6)),$G$6-SQRT((1-P330)*($G$6-$E$6)*($G$6-$F$6))))</f>
        <v>0.982670175154852</v>
      </c>
      <c r="C330" s="51" t="n">
        <f aca="false">1+IF($G$7=$E$7,$F$7,IF(Q330&lt;($F$7-$E$7)/($G$7-$E$7),$E$7+SQRT(Q330*($G$7-$E$7)*($F$7-$E$7)),$G$7-SQRT((1-Q330)*($G$7-$E$7)*($G$7-$F$7))))</f>
        <v>1.01406212959381</v>
      </c>
      <c r="D330" s="51" t="n">
        <f aca="false">1+IF($G$8=$E$8,$F$8,IF(R330&lt;($F$8-$E$8)/($G$8-$E$8),$E$8+SQRT(R330*($G$8-$E$8)*($F$8-$E$8)),$G$8-SQRT((1-R330)*($G$8-$E$8)*($G$8-$F$8))))</f>
        <v>1.05178160509498</v>
      </c>
      <c r="E330" s="51" t="n">
        <f aca="false">1+IF($G$9=$E$9,$F$9,IF(S330&lt;($F$9-$E$9)/($G$9-$E$9),$E$9+SQRT(S330*($G$9-$E$9)*($F$9-$E$9)),$G$9-SQRT((1-S330)*($G$9-$E$9)*($G$9-$F$9))))</f>
        <v>1.06442725306079</v>
      </c>
      <c r="F330" s="51" t="n">
        <f aca="false">1+IF($G$10=$E$10,$F$10,IF(T330&lt;($F$10-$E$10)/($G$10-$E$10),$E$10+SQRT(T330*($G$10-$E$10)*($F$10-$E$10)),$G$10-SQRT((1-T330)*($G$10-$E$10)*($G$10-$F$10))))</f>
        <v>0.955328282952127</v>
      </c>
      <c r="G330" s="52" t="n">
        <f aca="false">IF($G$11=$E$11,$F$11,IF(U330&lt;($F$11-$E$11)/($G$11-$E$11),$E$11+SQRT(U330*($G$11-$E$11)*($F$11-$E$11)),$G$11-SQRT((1-U330)*($G$11-$E$11)*($G$11-$F$11))))</f>
        <v>0.0898316793291753</v>
      </c>
      <c r="H330" s="53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-1910656565.90425</v>
      </c>
      <c r="I330" s="53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-28355918.2103518</v>
      </c>
      <c r="J330" s="53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241840516.828377</v>
      </c>
      <c r="K330" s="53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559803366.014712</v>
      </c>
      <c r="L330" s="53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684307490.740038</v>
      </c>
      <c r="M330" s="53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873720045.82499</v>
      </c>
      <c r="N330" s="53" t="n">
        <f aca="false">IF(COUNT('Business Case'!B11:G11)=0,"",H330+NPV(G330,I330:M330))</f>
        <v>-247211778.745676</v>
      </c>
      <c r="P330" s="54" t="n">
        <f aca="true">RAND()</f>
        <v>0.455623857342255</v>
      </c>
      <c r="Q330" s="54" t="n">
        <f aca="true">RAND()</f>
        <v>0.726235487250815</v>
      </c>
      <c r="R330" s="54" t="n">
        <f aca="true">RAND()</f>
        <v>0.844999092852211</v>
      </c>
      <c r="S330" s="54" t="n">
        <f aca="true">RAND()</f>
        <v>0.804728132834088</v>
      </c>
      <c r="T330" s="54" t="n">
        <f aca="true">RAND()</f>
        <v>0.00189270661452809</v>
      </c>
      <c r="U330" s="54" t="n">
        <f aca="true">RAND()</f>
        <v>0.0966619184317326</v>
      </c>
    </row>
    <row r="331" customFormat="false" ht="15" hidden="false" customHeight="false" outlineLevel="0" collapsed="false">
      <c r="A331" s="50" t="n">
        <v>251</v>
      </c>
      <c r="B331" s="51" t="n">
        <f aca="false">1+IF($G$6=$E$6,$F$6,IF(P331&lt;($F$6-$E$6)/($G$6-$E$6),$E$6+SQRT(P331*($G$6-$E$6)*($F$6-$E$6)),$G$6-SQRT((1-P331)*($G$6-$E$6)*($G$6-$F$6))))</f>
        <v>1.0016924730399</v>
      </c>
      <c r="C331" s="51" t="n">
        <f aca="false">1+IF($G$7=$E$7,$F$7,IF(Q331&lt;($F$7-$E$7)/($G$7-$E$7),$E$7+SQRT(Q331*($G$7-$E$7)*($F$7-$E$7)),$G$7-SQRT((1-Q331)*($G$7-$E$7)*($G$7-$F$7))))</f>
        <v>0.866936666827231</v>
      </c>
      <c r="D331" s="51" t="n">
        <f aca="false">1+IF($G$8=$E$8,$F$8,IF(R331&lt;($F$8-$E$8)/($G$8-$E$8),$E$8+SQRT(R331*($G$8-$E$8)*($F$8-$E$8)),$G$8-SQRT((1-R331)*($G$8-$E$8)*($G$8-$F$8))))</f>
        <v>1.00939358707801</v>
      </c>
      <c r="E331" s="51" t="n">
        <f aca="false">1+IF($G$9=$E$9,$F$9,IF(S331&lt;($F$9-$E$9)/($G$9-$E$9),$E$9+SQRT(S331*($G$9-$E$9)*($F$9-$E$9)),$G$9-SQRT((1-S331)*($G$9-$E$9)*($G$9-$F$9))))</f>
        <v>1.09374380442459</v>
      </c>
      <c r="F331" s="51" t="n">
        <f aca="false">1+IF($G$10=$E$10,$F$10,IF(T331&lt;($F$10-$E$10)/($G$10-$E$10),$E$10+SQRT(T331*($G$10-$E$10)*($F$10-$E$10)),$G$10-SQRT((1-T331)*($G$10-$E$10)*($G$10-$F$10))))</f>
        <v>1.01142944178126</v>
      </c>
      <c r="G331" s="52" t="n">
        <f aca="false">IF($G$11=$E$11,$F$11,IF(U331&lt;($F$11-$E$11)/($G$11-$E$11),$E$11+SQRT(U331*($G$11-$E$11)*($F$11-$E$11)),$G$11-SQRT((1-U331)*($G$11-$E$11)*($G$11-$F$11))))</f>
        <v>0.0943091585345127</v>
      </c>
      <c r="H331" s="53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-2022858883.56253</v>
      </c>
      <c r="I331" s="53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-38377139.5252677</v>
      </c>
      <c r="J331" s="53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224937094.043048</v>
      </c>
      <c r="K331" s="53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538822799.700427</v>
      </c>
      <c r="L331" s="53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656606250.84072</v>
      </c>
      <c r="M331" s="53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821672470.570416</v>
      </c>
      <c r="N331" s="53" t="n">
        <f aca="false">IF(COUNT('Business Case'!B11:G11)=0,"",H331+NPV(G331,I331:M331))</f>
        <v>-477445933.606308</v>
      </c>
      <c r="P331" s="54" t="n">
        <f aca="true">RAND()</f>
        <v>0.688851045199835</v>
      </c>
      <c r="Q331" s="54" t="n">
        <f aca="true">RAND()</f>
        <v>0.206428523936191</v>
      </c>
      <c r="R331" s="54" t="n">
        <f aca="true">RAND()</f>
        <v>0.452698529160605</v>
      </c>
      <c r="S331" s="54" t="n">
        <f aca="true">RAND()</f>
        <v>0.915606412250157</v>
      </c>
      <c r="T331" s="54" t="n">
        <f aca="true">RAND()</f>
        <v>0.241121183349341</v>
      </c>
      <c r="U331" s="54" t="n">
        <f aca="true">RAND()</f>
        <v>0.204752017965818</v>
      </c>
    </row>
    <row r="332" customFormat="false" ht="15" hidden="false" customHeight="false" outlineLevel="0" collapsed="false">
      <c r="A332" s="50" t="n">
        <v>252</v>
      </c>
      <c r="B332" s="51" t="n">
        <f aca="false">1+IF($G$6=$E$6,$F$6,IF(P332&lt;($F$6-$E$6)/($G$6-$E$6),$E$6+SQRT(P332*($G$6-$E$6)*($F$6-$E$6)),$G$6-SQRT((1-P332)*($G$6-$E$6)*($G$6-$F$6))))</f>
        <v>0.993338765918442</v>
      </c>
      <c r="C332" s="51" t="n">
        <f aca="false">1+IF($G$7=$E$7,$F$7,IF(Q332&lt;($F$7-$E$7)/($G$7-$E$7),$E$7+SQRT(Q332*($G$7-$E$7)*($F$7-$E$7)),$G$7-SQRT((1-Q332)*($G$7-$E$7)*($G$7-$F$7))))</f>
        <v>1.08623597968606</v>
      </c>
      <c r="D332" s="51" t="n">
        <f aca="false">1+IF($G$8=$E$8,$F$8,IF(R332&lt;($F$8-$E$8)/($G$8-$E$8),$E$8+SQRT(R332*($G$8-$E$8)*($F$8-$E$8)),$G$8-SQRT((1-R332)*($G$8-$E$8)*($G$8-$F$8))))</f>
        <v>1.04120086625104</v>
      </c>
      <c r="E332" s="51" t="n">
        <f aca="false">1+IF($G$9=$E$9,$F$9,IF(S332&lt;($F$9-$E$9)/($G$9-$E$9),$E$9+SQRT(S332*($G$9-$E$9)*($F$9-$E$9)),$G$9-SQRT((1-S332)*($G$9-$E$9)*($G$9-$F$9))))</f>
        <v>1.10090579549193</v>
      </c>
      <c r="F332" s="51" t="n">
        <f aca="false">1+IF($G$10=$E$10,$F$10,IF(T332&lt;($F$10-$E$10)/($G$10-$E$10),$E$10+SQRT(T332*($G$10-$E$10)*($F$10-$E$10)),$G$10-SQRT((1-T332)*($G$10-$E$10)*($G$10-$F$10))))</f>
        <v>1.20378939908623</v>
      </c>
      <c r="G332" s="52" t="n">
        <f aca="false">IF($G$11=$E$11,$F$11,IF(U332&lt;($F$11-$E$11)/($G$11-$E$11),$E$11+SQRT(U332*($G$11-$E$11)*($F$11-$E$11)),$G$11-SQRT((1-U332)*($G$11-$E$11)*($G$11-$F$11))))</f>
        <v>0.120246169151863</v>
      </c>
      <c r="H332" s="53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-2407578798.17245</v>
      </c>
      <c r="I332" s="53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-28060500.489245</v>
      </c>
      <c r="J332" s="53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276742118.992868</v>
      </c>
      <c r="K332" s="53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641734208.429293</v>
      </c>
      <c r="L332" s="53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780625332.219187</v>
      </c>
      <c r="M332" s="53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985721710.679728</v>
      </c>
      <c r="N332" s="53" t="n">
        <f aca="false">IF(COUNT('Business Case'!B11:G11)=0,"",H332+NPV(G332,I332:M332))</f>
        <v>-701258173.333102</v>
      </c>
      <c r="P332" s="54" t="n">
        <f aca="true">RAND()</f>
        <v>0.580808348211843</v>
      </c>
      <c r="Q332" s="54" t="n">
        <f aca="true">RAND()</f>
        <v>0.939765180939312</v>
      </c>
      <c r="R332" s="54" t="n">
        <f aca="true">RAND()</f>
        <v>0.769510791358137</v>
      </c>
      <c r="S332" s="54" t="n">
        <f aca="true">RAND()</f>
        <v>0.935726908899182</v>
      </c>
      <c r="T332" s="54" t="n">
        <f aca="true">RAND()</f>
        <v>0.971527738175838</v>
      </c>
      <c r="U332" s="54" t="n">
        <f aca="true">RAND()</f>
        <v>0.936575189190619</v>
      </c>
    </row>
    <row r="333" customFormat="false" ht="15" hidden="false" customHeight="false" outlineLevel="0" collapsed="false">
      <c r="A333" s="50" t="n">
        <v>253</v>
      </c>
      <c r="B333" s="51" t="n">
        <f aca="false">1+IF($G$6=$E$6,$F$6,IF(P333&lt;($F$6-$E$6)/($G$6-$E$6),$E$6+SQRT(P333*($G$6-$E$6)*($F$6-$E$6)),$G$6-SQRT((1-P333)*($G$6-$E$6)*($G$6-$F$6))))</f>
        <v>0.997293794672913</v>
      </c>
      <c r="C333" s="51" t="n">
        <f aca="false">1+IF($G$7=$E$7,$F$7,IF(Q333&lt;($F$7-$E$7)/($G$7-$E$7),$E$7+SQRT(Q333*($G$7-$E$7)*($F$7-$E$7)),$G$7-SQRT((1-Q333)*($G$7-$E$7)*($G$7-$F$7))))</f>
        <v>0.949148113869993</v>
      </c>
      <c r="D333" s="51" t="n">
        <f aca="false">1+IF($G$8=$E$8,$F$8,IF(R333&lt;($F$8-$E$8)/($G$8-$E$8),$E$8+SQRT(R333*($G$8-$E$8)*($F$8-$E$8)),$G$8-SQRT((1-R333)*($G$8-$E$8)*($G$8-$F$8))))</f>
        <v>1.03003922251538</v>
      </c>
      <c r="E333" s="51" t="n">
        <f aca="false">1+IF($G$9=$E$9,$F$9,IF(S333&lt;($F$9-$E$9)/($G$9-$E$9),$E$9+SQRT(S333*($G$9-$E$9)*($F$9-$E$9)),$G$9-SQRT((1-S333)*($G$9-$E$9)*($G$9-$F$9))))</f>
        <v>0.940376545366067</v>
      </c>
      <c r="F333" s="51" t="n">
        <f aca="false">1+IF($G$10=$E$10,$F$10,IF(T333&lt;($F$10-$E$10)/($G$10-$E$10),$E$10+SQRT(T333*($G$10-$E$10)*($F$10-$E$10)),$G$10-SQRT((1-T333)*($G$10-$E$10)*($G$10-$F$10))))</f>
        <v>1.01328083631937</v>
      </c>
      <c r="G333" s="52" t="n">
        <f aca="false">IF($G$11=$E$11,$F$11,IF(U333&lt;($F$11-$E$11)/($G$11-$E$11),$E$11+SQRT(U333*($G$11-$E$11)*($F$11-$E$11)),$G$11-SQRT((1-U333)*($G$11-$E$11)*($G$11-$F$11))))</f>
        <v>0.122951555211499</v>
      </c>
      <c r="H333" s="53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-2026561672.63874</v>
      </c>
      <c r="I333" s="53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-9287124.15277563</v>
      </c>
      <c r="J333" s="53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265546062.611349</v>
      </c>
      <c r="K333" s="53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591043291.191442</v>
      </c>
      <c r="L333" s="53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715368141.802089</v>
      </c>
      <c r="M333" s="53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895293977.759752</v>
      </c>
      <c r="N333" s="53" t="n">
        <f aca="false">IF(COUNT('Business Case'!B11:G11)=0,"",H333+NPV(G333,I333:M333))</f>
        <v>-455626215.639452</v>
      </c>
      <c r="P333" s="54" t="n">
        <f aca="true">RAND()</f>
        <v>0.63107216545699</v>
      </c>
      <c r="Q333" s="54" t="n">
        <f aca="true">RAND()</f>
        <v>0.459813204777591</v>
      </c>
      <c r="R333" s="54" t="n">
        <f aca="true">RAND()</f>
        <v>0.673699307583181</v>
      </c>
      <c r="S333" s="54" t="n">
        <f aca="true">RAND()</f>
        <v>0.065210616627921</v>
      </c>
      <c r="T333" s="54" t="n">
        <f aca="true">RAND()</f>
        <v>0.252853833951244</v>
      </c>
      <c r="U333" s="54" t="n">
        <f aca="true">RAND()</f>
        <v>0.966879617375638</v>
      </c>
    </row>
    <row r="334" customFormat="false" ht="15" hidden="false" customHeight="false" outlineLevel="0" collapsed="false">
      <c r="A334" s="50" t="n">
        <v>254</v>
      </c>
      <c r="B334" s="51" t="n">
        <f aca="false">1+IF($G$6=$E$6,$F$6,IF(P334&lt;($F$6-$E$6)/($G$6-$E$6),$E$6+SQRT(P334*($G$6-$E$6)*($F$6-$E$6)),$G$6-SQRT((1-P334)*($G$6-$E$6)*($G$6-$F$6))))</f>
        <v>0.961265764956617</v>
      </c>
      <c r="C334" s="51" t="n">
        <f aca="false">1+IF($G$7=$E$7,$F$7,IF(Q334&lt;($F$7-$E$7)/($G$7-$E$7),$E$7+SQRT(Q334*($G$7-$E$7)*($F$7-$E$7)),$G$7-SQRT((1-Q334)*($G$7-$E$7)*($G$7-$F$7))))</f>
        <v>0.928328718156003</v>
      </c>
      <c r="D334" s="51" t="n">
        <f aca="false">1+IF($G$8=$E$8,$F$8,IF(R334&lt;($F$8-$E$8)/($G$8-$E$8),$E$8+SQRT(R334*($G$8-$E$8)*($F$8-$E$8)),$G$8-SQRT((1-R334)*($G$8-$E$8)*($G$8-$F$8))))</f>
        <v>0.99715328319947</v>
      </c>
      <c r="E334" s="51" t="n">
        <f aca="false">1+IF($G$9=$E$9,$F$9,IF(S334&lt;($F$9-$E$9)/($G$9-$E$9),$E$9+SQRT(S334*($G$9-$E$9)*($F$9-$E$9)),$G$9-SQRT((1-S334)*($G$9-$E$9)*($G$9-$F$9))))</f>
        <v>0.956776122218877</v>
      </c>
      <c r="F334" s="51" t="n">
        <f aca="false">1+IF($G$10=$E$10,$F$10,IF(T334&lt;($F$10-$E$10)/($G$10-$E$10),$E$10+SQRT(T334*($G$10-$E$10)*($F$10-$E$10)),$G$10-SQRT((1-T334)*($G$10-$E$10)*($G$10-$F$10))))</f>
        <v>1.11713846837863</v>
      </c>
      <c r="G334" s="52" t="n">
        <f aca="false">IF($G$11=$E$11,$F$11,IF(U334&lt;($F$11-$E$11)/($G$11-$E$11),$E$11+SQRT(U334*($G$11-$E$11)*($F$11-$E$11)),$G$11-SQRT((1-U334)*($G$11-$E$11)*($G$11-$F$11))))</f>
        <v>0.112696329747948</v>
      </c>
      <c r="H334" s="53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-2234276936.75725</v>
      </c>
      <c r="I334" s="53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-36989311.4977691</v>
      </c>
      <c r="J334" s="53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220049281.123637</v>
      </c>
      <c r="K334" s="53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532944797.163974</v>
      </c>
      <c r="L334" s="53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649464656.505634</v>
      </c>
      <c r="M334" s="53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819086463.078856</v>
      </c>
      <c r="N334" s="53" t="n">
        <f aca="false">IF(COUNT('Business Case'!B11:G11)=0,"",H334+NPV(G334,I334:M334))</f>
        <v>-799011314.777562</v>
      </c>
      <c r="P334" s="54" t="n">
        <f aca="true">RAND()</f>
        <v>0.250232930381296</v>
      </c>
      <c r="Q334" s="54" t="n">
        <f aca="true">RAND()</f>
        <v>0.386177803961211</v>
      </c>
      <c r="R334" s="54" t="n">
        <f aca="true">RAND()</f>
        <v>0.296457615531916</v>
      </c>
      <c r="S334" s="54" t="n">
        <f aca="true">RAND()</f>
        <v>0.128941122168516</v>
      </c>
      <c r="T334" s="54" t="n">
        <f aca="true">RAND()</f>
        <v>0.764637512202969</v>
      </c>
      <c r="U334" s="54" t="n">
        <f aca="true">RAND()</f>
        <v>0.800388663872176</v>
      </c>
    </row>
    <row r="335" customFormat="false" ht="15" hidden="false" customHeight="false" outlineLevel="0" collapsed="false">
      <c r="A335" s="50" t="n">
        <v>255</v>
      </c>
      <c r="B335" s="51" t="n">
        <f aca="false">1+IF($G$6=$E$6,$F$6,IF(P335&lt;($F$6-$E$6)/($G$6-$E$6),$E$6+SQRT(P335*($G$6-$E$6)*($F$6-$E$6)),$G$6-SQRT((1-P335)*($G$6-$E$6)*($G$6-$F$6))))</f>
        <v>1.03015967092392</v>
      </c>
      <c r="C335" s="51" t="n">
        <f aca="false">1+IF($G$7=$E$7,$F$7,IF(Q335&lt;($F$7-$E$7)/($G$7-$E$7),$E$7+SQRT(Q335*($G$7-$E$7)*($F$7-$E$7)),$G$7-SQRT((1-Q335)*($G$7-$E$7)*($G$7-$F$7))))</f>
        <v>0.938465494669099</v>
      </c>
      <c r="D335" s="51" t="n">
        <f aca="false">1+IF($G$8=$E$8,$F$8,IF(R335&lt;($F$8-$E$8)/($G$8-$E$8),$E$8+SQRT(R335*($G$8-$E$8)*($F$8-$E$8)),$G$8-SQRT((1-R335)*($G$8-$E$8)*($G$8-$F$8))))</f>
        <v>1.02828477301885</v>
      </c>
      <c r="E335" s="51" t="n">
        <f aca="false">1+IF($G$9=$E$9,$F$9,IF(S335&lt;($F$9-$E$9)/($G$9-$E$9),$E$9+SQRT(S335*($G$9-$E$9)*($F$9-$E$9)),$G$9-SQRT((1-S335)*($G$9-$E$9)*($G$9-$F$9))))</f>
        <v>1.06120816495641</v>
      </c>
      <c r="F335" s="51" t="n">
        <f aca="false">1+IF($G$10=$E$10,$F$10,IF(T335&lt;($F$10-$E$10)/($G$10-$E$10),$E$10+SQRT(T335*($G$10-$E$10)*($F$10-$E$10)),$G$10-SQRT((1-T335)*($G$10-$E$10)*($G$10-$F$10))))</f>
        <v>1.00104406839293</v>
      </c>
      <c r="G335" s="52" t="n">
        <f aca="false">IF($G$11=$E$11,$F$11,IF(U335&lt;($F$11-$E$11)/($G$11-$E$11),$E$11+SQRT(U335*($G$11-$E$11)*($F$11-$E$11)),$G$11-SQRT((1-U335)*($G$11-$E$11)*($G$11-$F$11))))</f>
        <v>0.0979502639921595</v>
      </c>
      <c r="H335" s="53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-2002088136.78585</v>
      </c>
      <c r="I335" s="53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-3279665.99994466</v>
      </c>
      <c r="J335" s="53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294566196.675791</v>
      </c>
      <c r="K335" s="53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642464262.771172</v>
      </c>
      <c r="L335" s="53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775157764.182808</v>
      </c>
      <c r="M335" s="53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958921273.707958</v>
      </c>
      <c r="N335" s="53" t="n">
        <f aca="false">IF(COUNT('Business Case'!B11:G11)=0,"",H335+NPV(G335,I335:M335))</f>
        <v>-140919767.924912</v>
      </c>
      <c r="P335" s="54" t="n">
        <f aca="true">RAND()</f>
        <v>0.947514845620375</v>
      </c>
      <c r="Q335" s="54" t="n">
        <f aca="true">RAND()</f>
        <v>0.421228089983543</v>
      </c>
      <c r="R335" s="54" t="n">
        <f aca="true">RAND()</f>
        <v>0.657128414602825</v>
      </c>
      <c r="S335" s="54" t="n">
        <f aca="true">RAND()</f>
        <v>0.789760267455771</v>
      </c>
      <c r="T335" s="54" t="n">
        <f aca="true">RAND()</f>
        <v>0.17361258823538</v>
      </c>
      <c r="U335" s="54" t="n">
        <f aca="true">RAND()</f>
        <v>0.322211977388217</v>
      </c>
    </row>
    <row r="336" customFormat="false" ht="15" hidden="false" customHeight="false" outlineLevel="0" collapsed="false">
      <c r="A336" s="50" t="n">
        <v>256</v>
      </c>
      <c r="B336" s="51" t="n">
        <f aca="false">1+IF($G$6=$E$6,$F$6,IF(P336&lt;($F$6-$E$6)/($G$6-$E$6),$E$6+SQRT(P336*($G$6-$E$6)*($F$6-$E$6)),$G$6-SQRT((1-P336)*($G$6-$E$6)*($G$6-$F$6))))</f>
        <v>0.98328990199851</v>
      </c>
      <c r="C336" s="51" t="n">
        <f aca="false">1+IF($G$7=$E$7,$F$7,IF(Q336&lt;($F$7-$E$7)/($G$7-$E$7),$E$7+SQRT(Q336*($G$7-$E$7)*($F$7-$E$7)),$G$7-SQRT((1-Q336)*($G$7-$E$7)*($G$7-$F$7))))</f>
        <v>1.09425950494745</v>
      </c>
      <c r="D336" s="51" t="n">
        <f aca="false">1+IF($G$8=$E$8,$F$8,IF(R336&lt;($F$8-$E$8)/($G$8-$E$8),$E$8+SQRT(R336*($G$8-$E$8)*($F$8-$E$8)),$G$8-SQRT((1-R336)*($G$8-$E$8)*($G$8-$F$8))))</f>
        <v>0.985097162630494</v>
      </c>
      <c r="E336" s="51" t="n">
        <f aca="false">1+IF($G$9=$E$9,$F$9,IF(S336&lt;($F$9-$E$9)/($G$9-$E$9),$E$9+SQRT(S336*($G$9-$E$9)*($F$9-$E$9)),$G$9-SQRT((1-S336)*($G$9-$E$9)*($G$9-$F$9))))</f>
        <v>1.09103235952608</v>
      </c>
      <c r="F336" s="51" t="n">
        <f aca="false">1+IF($G$10=$E$10,$F$10,IF(T336&lt;($F$10-$E$10)/($G$10-$E$10),$E$10+SQRT(T336*($G$10-$E$10)*($F$10-$E$10)),$G$10-SQRT((1-T336)*($G$10-$E$10)*($G$10-$F$10))))</f>
        <v>1.03127557095448</v>
      </c>
      <c r="G336" s="52" t="n">
        <f aca="false">IF($G$11=$E$11,$F$11,IF(U336&lt;($F$11-$E$11)/($G$11-$E$11),$E$11+SQRT(U336*($G$11-$E$11)*($F$11-$E$11)),$G$11-SQRT((1-U336)*($G$11-$E$11)*($G$11-$F$11))))</f>
        <v>0.0986486105416416</v>
      </c>
      <c r="H336" s="53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-2062551141.90895</v>
      </c>
      <c r="I336" s="53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15424418.1215414</v>
      </c>
      <c r="J336" s="53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344899703.683516</v>
      </c>
      <c r="K336" s="53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725938767.793214</v>
      </c>
      <c r="L336" s="53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872949535.527456</v>
      </c>
      <c r="M336" s="53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1077470734.5355</v>
      </c>
      <c r="N336" s="53" t="n">
        <f aca="false">IF(COUNT('Business Case'!B11:G11)=0,"",H336+NPV(G336,I336:M336))</f>
        <v>56979330.4806795</v>
      </c>
      <c r="P336" s="54" t="n">
        <f aca="true">RAND()</f>
        <v>0.462480518328094</v>
      </c>
      <c r="Q336" s="54" t="n">
        <f aca="true">RAND()</f>
        <v>0.953970329056252</v>
      </c>
      <c r="R336" s="54" t="n">
        <f aca="true">RAND()</f>
        <v>0.164241443294842</v>
      </c>
      <c r="S336" s="54" t="n">
        <f aca="true">RAND()</f>
        <v>0.907275130051704</v>
      </c>
      <c r="T336" s="54" t="n">
        <f aca="true">RAND()</f>
        <v>0.36212832184946</v>
      </c>
      <c r="U336" s="54" t="n">
        <f aca="true">RAND()</f>
        <v>0.347770675133827</v>
      </c>
    </row>
    <row r="337" customFormat="false" ht="15" hidden="false" customHeight="false" outlineLevel="0" collapsed="false">
      <c r="A337" s="50" t="n">
        <v>257</v>
      </c>
      <c r="B337" s="51" t="n">
        <f aca="false">1+IF($G$6=$E$6,$F$6,IF(P337&lt;($F$6-$E$6)/($G$6-$E$6),$E$6+SQRT(P337*($G$6-$E$6)*($F$6-$E$6)),$G$6-SQRT((1-P337)*($G$6-$E$6)*($G$6-$F$6))))</f>
        <v>0.975182967136785</v>
      </c>
      <c r="C337" s="51" t="n">
        <f aca="false">1+IF($G$7=$E$7,$F$7,IF(Q337&lt;($F$7-$E$7)/($G$7-$E$7),$E$7+SQRT(Q337*($G$7-$E$7)*($F$7-$E$7)),$G$7-SQRT((1-Q337)*($G$7-$E$7)*($G$7-$F$7))))</f>
        <v>0.997579398116086</v>
      </c>
      <c r="D337" s="51" t="n">
        <f aca="false">1+IF($G$8=$E$8,$F$8,IF(R337&lt;($F$8-$E$8)/($G$8-$E$8),$E$8+SQRT(R337*($G$8-$E$8)*($F$8-$E$8)),$G$8-SQRT((1-R337)*($G$8-$E$8)*($G$8-$F$8))))</f>
        <v>1.02102424380606</v>
      </c>
      <c r="E337" s="51" t="n">
        <f aca="false">1+IF($G$9=$E$9,$F$9,IF(S337&lt;($F$9-$E$9)/($G$9-$E$9),$E$9+SQRT(S337*($G$9-$E$9)*($F$9-$E$9)),$G$9-SQRT((1-S337)*($G$9-$E$9)*($G$9-$F$9))))</f>
        <v>1.11168174448619</v>
      </c>
      <c r="F337" s="51" t="n">
        <f aca="false">1+IF($G$10=$E$10,$F$10,IF(T337&lt;($F$10-$E$10)/($G$10-$E$10),$E$10+SQRT(T337*($G$10-$E$10)*($F$10-$E$10)),$G$10-SQRT((1-T337)*($G$10-$E$10)*($G$10-$F$10))))</f>
        <v>1.04148271344092</v>
      </c>
      <c r="G337" s="52" t="n">
        <f aca="false">IF($G$11=$E$11,$F$11,IF(U337&lt;($F$11-$E$11)/($G$11-$E$11),$E$11+SQRT(U337*($G$11-$E$11)*($F$11-$E$11)),$G$11-SQRT((1-U337)*($G$11-$E$11)*($G$11-$F$11))))</f>
        <v>0.0927320332407002</v>
      </c>
      <c r="H337" s="53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-2082965426.88184</v>
      </c>
      <c r="I337" s="53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-37266435.1976789</v>
      </c>
      <c r="J337" s="53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238127660.169972</v>
      </c>
      <c r="K337" s="53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565595891.209668</v>
      </c>
      <c r="L337" s="53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691014666.435754</v>
      </c>
      <c r="M337" s="53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875928755.338527</v>
      </c>
      <c r="N337" s="53" t="n">
        <f aca="false">IF(COUNT('Business Case'!B11:G11)=0,"",H337+NPV(G337,I337:M337))</f>
        <v>-437299600.221199</v>
      </c>
      <c r="P337" s="54" t="n">
        <f aca="true">RAND()</f>
        <v>0.376831903166062</v>
      </c>
      <c r="Q337" s="54" t="n">
        <f aca="true">RAND()</f>
        <v>0.65595183839357</v>
      </c>
      <c r="R337" s="54" t="n">
        <f aca="true">RAND()</f>
        <v>0.584188662239706</v>
      </c>
      <c r="S337" s="54" t="n">
        <f aca="true">RAND()</f>
        <v>0.960845634516747</v>
      </c>
      <c r="T337" s="54" t="n">
        <f aca="true">RAND()</f>
        <v>0.420273882747187</v>
      </c>
      <c r="U337" s="54" t="n">
        <f aca="true">RAND()</f>
        <v>0.162104670442296</v>
      </c>
    </row>
    <row r="338" customFormat="false" ht="15" hidden="false" customHeight="false" outlineLevel="0" collapsed="false">
      <c r="A338" s="50" t="n">
        <v>258</v>
      </c>
      <c r="B338" s="51" t="n">
        <f aca="false">1+IF($G$6=$E$6,$F$6,IF(P338&lt;($F$6-$E$6)/($G$6-$E$6),$E$6+SQRT(P338*($G$6-$E$6)*($F$6-$E$6)),$G$6-SQRT((1-P338)*($G$6-$E$6)*($G$6-$F$6))))</f>
        <v>1.02146647478754</v>
      </c>
      <c r="C338" s="51" t="n">
        <f aca="false">1+IF($G$7=$E$7,$F$7,IF(Q338&lt;($F$7-$E$7)/($G$7-$E$7),$E$7+SQRT(Q338*($G$7-$E$7)*($F$7-$E$7)),$G$7-SQRT((1-Q338)*($G$7-$E$7)*($G$7-$F$7))))</f>
        <v>1.11931767767009</v>
      </c>
      <c r="D338" s="51" t="n">
        <f aca="false">1+IF($G$8=$E$8,$F$8,IF(R338&lt;($F$8-$E$8)/($G$8-$E$8),$E$8+SQRT(R338*($G$8-$E$8)*($F$8-$E$8)),$G$8-SQRT((1-R338)*($G$8-$E$8)*($G$8-$F$8))))</f>
        <v>1.03526754383854</v>
      </c>
      <c r="E338" s="51" t="n">
        <f aca="false">1+IF($G$9=$E$9,$F$9,IF(S338&lt;($F$9-$E$9)/($G$9-$E$9),$E$9+SQRT(S338*($G$9-$E$9)*($F$9-$E$9)),$G$9-SQRT((1-S338)*($G$9-$E$9)*($G$9-$F$9))))</f>
        <v>1.03869566729083</v>
      </c>
      <c r="F338" s="51" t="n">
        <f aca="false">1+IF($G$10=$E$10,$F$10,IF(T338&lt;($F$10-$E$10)/($G$10-$E$10),$E$10+SQRT(T338*($G$10-$E$10)*($F$10-$E$10)),$G$10-SQRT((1-T338)*($G$10-$E$10)*($G$10-$F$10))))</f>
        <v>1.0441457622785</v>
      </c>
      <c r="G338" s="52" t="n">
        <f aca="false">IF($G$11=$E$11,$F$11,IF(U338&lt;($F$11-$E$11)/($G$11-$E$11),$E$11+SQRT(U338*($G$11-$E$11)*($F$11-$E$11)),$G$11-SQRT((1-U338)*($G$11-$E$11)*($G$11-$F$11))))</f>
        <v>0.103080567793917</v>
      </c>
      <c r="H338" s="53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-2088291524.557</v>
      </c>
      <c r="I338" s="53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31884693.8560053</v>
      </c>
      <c r="J338" s="53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375157517.635042</v>
      </c>
      <c r="K338" s="53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770637629.528005</v>
      </c>
      <c r="L338" s="53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924575923.991968</v>
      </c>
      <c r="M338" s="53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1141903033.2822</v>
      </c>
      <c r="N338" s="53" t="n">
        <f aca="false">IF(COUNT('Business Case'!B11:G11)=0,"",H338+NPV(G338,I338:M338))</f>
        <v>146745484.852737</v>
      </c>
      <c r="P338" s="54" t="n">
        <f aca="true">RAND()</f>
        <v>0.89144505852666</v>
      </c>
      <c r="Q338" s="54" t="n">
        <f aca="true">RAND()</f>
        <v>0.986053260688052</v>
      </c>
      <c r="R338" s="54" t="n">
        <f aca="true">RAND()</f>
        <v>0.720647274620351</v>
      </c>
      <c r="S338" s="54" t="n">
        <f aca="true">RAND()</f>
        <v>0.669635880537754</v>
      </c>
      <c r="T338" s="54" t="n">
        <f aca="true">RAND()</f>
        <v>0.434987104161345</v>
      </c>
      <c r="U338" s="54" t="n">
        <f aca="true">RAND()</f>
        <v>0.516896113134738</v>
      </c>
    </row>
    <row r="339" customFormat="false" ht="15" hidden="false" customHeight="false" outlineLevel="0" collapsed="false">
      <c r="A339" s="50" t="n">
        <v>259</v>
      </c>
      <c r="B339" s="51" t="n">
        <f aca="false">1+IF($G$6=$E$6,$F$6,IF(P339&lt;($F$6-$E$6)/($G$6-$E$6),$E$6+SQRT(P339*($G$6-$E$6)*($F$6-$E$6)),$G$6-SQRT((1-P339)*($G$6-$E$6)*($G$6-$F$6))))</f>
        <v>0.911316941591187</v>
      </c>
      <c r="C339" s="51" t="n">
        <f aca="false">1+IF($G$7=$E$7,$F$7,IF(Q339&lt;($F$7-$E$7)/($G$7-$E$7),$E$7+SQRT(Q339*($G$7-$E$7)*($F$7-$E$7)),$G$7-SQRT((1-Q339)*($G$7-$E$7)*($G$7-$F$7))))</f>
        <v>0.98274193497726</v>
      </c>
      <c r="D339" s="51" t="n">
        <f aca="false">1+IF($G$8=$E$8,$F$8,IF(R339&lt;($F$8-$E$8)/($G$8-$E$8),$E$8+SQRT(R339*($G$8-$E$8)*($F$8-$E$8)),$G$8-SQRT((1-R339)*($G$8-$E$8)*($G$8-$F$8))))</f>
        <v>0.965954832917672</v>
      </c>
      <c r="E339" s="51" t="n">
        <f aca="false">1+IF($G$9=$E$9,$F$9,IF(S339&lt;($F$9-$E$9)/($G$9-$E$9),$E$9+SQRT(S339*($G$9-$E$9)*($F$9-$E$9)),$G$9-SQRT((1-S339)*($G$9-$E$9)*($G$9-$F$9))))</f>
        <v>0.966229616108899</v>
      </c>
      <c r="F339" s="51" t="n">
        <f aca="false">1+IF($G$10=$E$10,$F$10,IF(T339&lt;($F$10-$E$10)/($G$10-$E$10),$E$10+SQRT(T339*($G$10-$E$10)*($F$10-$E$10)),$G$10-SQRT((1-T339)*($G$10-$E$10)*($G$10-$F$10))))</f>
        <v>1.09447170823087</v>
      </c>
      <c r="G339" s="52" t="n">
        <f aca="false">IF($G$11=$E$11,$F$11,IF(U339&lt;($F$11-$E$11)/($G$11-$E$11),$E$11+SQRT(U339*($G$11-$E$11)*($F$11-$E$11)),$G$11-SQRT((1-U339)*($G$11-$E$11)*($G$11-$F$11))))</f>
        <v>0.113998971811841</v>
      </c>
      <c r="H339" s="53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-2188943416.46174</v>
      </c>
      <c r="I339" s="53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-45677825.1283187</v>
      </c>
      <c r="J339" s="53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201916725.154164</v>
      </c>
      <c r="K339" s="53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504234860.848189</v>
      </c>
      <c r="L339" s="53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617717946.393703</v>
      </c>
      <c r="M339" s="53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787951574.709475</v>
      </c>
      <c r="N339" s="53" t="n">
        <f aca="false">IF(COUNT('Business Case'!B11:G11)=0,"",H339+NPV(G339,I339:M339))</f>
        <v>-842128869.008235</v>
      </c>
      <c r="P339" s="54" t="n">
        <f aca="true">RAND()</f>
        <v>0.0085382111318895</v>
      </c>
      <c r="Q339" s="54" t="n">
        <f aca="true">RAND()</f>
        <v>0.592170383664336</v>
      </c>
      <c r="R339" s="54" t="n">
        <f aca="true">RAND()</f>
        <v>0.0339408924574448</v>
      </c>
      <c r="S339" s="54" t="n">
        <f aca="true">RAND()</f>
        <v>0.175454481997285</v>
      </c>
      <c r="T339" s="54" t="n">
        <f aca="true">RAND()</f>
        <v>0.677479339458348</v>
      </c>
      <c r="U339" s="54" t="n">
        <f aca="true">RAND()</f>
        <v>0.829311397947819</v>
      </c>
    </row>
    <row r="340" customFormat="false" ht="15" hidden="false" customHeight="false" outlineLevel="0" collapsed="false">
      <c r="A340" s="50" t="n">
        <v>260</v>
      </c>
      <c r="B340" s="51" t="n">
        <f aca="false">1+IF($G$6=$E$6,$F$6,IF(P340&lt;($F$6-$E$6)/($G$6-$E$6),$E$6+SQRT(P340*($G$6-$E$6)*($F$6-$E$6)),$G$6-SQRT((1-P340)*($G$6-$E$6)*($G$6-$F$6))))</f>
        <v>0.918337322817501</v>
      </c>
      <c r="C340" s="51" t="n">
        <f aca="false">1+IF($G$7=$E$7,$F$7,IF(Q340&lt;($F$7-$E$7)/($G$7-$E$7),$E$7+SQRT(Q340*($G$7-$E$7)*($F$7-$E$7)),$G$7-SQRT((1-Q340)*($G$7-$E$7)*($G$7-$F$7))))</f>
        <v>0.841854680373617</v>
      </c>
      <c r="D340" s="51" t="n">
        <f aca="false">1+IF($G$8=$E$8,$F$8,IF(R340&lt;($F$8-$E$8)/($G$8-$E$8),$E$8+SQRT(R340*($G$8-$E$8)*($F$8-$E$8)),$G$8-SQRT((1-R340)*($G$8-$E$8)*($G$8-$F$8))))</f>
        <v>1.01564480167623</v>
      </c>
      <c r="E340" s="51" t="n">
        <f aca="false">1+IF($G$9=$E$9,$F$9,IF(S340&lt;($F$9-$E$9)/($G$9-$E$9),$E$9+SQRT(S340*($G$9-$E$9)*($F$9-$E$9)),$G$9-SQRT((1-S340)*($G$9-$E$9)*($G$9-$F$9))))</f>
        <v>0.945456196570187</v>
      </c>
      <c r="F340" s="51" t="n">
        <f aca="false">1+IF($G$10=$E$10,$F$10,IF(T340&lt;($F$10-$E$10)/($G$10-$E$10),$E$10+SQRT(T340*($G$10-$E$10)*($F$10-$E$10)),$G$10-SQRT((1-T340)*($G$10-$E$10)*($G$10-$F$10))))</f>
        <v>1.00925453325955</v>
      </c>
      <c r="G340" s="52" t="n">
        <f aca="false">IF($G$11=$E$11,$F$11,IF(U340&lt;($F$11-$E$11)/($G$11-$E$11),$E$11+SQRT(U340*($G$11-$E$11)*($F$11-$E$11)),$G$11-SQRT((1-U340)*($G$11-$E$11)*($G$11-$F$11))))</f>
        <v>0.10640467973034</v>
      </c>
      <c r="H340" s="53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-2018509066.51911</v>
      </c>
      <c r="I340" s="53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-79921788.8504603</v>
      </c>
      <c r="J340" s="53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115603591.541111</v>
      </c>
      <c r="K340" s="53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361591698.59566</v>
      </c>
      <c r="L340" s="53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453485388.568715</v>
      </c>
      <c r="M340" s="53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600437486.035966</v>
      </c>
      <c r="N340" s="53" t="n">
        <f aca="false">IF(COUNT('Business Case'!B11:G11)=0,"",H340+NPV(G340,I340:M340))</f>
        <v>-1064544337.90938</v>
      </c>
      <c r="P340" s="54" t="n">
        <f aca="true">RAND()</f>
        <v>0.0224171605408818</v>
      </c>
      <c r="Q340" s="54" t="n">
        <f aca="true">RAND()</f>
        <v>0.149057409954823</v>
      </c>
      <c r="R340" s="54" t="n">
        <f aca="true">RAND()</f>
        <v>0.52561336771715</v>
      </c>
      <c r="S340" s="54" t="n">
        <f aca="true">RAND()</f>
        <v>0.0826506322651003</v>
      </c>
      <c r="T340" s="54" t="n">
        <f aca="true">RAND()</f>
        <v>0.227221603252331</v>
      </c>
      <c r="U340" s="54" t="n">
        <f aca="true">RAND()</f>
        <v>0.628840574248116</v>
      </c>
    </row>
    <row r="341" customFormat="false" ht="15" hidden="false" customHeight="false" outlineLevel="0" collapsed="false">
      <c r="A341" s="50" t="n">
        <v>261</v>
      </c>
      <c r="B341" s="51" t="n">
        <f aca="false">1+IF($G$6=$E$6,$F$6,IF(P341&lt;($F$6-$E$6)/($G$6-$E$6),$E$6+SQRT(P341*($G$6-$E$6)*($F$6-$E$6)),$G$6-SQRT((1-P341)*($G$6-$E$6)*($G$6-$F$6))))</f>
        <v>0.940578280091163</v>
      </c>
      <c r="C341" s="51" t="n">
        <f aca="false">1+IF($G$7=$E$7,$F$7,IF(Q341&lt;($F$7-$E$7)/($G$7-$E$7),$E$7+SQRT(Q341*($G$7-$E$7)*($F$7-$E$7)),$G$7-SQRT((1-Q341)*($G$7-$E$7)*($G$7-$F$7))))</f>
        <v>1.01169594347413</v>
      </c>
      <c r="D341" s="51" t="n">
        <f aca="false">1+IF($G$8=$E$8,$F$8,IF(R341&lt;($F$8-$E$8)/($G$8-$E$8),$E$8+SQRT(R341*($G$8-$E$8)*($F$8-$E$8)),$G$8-SQRT((1-R341)*($G$8-$E$8)*($G$8-$F$8))))</f>
        <v>0.979070727632612</v>
      </c>
      <c r="E341" s="51" t="n">
        <f aca="false">1+IF($G$9=$E$9,$F$9,IF(S341&lt;($F$9-$E$9)/($G$9-$E$9),$E$9+SQRT(S341*($G$9-$E$9)*($F$9-$E$9)),$G$9-SQRT((1-S341)*($G$9-$E$9)*($G$9-$F$9))))</f>
        <v>0.950803954660681</v>
      </c>
      <c r="F341" s="51" t="n">
        <f aca="false">1+IF($G$10=$E$10,$F$10,IF(T341&lt;($F$10-$E$10)/($G$10-$E$10),$E$10+SQRT(T341*($G$10-$E$10)*($F$10-$E$10)),$G$10-SQRT((1-T341)*($G$10-$E$10)*($G$10-$F$10))))</f>
        <v>0.978115598897501</v>
      </c>
      <c r="G341" s="52" t="n">
        <f aca="false">IF($G$11=$E$11,$F$11,IF(U341&lt;($F$11-$E$11)/($G$11-$E$11),$E$11+SQRT(U341*($G$11-$E$11)*($F$11-$E$11)),$G$11-SQRT((1-U341)*($G$11-$E$11)*($G$11-$F$11))))</f>
        <v>0.0918223516652397</v>
      </c>
      <c r="H341" s="53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-1956231197.795</v>
      </c>
      <c r="I341" s="53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-10001808.6882988</v>
      </c>
      <c r="J341" s="53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262342132.174405</v>
      </c>
      <c r="K341" s="53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583591852.981983</v>
      </c>
      <c r="L341" s="53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707259744.808554</v>
      </c>
      <c r="M341" s="53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888135924.939733</v>
      </c>
      <c r="N341" s="53" t="n">
        <f aca="false">IF(COUNT('Business Case'!B11:G11)=0,"",H341+NPV(G341,I341:M341))</f>
        <v>-226802830.762985</v>
      </c>
      <c r="P341" s="54" t="n">
        <f aca="true">RAND()</f>
        <v>0.109773121010458</v>
      </c>
      <c r="Q341" s="54" t="n">
        <f aca="true">RAND()</f>
        <v>0.716622043681337</v>
      </c>
      <c r="R341" s="54" t="n">
        <f aca="true">RAND()</f>
        <v>0.1126809606786</v>
      </c>
      <c r="S341" s="54" t="n">
        <f aca="true">RAND()</f>
        <v>0.10324167236658</v>
      </c>
      <c r="T341" s="54" t="n">
        <f aca="true">RAND()</f>
        <v>0.0526991267576787</v>
      </c>
      <c r="U341" s="54" t="n">
        <f aca="true">RAND()</f>
        <v>0.139767998896595</v>
      </c>
    </row>
    <row r="342" customFormat="false" ht="15" hidden="false" customHeight="false" outlineLevel="0" collapsed="false">
      <c r="A342" s="50" t="n">
        <v>262</v>
      </c>
      <c r="B342" s="51" t="n">
        <f aca="false">1+IF($G$6=$E$6,$F$6,IF(P342&lt;($F$6-$E$6)/($G$6-$E$6),$E$6+SQRT(P342*($G$6-$E$6)*($F$6-$E$6)),$G$6-SQRT((1-P342)*($G$6-$E$6)*($G$6-$F$6))))</f>
        <v>1.01329119664603</v>
      </c>
      <c r="C342" s="51" t="n">
        <f aca="false">1+IF($G$7=$E$7,$F$7,IF(Q342&lt;($F$7-$E$7)/($G$7-$E$7),$E$7+SQRT(Q342*($G$7-$E$7)*($F$7-$E$7)),$G$7-SQRT((1-Q342)*($G$7-$E$7)*($G$7-$F$7))))</f>
        <v>0.953333052290849</v>
      </c>
      <c r="D342" s="51" t="n">
        <f aca="false">1+IF($G$8=$E$8,$F$8,IF(R342&lt;($F$8-$E$8)/($G$8-$E$8),$E$8+SQRT(R342*($G$8-$E$8)*($F$8-$E$8)),$G$8-SQRT((1-R342)*($G$8-$E$8)*($G$8-$F$8))))</f>
        <v>1.01146997341907</v>
      </c>
      <c r="E342" s="51" t="n">
        <f aca="false">1+IF($G$9=$E$9,$F$9,IF(S342&lt;($F$9-$E$9)/($G$9-$E$9),$E$9+SQRT(S342*($G$9-$E$9)*($F$9-$E$9)),$G$9-SQRT((1-S342)*($G$9-$E$9)*($G$9-$F$9))))</f>
        <v>1.00087586608771</v>
      </c>
      <c r="F342" s="51" t="n">
        <f aca="false">1+IF($G$10=$E$10,$F$10,IF(T342&lt;($F$10-$E$10)/($G$10-$E$10),$E$10+SQRT(T342*($G$10-$E$10)*($F$10-$E$10)),$G$10-SQRT((1-T342)*($G$10-$E$10)*($G$10-$F$10))))</f>
        <v>1.06956219797058</v>
      </c>
      <c r="G342" s="52" t="n">
        <f aca="false">IF($G$11=$E$11,$F$11,IF(U342&lt;($F$11-$E$11)/($G$11-$E$11),$E$11+SQRT(U342*($G$11-$E$11)*($F$11-$E$11)),$G$11-SQRT((1-U342)*($G$11-$E$11)*($G$11-$F$11))))</f>
        <v>0.0806118022536427</v>
      </c>
      <c r="H342" s="53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-2139124395.94116</v>
      </c>
      <c r="I342" s="53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-1759545.38583592</v>
      </c>
      <c r="J342" s="53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295839323.991378</v>
      </c>
      <c r="K342" s="53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646916303.26712</v>
      </c>
      <c r="L342" s="53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779501024.265071</v>
      </c>
      <c r="M342" s="53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963119062.562241</v>
      </c>
      <c r="N342" s="53" t="n">
        <f aca="false">IF(COUNT('Business Case'!B11:G11)=0,"",H342+NPV(G342,I342:M342))</f>
        <v>-149444716.36421</v>
      </c>
      <c r="P342" s="54" t="n">
        <f aca="true">RAND()</f>
        <v>0.82032850084263</v>
      </c>
      <c r="Q342" s="54" t="n">
        <f aca="true">RAND()</f>
        <v>0.475389891725912</v>
      </c>
      <c r="R342" s="54" t="n">
        <f aca="true">RAND()</f>
        <v>0.477495626238648</v>
      </c>
      <c r="S342" s="54" t="n">
        <f aca="true">RAND()</f>
        <v>0.406986471597585</v>
      </c>
      <c r="T342" s="54" t="n">
        <f aca="true">RAND()</f>
        <v>0.565895994650553</v>
      </c>
      <c r="U342" s="54" t="n">
        <f aca="true">RAND()</f>
        <v>0.000374301997562344</v>
      </c>
    </row>
    <row r="343" customFormat="false" ht="15" hidden="false" customHeight="false" outlineLevel="0" collapsed="false">
      <c r="A343" s="50" t="n">
        <v>263</v>
      </c>
      <c r="B343" s="51" t="n">
        <f aca="false">1+IF($G$6=$E$6,$F$6,IF(P343&lt;($F$6-$E$6)/($G$6-$E$6),$E$6+SQRT(P343*($G$6-$E$6)*($F$6-$E$6)),$G$6-SQRT((1-P343)*($G$6-$E$6)*($G$6-$F$6))))</f>
        <v>0.995938556657173</v>
      </c>
      <c r="C343" s="51" t="n">
        <f aca="false">1+IF($G$7=$E$7,$F$7,IF(Q343&lt;($F$7-$E$7)/($G$7-$E$7),$E$7+SQRT(Q343*($G$7-$E$7)*($F$7-$E$7)),$G$7-SQRT((1-Q343)*($G$7-$E$7)*($G$7-$F$7))))</f>
        <v>1.01724458411623</v>
      </c>
      <c r="D343" s="51" t="n">
        <f aca="false">1+IF($G$8=$E$8,$F$8,IF(R343&lt;($F$8-$E$8)/($G$8-$E$8),$E$8+SQRT(R343*($G$8-$E$8)*($F$8-$E$8)),$G$8-SQRT((1-R343)*($G$8-$E$8)*($G$8-$F$8))))</f>
        <v>0.991390466126437</v>
      </c>
      <c r="E343" s="51" t="n">
        <f aca="false">1+IF($G$9=$E$9,$F$9,IF(S343&lt;($F$9-$E$9)/($G$9-$E$9),$E$9+SQRT(S343*($G$9-$E$9)*($F$9-$E$9)),$G$9-SQRT((1-S343)*($G$9-$E$9)*($G$9-$F$9))))</f>
        <v>1.02488594845694</v>
      </c>
      <c r="F343" s="51" t="n">
        <f aca="false">1+IF($G$10=$E$10,$F$10,IF(T343&lt;($F$10-$E$10)/($G$10-$E$10),$E$10+SQRT(T343*($G$10-$E$10)*($F$10-$E$10)),$G$10-SQRT((1-T343)*($G$10-$E$10)*($G$10-$F$10))))</f>
        <v>1.20521713310321</v>
      </c>
      <c r="G343" s="52" t="n">
        <f aca="false">IF($G$11=$E$11,$F$11,IF(U343&lt;($F$11-$E$11)/($G$11-$E$11),$E$11+SQRT(U343*($G$11-$E$11)*($F$11-$E$11)),$G$11-SQRT((1-U343)*($G$11-$E$11)*($G$11-$F$11))))</f>
        <v>0.11062407965872</v>
      </c>
      <c r="H343" s="53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-2410434266.20643</v>
      </c>
      <c r="I343" s="53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-5232154.30631177</v>
      </c>
      <c r="J343" s="53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308315969.821162</v>
      </c>
      <c r="K343" s="53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682124950.603796</v>
      </c>
      <c r="L343" s="53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821654180.814878</v>
      </c>
      <c r="M343" s="53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1014226719.4088</v>
      </c>
      <c r="N343" s="53" t="n">
        <f aca="false">IF(COUNT('Business Case'!B11:G11)=0,"",H343+NPV(G343,I343:M343))</f>
        <v>-527028143.074794</v>
      </c>
      <c r="P343" s="54" t="n">
        <f aca="true">RAND()</f>
        <v>0.613613776897433</v>
      </c>
      <c r="Q343" s="54" t="n">
        <f aca="true">RAND()</f>
        <v>0.738903697089299</v>
      </c>
      <c r="R343" s="54" t="n">
        <f aca="true">RAND()</f>
        <v>0.228422758155164</v>
      </c>
      <c r="S343" s="54" t="n">
        <f aca="true">RAND()</f>
        <v>0.582572642839498</v>
      </c>
      <c r="T343" s="54" t="n">
        <f aca="true">RAND()</f>
        <v>0.973259931100062</v>
      </c>
      <c r="U343" s="54" t="n">
        <f aca="true">RAND()</f>
        <v>0.749715807285577</v>
      </c>
    </row>
    <row r="344" customFormat="false" ht="15" hidden="false" customHeight="false" outlineLevel="0" collapsed="false">
      <c r="A344" s="50" t="n">
        <v>264</v>
      </c>
      <c r="B344" s="51" t="n">
        <f aca="false">1+IF($G$6=$E$6,$F$6,IF(P344&lt;($F$6-$E$6)/($G$6-$E$6),$E$6+SQRT(P344*($G$6-$E$6)*($F$6-$E$6)),$G$6-SQRT((1-P344)*($G$6-$E$6)*($G$6-$F$6))))</f>
        <v>0.990233204318183</v>
      </c>
      <c r="C344" s="51" t="n">
        <f aca="false">1+IF($G$7=$E$7,$F$7,IF(Q344&lt;($F$7-$E$7)/($G$7-$E$7),$E$7+SQRT(Q344*($G$7-$E$7)*($F$7-$E$7)),$G$7-SQRT((1-Q344)*($G$7-$E$7)*($G$7-$F$7))))</f>
        <v>0.940921372814903</v>
      </c>
      <c r="D344" s="51" t="n">
        <f aca="false">1+IF($G$8=$E$8,$F$8,IF(R344&lt;($F$8-$E$8)/($G$8-$E$8),$E$8+SQRT(R344*($G$8-$E$8)*($F$8-$E$8)),$G$8-SQRT((1-R344)*($G$8-$E$8)*($G$8-$F$8))))</f>
        <v>1.03153403272092</v>
      </c>
      <c r="E344" s="51" t="n">
        <f aca="false">1+IF($G$9=$E$9,$F$9,IF(S344&lt;($F$9-$E$9)/($G$9-$E$9),$E$9+SQRT(S344*($G$9-$E$9)*($F$9-$E$9)),$G$9-SQRT((1-S344)*($G$9-$E$9)*($G$9-$F$9))))</f>
        <v>0.983085354724123</v>
      </c>
      <c r="F344" s="51" t="n">
        <f aca="false">1+IF($G$10=$E$10,$F$10,IF(T344&lt;($F$10-$E$10)/($G$10-$E$10),$E$10+SQRT(T344*($G$10-$E$10)*($F$10-$E$10)),$G$10-SQRT((1-T344)*($G$10-$E$10)*($G$10-$F$10))))</f>
        <v>1.0420459446588</v>
      </c>
      <c r="G344" s="52" t="n">
        <f aca="false">IF($G$11=$E$11,$F$11,IF(U344&lt;($F$11-$E$11)/($G$11-$E$11),$E$11+SQRT(U344*($G$11-$E$11)*($F$11-$E$11)),$G$11-SQRT((1-U344)*($G$11-$E$11)*($G$11-$F$11))))</f>
        <v>0.0992704497410636</v>
      </c>
      <c r="H344" s="53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-2084091889.3176</v>
      </c>
      <c r="I344" s="53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-26010714.4181373</v>
      </c>
      <c r="J344" s="53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240278868.49034</v>
      </c>
      <c r="K344" s="53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558670748.631757</v>
      </c>
      <c r="L344" s="53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679634586.547225</v>
      </c>
      <c r="M344" s="53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856738126.416759</v>
      </c>
      <c r="N344" s="53" t="n">
        <f aca="false">IF(COUNT('Business Case'!B11:G11)=0,"",H344+NPV(G344,I344:M344))</f>
        <v>-489170933.241706</v>
      </c>
      <c r="P344" s="54" t="n">
        <f aca="true">RAND()</f>
        <v>0.542802077435135</v>
      </c>
      <c r="Q344" s="54" t="n">
        <f aca="true">RAND()</f>
        <v>0.429948947251981</v>
      </c>
      <c r="R344" s="54" t="n">
        <f aca="true">RAND()</f>
        <v>0.687494088302669</v>
      </c>
      <c r="S344" s="54" t="n">
        <f aca="true">RAND()</f>
        <v>0.276127046785332</v>
      </c>
      <c r="T344" s="54" t="n">
        <f aca="true">RAND()</f>
        <v>0.423401478228657</v>
      </c>
      <c r="U344" s="54" t="n">
        <f aca="true">RAND()</f>
        <v>0.371350233222856</v>
      </c>
    </row>
    <row r="345" customFormat="false" ht="15" hidden="false" customHeight="false" outlineLevel="0" collapsed="false">
      <c r="A345" s="50" t="n">
        <v>265</v>
      </c>
      <c r="B345" s="51" t="n">
        <f aca="false">1+IF($G$6=$E$6,$F$6,IF(P345&lt;($F$6-$E$6)/($G$6-$E$6),$E$6+SQRT(P345*($G$6-$E$6)*($F$6-$E$6)),$G$6-SQRT((1-P345)*($G$6-$E$6)*($G$6-$F$6))))</f>
        <v>0.973380883773334</v>
      </c>
      <c r="C345" s="51" t="n">
        <f aca="false">1+IF($G$7=$E$7,$F$7,IF(Q345&lt;($F$7-$E$7)/($G$7-$E$7),$E$7+SQRT(Q345*($G$7-$E$7)*($F$7-$E$7)),$G$7-SQRT((1-Q345)*($G$7-$E$7)*($G$7-$F$7))))</f>
        <v>0.826588557319971</v>
      </c>
      <c r="D345" s="51" t="n">
        <f aca="false">1+IF($G$8=$E$8,$F$8,IF(R345&lt;($F$8-$E$8)/($G$8-$E$8),$E$8+SQRT(R345*($G$8-$E$8)*($F$8-$E$8)),$G$8-SQRT((1-R345)*($G$8-$E$8)*($G$8-$F$8))))</f>
        <v>0.983888043221838</v>
      </c>
      <c r="E345" s="51" t="n">
        <f aca="false">1+IF($G$9=$E$9,$F$9,IF(S345&lt;($F$9-$E$9)/($G$9-$E$9),$E$9+SQRT(S345*($G$9-$E$9)*($F$9-$E$9)),$G$9-SQRT((1-S345)*($G$9-$E$9)*($G$9-$F$9))))</f>
        <v>1.00252476104465</v>
      </c>
      <c r="F345" s="51" t="n">
        <f aca="false">1+IF($G$10=$E$10,$F$10,IF(T345&lt;($F$10-$E$10)/($G$10-$E$10),$E$10+SQRT(T345*($G$10-$E$10)*($F$10-$E$10)),$G$10-SQRT((1-T345)*($G$10-$E$10)*($G$10-$F$10))))</f>
        <v>0.982564041345711</v>
      </c>
      <c r="G345" s="52" t="n">
        <f aca="false">IF($G$11=$E$11,$F$11,IF(U345&lt;($F$11-$E$11)/($G$11-$E$11),$E$11+SQRT(U345*($G$11-$E$11)*($F$11-$E$11)),$G$11-SQRT((1-U345)*($G$11-$E$11)*($G$11-$F$11))))</f>
        <v>0.102175674956553</v>
      </c>
      <c r="H345" s="53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-1965128082.69142</v>
      </c>
      <c r="I345" s="53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-39841167.116972</v>
      </c>
      <c r="J345" s="53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202842803.264039</v>
      </c>
      <c r="K345" s="53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494654975.712336</v>
      </c>
      <c r="L345" s="53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603356107.401249</v>
      </c>
      <c r="M345" s="53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756291719.325081</v>
      </c>
      <c r="N345" s="53" t="n">
        <f aca="false">IF(COUNT('Business Case'!B11:G11)=0,"",H345+NPV(G345,I345:M345))</f>
        <v>-591016144.812919</v>
      </c>
      <c r="P345" s="54" t="n">
        <f aca="true">RAND()</f>
        <v>0.358983606890366</v>
      </c>
      <c r="Q345" s="54" t="n">
        <f aca="true">RAND()</f>
        <v>0.118701206254456</v>
      </c>
      <c r="R345" s="54" t="n">
        <f aca="true">RAND()</f>
        <v>0.153119929787359</v>
      </c>
      <c r="S345" s="54" t="n">
        <f aca="true">RAND()</f>
        <v>0.420028103868305</v>
      </c>
      <c r="T345" s="54" t="n">
        <f aca="true">RAND()</f>
        <v>0.0706944525843437</v>
      </c>
      <c r="U345" s="54" t="n">
        <f aca="true">RAND()</f>
        <v>0.483871290584417</v>
      </c>
    </row>
    <row r="346" customFormat="false" ht="15" hidden="false" customHeight="false" outlineLevel="0" collapsed="false">
      <c r="A346" s="50" t="n">
        <v>266</v>
      </c>
      <c r="B346" s="51" t="n">
        <f aca="false">1+IF($G$6=$E$6,$F$6,IF(P346&lt;($F$6-$E$6)/($G$6-$E$6),$E$6+SQRT(P346*($G$6-$E$6)*($F$6-$E$6)),$G$6-SQRT((1-P346)*($G$6-$E$6)*($G$6-$F$6))))</f>
        <v>0.998834680642957</v>
      </c>
      <c r="C346" s="51" t="n">
        <f aca="false">1+IF($G$7=$E$7,$F$7,IF(Q346&lt;($F$7-$E$7)/($G$7-$E$7),$E$7+SQRT(Q346*($G$7-$E$7)*($F$7-$E$7)),$G$7-SQRT((1-Q346)*($G$7-$E$7)*($G$7-$F$7))))</f>
        <v>0.984872003102824</v>
      </c>
      <c r="D346" s="51" t="n">
        <f aca="false">1+IF($G$8=$E$8,$F$8,IF(R346&lt;($F$8-$E$8)/($G$8-$E$8),$E$8+SQRT(R346*($G$8-$E$8)*($F$8-$E$8)),$G$8-SQRT((1-R346)*($G$8-$E$8)*($G$8-$F$8))))</f>
        <v>0.987850213864834</v>
      </c>
      <c r="E346" s="51" t="n">
        <f aca="false">1+IF($G$9=$E$9,$F$9,IF(S346&lt;($F$9-$E$9)/($G$9-$E$9),$E$9+SQRT(S346*($G$9-$E$9)*($F$9-$E$9)),$G$9-SQRT((1-S346)*($G$9-$E$9)*($G$9-$F$9))))</f>
        <v>1.03921343367184</v>
      </c>
      <c r="F346" s="51" t="n">
        <f aca="false">1+IF($G$10=$E$10,$F$10,IF(T346&lt;($F$10-$E$10)/($G$10-$E$10),$E$10+SQRT(T346*($G$10-$E$10)*($F$10-$E$10)),$G$10-SQRT((1-T346)*($G$10-$E$10)*($G$10-$F$10))))</f>
        <v>1.07739256072463</v>
      </c>
      <c r="G346" s="52" t="n">
        <f aca="false">IF($G$11=$E$11,$F$11,IF(U346&lt;($F$11-$E$11)/($G$11-$E$11),$E$11+SQRT(U346*($G$11-$E$11)*($F$11-$E$11)),$G$11-SQRT((1-U346)*($G$11-$E$11)*($G$11-$F$11))))</f>
        <v>0.111032892993228</v>
      </c>
      <c r="H346" s="53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-2154785121.44926</v>
      </c>
      <c r="I346" s="53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1179316.34325291</v>
      </c>
      <c r="J346" s="53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308870307.39713</v>
      </c>
      <c r="K346" s="53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670430926.487239</v>
      </c>
      <c r="L346" s="53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806992102.418549</v>
      </c>
      <c r="M346" s="53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993978419.77531</v>
      </c>
      <c r="N346" s="53" t="n">
        <f aca="false">IF(COUNT('Business Case'!B11:G11)=0,"",H346+NPV(G346,I346:M346))</f>
        <v>-297898522.184971</v>
      </c>
      <c r="P346" s="54" t="n">
        <f aca="true">RAND()</f>
        <v>0.651219606519685</v>
      </c>
      <c r="Q346" s="54" t="n">
        <f aca="true">RAND()</f>
        <v>0.601126356680112</v>
      </c>
      <c r="R346" s="54" t="n">
        <f aca="true">RAND()</f>
        <v>0.191018491948493</v>
      </c>
      <c r="S346" s="54" t="n">
        <f aca="true">RAND()</f>
        <v>0.672702312565748</v>
      </c>
      <c r="T346" s="54" t="n">
        <f aca="true">RAND()</f>
        <v>0.602755625424002</v>
      </c>
      <c r="U346" s="54" t="n">
        <f aca="true">RAND()</f>
        <v>0.760165901195779</v>
      </c>
    </row>
    <row r="347" customFormat="false" ht="15" hidden="false" customHeight="false" outlineLevel="0" collapsed="false">
      <c r="A347" s="50" t="n">
        <v>267</v>
      </c>
      <c r="B347" s="51" t="n">
        <f aca="false">1+IF($G$6=$E$6,$F$6,IF(P347&lt;($F$6-$E$6)/($G$6-$E$6),$E$6+SQRT(P347*($G$6-$E$6)*($F$6-$E$6)),$G$6-SQRT((1-P347)*($G$6-$E$6)*($G$6-$F$6))))</f>
        <v>0.956987139245599</v>
      </c>
      <c r="C347" s="51" t="n">
        <f aca="false">1+IF($G$7=$E$7,$F$7,IF(Q347&lt;($F$7-$E$7)/($G$7-$E$7),$E$7+SQRT(Q347*($G$7-$E$7)*($F$7-$E$7)),$G$7-SQRT((1-Q347)*($G$7-$E$7)*($G$7-$F$7))))</f>
        <v>0.940394524517819</v>
      </c>
      <c r="D347" s="51" t="n">
        <f aca="false">1+IF($G$8=$E$8,$F$8,IF(R347&lt;($F$8-$E$8)/($G$8-$E$8),$E$8+SQRT(R347*($G$8-$E$8)*($F$8-$E$8)),$G$8-SQRT((1-R347)*($G$8-$E$8)*($G$8-$F$8))))</f>
        <v>1.02828351331486</v>
      </c>
      <c r="E347" s="51" t="n">
        <f aca="false">1+IF($G$9=$E$9,$F$9,IF(S347&lt;($F$9-$E$9)/($G$9-$E$9),$E$9+SQRT(S347*($G$9-$E$9)*($F$9-$E$9)),$G$9-SQRT((1-S347)*($G$9-$E$9)*($G$9-$F$9))))</f>
        <v>0.968172641873768</v>
      </c>
      <c r="F347" s="51" t="n">
        <f aca="false">1+IF($G$10=$E$10,$F$10,IF(T347&lt;($F$10-$E$10)/($G$10-$E$10),$E$10+SQRT(T347*($G$10-$E$10)*($F$10-$E$10)),$G$10-SQRT((1-T347)*($G$10-$E$10)*($G$10-$F$10))))</f>
        <v>1.06484726661848</v>
      </c>
      <c r="G347" s="52" t="n">
        <f aca="false">IF($G$11=$E$11,$F$11,IF(U347&lt;($F$11-$E$11)/($G$11-$E$11),$E$11+SQRT(U347*($G$11-$E$11)*($F$11-$E$11)),$G$11-SQRT((1-U347)*($G$11-$E$11)*($G$11-$F$11))))</f>
        <v>0.105312097237943</v>
      </c>
      <c r="H347" s="53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-2129694533.23697</v>
      </c>
      <c r="I347" s="53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-48714556.373219</v>
      </c>
      <c r="J347" s="53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193382936.535923</v>
      </c>
      <c r="K347" s="53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488722792.775989</v>
      </c>
      <c r="L347" s="53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600524072.376412</v>
      </c>
      <c r="M347" s="53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771585706.511976</v>
      </c>
      <c r="N347" s="53" t="n">
        <f aca="false">IF(COUNT('Business Case'!B11:G11)=0,"",H347+NPV(G347,I347:M347))</f>
        <v>-783534222.547417</v>
      </c>
      <c r="P347" s="54" t="n">
        <f aca="true">RAND()</f>
        <v>0.216502269293155</v>
      </c>
      <c r="Q347" s="54" t="n">
        <f aca="true">RAND()</f>
        <v>0.428070573467766</v>
      </c>
      <c r="R347" s="54" t="n">
        <f aca="true">RAND()</f>
        <v>0.6571163691693</v>
      </c>
      <c r="S347" s="54" t="n">
        <f aca="true">RAND()</f>
        <v>0.18590036400196</v>
      </c>
      <c r="T347" s="54" t="n">
        <f aca="true">RAND()</f>
        <v>0.542912870951372</v>
      </c>
      <c r="U347" s="54" t="n">
        <f aca="true">RAND()</f>
        <v>0.593671638140814</v>
      </c>
    </row>
    <row r="348" customFormat="false" ht="15" hidden="false" customHeight="false" outlineLevel="0" collapsed="false">
      <c r="A348" s="50" t="n">
        <v>268</v>
      </c>
      <c r="B348" s="51" t="n">
        <f aca="false">1+IF($G$6=$E$6,$F$6,IF(P348&lt;($F$6-$E$6)/($G$6-$E$6),$E$6+SQRT(P348*($G$6-$E$6)*($F$6-$E$6)),$G$6-SQRT((1-P348)*($G$6-$E$6)*($G$6-$F$6))))</f>
        <v>0.949901891258698</v>
      </c>
      <c r="C348" s="51" t="n">
        <f aca="false">1+IF($G$7=$E$7,$F$7,IF(Q348&lt;($F$7-$E$7)/($G$7-$E$7),$E$7+SQRT(Q348*($G$7-$E$7)*($F$7-$E$7)),$G$7-SQRT((1-Q348)*($G$7-$E$7)*($G$7-$F$7))))</f>
        <v>0.999241845066411</v>
      </c>
      <c r="D348" s="51" t="n">
        <f aca="false">1+IF($G$8=$E$8,$F$8,IF(R348&lt;($F$8-$E$8)/($G$8-$E$8),$E$8+SQRT(R348*($G$8-$E$8)*($F$8-$E$8)),$G$8-SQRT((1-R348)*($G$8-$E$8)*($G$8-$F$8))))</f>
        <v>1.06941598056226</v>
      </c>
      <c r="E348" s="51" t="n">
        <f aca="false">1+IF($G$9=$E$9,$F$9,IF(S348&lt;($F$9-$E$9)/($G$9-$E$9),$E$9+SQRT(S348*($G$9-$E$9)*($F$9-$E$9)),$G$9-SQRT((1-S348)*($G$9-$E$9)*($G$9-$F$9))))</f>
        <v>1.0089644335311</v>
      </c>
      <c r="F348" s="51" t="n">
        <f aca="false">1+IF($G$10=$E$10,$F$10,IF(T348&lt;($F$10-$E$10)/($G$10-$E$10),$E$10+SQRT(T348*($G$10-$E$10)*($F$10-$E$10)),$G$10-SQRT((1-T348)*($G$10-$E$10)*($G$10-$F$10))))</f>
        <v>1.18316501158593</v>
      </c>
      <c r="G348" s="52" t="n">
        <f aca="false">IF($G$11=$E$11,$F$11,IF(U348&lt;($F$11-$E$11)/($G$11-$E$11),$E$11+SQRT(U348*($G$11-$E$11)*($F$11-$E$11)),$G$11-SQRT((1-U348)*($G$11-$E$11)*($G$11-$F$11))))</f>
        <v>0.101676207773688</v>
      </c>
      <c r="H348" s="53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-2366330023.17186</v>
      </c>
      <c r="I348" s="53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-80589028.1294566</v>
      </c>
      <c r="J348" s="53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149818767.632428</v>
      </c>
      <c r="K348" s="53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439384813.973609</v>
      </c>
      <c r="L348" s="53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548991132.750654</v>
      </c>
      <c r="M348" s="53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729411593.794279</v>
      </c>
      <c r="N348" s="53" t="n">
        <f aca="false">IF(COUNT('Business Case'!B11:G11)=0,"",H348+NPV(G348,I348:M348))</f>
        <v>-1165265210.70343</v>
      </c>
      <c r="P348" s="54" t="n">
        <f aca="true">RAND()</f>
        <v>0.166013250079663</v>
      </c>
      <c r="Q348" s="54" t="n">
        <f aca="true">RAND()</f>
        <v>0.663301346953705</v>
      </c>
      <c r="R348" s="54" t="n">
        <f aca="true">RAND()</f>
        <v>0.937641183668801</v>
      </c>
      <c r="S348" s="54" t="n">
        <f aca="true">RAND()</f>
        <v>0.469572506421274</v>
      </c>
      <c r="T348" s="54" t="n">
        <f aca="true">RAND()</f>
        <v>0.940441124315881</v>
      </c>
      <c r="U348" s="54" t="n">
        <f aca="true">RAND()</f>
        <v>0.465175195947126</v>
      </c>
    </row>
    <row r="349" customFormat="false" ht="15" hidden="false" customHeight="false" outlineLevel="0" collapsed="false">
      <c r="A349" s="50" t="n">
        <v>269</v>
      </c>
      <c r="B349" s="51" t="n">
        <f aca="false">1+IF($G$6=$E$6,$F$6,IF(P349&lt;($F$6-$E$6)/($G$6-$E$6),$E$6+SQRT(P349*($G$6-$E$6)*($F$6-$E$6)),$G$6-SQRT((1-P349)*($G$6-$E$6)*($G$6-$F$6))))</f>
        <v>0.993539840494972</v>
      </c>
      <c r="C349" s="51" t="n">
        <f aca="false">1+IF($G$7=$E$7,$F$7,IF(Q349&lt;($F$7-$E$7)/($G$7-$E$7),$E$7+SQRT(Q349*($G$7-$E$7)*($F$7-$E$7)),$G$7-SQRT((1-Q349)*($G$7-$E$7)*($G$7-$F$7))))</f>
        <v>0.723445471908648</v>
      </c>
      <c r="D349" s="51" t="n">
        <f aca="false">1+IF($G$8=$E$8,$F$8,IF(R349&lt;($F$8-$E$8)/($G$8-$E$8),$E$8+SQRT(R349*($G$8-$E$8)*($F$8-$E$8)),$G$8-SQRT((1-R349)*($G$8-$E$8)*($G$8-$F$8))))</f>
        <v>1.00111189885961</v>
      </c>
      <c r="E349" s="51" t="n">
        <f aca="false">1+IF($G$9=$E$9,$F$9,IF(S349&lt;($F$9-$E$9)/($G$9-$E$9),$E$9+SQRT(S349*($G$9-$E$9)*($F$9-$E$9)),$G$9-SQRT((1-S349)*($G$9-$E$9)*($G$9-$F$9))))</f>
        <v>0.919334778394537</v>
      </c>
      <c r="F349" s="51" t="n">
        <f aca="false">1+IF($G$10=$E$10,$F$10,IF(T349&lt;($F$10-$E$10)/($G$10-$E$10),$E$10+SQRT(T349*($G$10-$E$10)*($F$10-$E$10)),$G$10-SQRT((1-T349)*($G$10-$E$10)*($G$10-$F$10))))</f>
        <v>1.04962541355979</v>
      </c>
      <c r="G349" s="52" t="n">
        <f aca="false">IF($G$11=$E$11,$F$11,IF(U349&lt;($F$11-$E$11)/($G$11-$E$11),$E$11+SQRT(U349*($G$11-$E$11)*($F$11-$E$11)),$G$11-SQRT((1-U349)*($G$11-$E$11)*($G$11-$F$11))))</f>
        <v>0.117135214408405</v>
      </c>
      <c r="H349" s="53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-2099250827.11958</v>
      </c>
      <c r="I349" s="53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-54985138.9125009</v>
      </c>
      <c r="J349" s="53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162982804.250758</v>
      </c>
      <c r="K349" s="53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433432018.092006</v>
      </c>
      <c r="L349" s="53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530928755.967811</v>
      </c>
      <c r="M349" s="53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667552918.485429</v>
      </c>
      <c r="N349" s="53" t="n">
        <f aca="false">IF(COUNT('Business Case'!B11:G11)=0,"",H349+NPV(G349,I349:M349))</f>
        <v>-982428131.739011</v>
      </c>
      <c r="P349" s="54" t="n">
        <f aca="true">RAND()</f>
        <v>0.583313450654981</v>
      </c>
      <c r="Q349" s="54" t="n">
        <f aca="true">RAND()</f>
        <v>0.00407177891125348</v>
      </c>
      <c r="R349" s="54" t="n">
        <f aca="true">RAND()</f>
        <v>0.348076230189925</v>
      </c>
      <c r="S349" s="54" t="n">
        <f aca="true">RAND()</f>
        <v>0.0149533462226347</v>
      </c>
      <c r="T349" s="54" t="n">
        <f aca="true">RAND()</f>
        <v>0.464667001452198</v>
      </c>
      <c r="U349" s="54" t="n">
        <f aca="true">RAND()</f>
        <v>0.889664861121523</v>
      </c>
    </row>
    <row r="350" customFormat="false" ht="15" hidden="false" customHeight="false" outlineLevel="0" collapsed="false">
      <c r="A350" s="50" t="n">
        <v>270</v>
      </c>
      <c r="B350" s="51" t="n">
        <f aca="false">1+IF($G$6=$E$6,$F$6,IF(P350&lt;($F$6-$E$6)/($G$6-$E$6),$E$6+SQRT(P350*($G$6-$E$6)*($F$6-$E$6)),$G$6-SQRT((1-P350)*($G$6-$E$6)*($G$6-$F$6))))</f>
        <v>0.954397557796647</v>
      </c>
      <c r="C350" s="51" t="n">
        <f aca="false">1+IF($G$7=$E$7,$F$7,IF(Q350&lt;($F$7-$E$7)/($G$7-$E$7),$E$7+SQRT(Q350*($G$7-$E$7)*($F$7-$E$7)),$G$7-SQRT((1-Q350)*($G$7-$E$7)*($G$7-$F$7))))</f>
        <v>1.02853593160866</v>
      </c>
      <c r="D350" s="51" t="n">
        <f aca="false">1+IF($G$8=$E$8,$F$8,IF(R350&lt;($F$8-$E$8)/($G$8-$E$8),$E$8+SQRT(R350*($G$8-$E$8)*($F$8-$E$8)),$G$8-SQRT((1-R350)*($G$8-$E$8)*($G$8-$F$8))))</f>
        <v>0.985279088187824</v>
      </c>
      <c r="E350" s="51" t="n">
        <f aca="false">1+IF($G$9=$E$9,$F$9,IF(S350&lt;($F$9-$E$9)/($G$9-$E$9),$E$9+SQRT(S350*($G$9-$E$9)*($F$9-$E$9)),$G$9-SQRT((1-S350)*($G$9-$E$9)*($G$9-$F$9))))</f>
        <v>0.958598973235986</v>
      </c>
      <c r="F350" s="51" t="n">
        <f aca="false">1+IF($G$10=$E$10,$F$10,IF(T350&lt;($F$10-$E$10)/($G$10-$E$10),$E$10+SQRT(T350*($G$10-$E$10)*($F$10-$E$10)),$G$10-SQRT((1-T350)*($G$10-$E$10)*($G$10-$F$10))))</f>
        <v>1.17630778715571</v>
      </c>
      <c r="G350" s="52" t="n">
        <f aca="false">IF($G$11=$E$11,$F$11,IF(U350&lt;($F$11-$E$11)/($G$11-$E$11),$E$11+SQRT(U350*($G$11-$E$11)*($F$11-$E$11)),$G$11-SQRT((1-U350)*($G$11-$E$11)*($G$11-$F$11))))</f>
        <v>0.118332285153414</v>
      </c>
      <c r="H350" s="53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-2352615574.31142</v>
      </c>
      <c r="I350" s="53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-19581071.212334</v>
      </c>
      <c r="J350" s="53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265669222.5602</v>
      </c>
      <c r="K350" s="53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609734905.69052</v>
      </c>
      <c r="L350" s="53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738743545.131458</v>
      </c>
      <c r="M350" s="53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925332190.140304</v>
      </c>
      <c r="N350" s="53" t="n">
        <f aca="false">IF(COUNT('Business Case'!B11:G11)=0,"",H350+NPV(G350,I350:M350))</f>
        <v>-720484347.49606</v>
      </c>
      <c r="P350" s="54" t="n">
        <f aca="true">RAND()</f>
        <v>0.197272952949304</v>
      </c>
      <c r="Q350" s="54" t="n">
        <f aca="true">RAND()</f>
        <v>0.781429334664073</v>
      </c>
      <c r="R350" s="54" t="n">
        <f aca="true">RAND()</f>
        <v>0.165948541781904</v>
      </c>
      <c r="S350" s="54" t="n">
        <f aca="true">RAND()</f>
        <v>0.137353586572471</v>
      </c>
      <c r="T350" s="54" t="n">
        <f aca="true">RAND()</f>
        <v>0.927592770214827</v>
      </c>
      <c r="U350" s="54" t="n">
        <f aca="true">RAND()</f>
        <v>0.909242953505843</v>
      </c>
    </row>
    <row r="351" customFormat="false" ht="15" hidden="false" customHeight="false" outlineLevel="0" collapsed="false">
      <c r="A351" s="50" t="n">
        <v>271</v>
      </c>
      <c r="B351" s="51" t="n">
        <f aca="false">1+IF($G$6=$E$6,$F$6,IF(P351&lt;($F$6-$E$6)/($G$6-$E$6),$E$6+SQRT(P351*($G$6-$E$6)*($F$6-$E$6)),$G$6-SQRT((1-P351)*($G$6-$E$6)*($G$6-$F$6))))</f>
        <v>0.949162620856216</v>
      </c>
      <c r="C351" s="51" t="n">
        <f aca="false">1+IF($G$7=$E$7,$F$7,IF(Q351&lt;($F$7-$E$7)/($G$7-$E$7),$E$7+SQRT(Q351*($G$7-$E$7)*($F$7-$E$7)),$G$7-SQRT((1-Q351)*($G$7-$E$7)*($G$7-$F$7))))</f>
        <v>1.02220864050075</v>
      </c>
      <c r="D351" s="51" t="n">
        <f aca="false">1+IF($G$8=$E$8,$F$8,IF(R351&lt;($F$8-$E$8)/($G$8-$E$8),$E$8+SQRT(R351*($G$8-$E$8)*($F$8-$E$8)),$G$8-SQRT((1-R351)*($G$8-$E$8)*($G$8-$F$8))))</f>
        <v>1.02600696977628</v>
      </c>
      <c r="E351" s="51" t="n">
        <f aca="false">1+IF($G$9=$E$9,$F$9,IF(S351&lt;($F$9-$E$9)/($G$9-$E$9),$E$9+SQRT(S351*($G$9-$E$9)*($F$9-$E$9)),$G$9-SQRT((1-S351)*($G$9-$E$9)*($G$9-$F$9))))</f>
        <v>1.02645456757889</v>
      </c>
      <c r="F351" s="51" t="n">
        <f aca="false">1+IF($G$10=$E$10,$F$10,IF(T351&lt;($F$10-$E$10)/($G$10-$E$10),$E$10+SQRT(T351*($G$10-$E$10)*($F$10-$E$10)),$G$10-SQRT((1-T351)*($G$10-$E$10)*($G$10-$F$10))))</f>
        <v>1.15450031497189</v>
      </c>
      <c r="G351" s="52" t="n">
        <f aca="false">IF($G$11=$E$11,$F$11,IF(U351&lt;($F$11-$E$11)/($G$11-$E$11),$E$11+SQRT(U351*($G$11-$E$11)*($F$11-$E$11)),$G$11-SQRT((1-U351)*($G$11-$E$11)*($G$11-$F$11))))</f>
        <v>0.104631191886035</v>
      </c>
      <c r="H351" s="53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-2309000629.94377</v>
      </c>
      <c r="I351" s="53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-53909192.3317018</v>
      </c>
      <c r="J351" s="53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203890843.664876</v>
      </c>
      <c r="K351" s="53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519415895.410048</v>
      </c>
      <c r="L351" s="53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638880812.289822</v>
      </c>
      <c r="M351" s="53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823304455.801521</v>
      </c>
      <c r="N351" s="53" t="n">
        <f aca="false">IF(COUNT('Business Case'!B11:G11)=0,"",H351+NPV(G351,I351:M351))</f>
        <v>-875678834.272601</v>
      </c>
      <c r="P351" s="54" t="n">
        <f aca="true">RAND()</f>
        <v>0.161130885963468</v>
      </c>
      <c r="Q351" s="54" t="n">
        <f aca="true">RAND()</f>
        <v>0.75806471759012</v>
      </c>
      <c r="R351" s="54" t="n">
        <f aca="true">RAND()</f>
        <v>0.63500209855411</v>
      </c>
      <c r="S351" s="54" t="n">
        <f aca="true">RAND()</f>
        <v>0.592974030076839</v>
      </c>
      <c r="T351" s="54" t="n">
        <f aca="true">RAND()</f>
        <v>0.878397468793747</v>
      </c>
      <c r="U351" s="54" t="n">
        <f aca="true">RAND()</f>
        <v>0.570949049917878</v>
      </c>
    </row>
    <row r="352" customFormat="false" ht="15" hidden="false" customHeight="false" outlineLevel="0" collapsed="false">
      <c r="A352" s="50" t="n">
        <v>272</v>
      </c>
      <c r="B352" s="51" t="n">
        <f aca="false">1+IF($G$6=$E$6,$F$6,IF(P352&lt;($F$6-$E$6)/($G$6-$E$6),$E$6+SQRT(P352*($G$6-$E$6)*($F$6-$E$6)),$G$6-SQRT((1-P352)*($G$6-$E$6)*($G$6-$F$6))))</f>
        <v>0.925073362104663</v>
      </c>
      <c r="C352" s="51" t="n">
        <f aca="false">1+IF($G$7=$E$7,$F$7,IF(Q352&lt;($F$7-$E$7)/($G$7-$E$7),$E$7+SQRT(Q352*($G$7-$E$7)*($F$7-$E$7)),$G$7-SQRT((1-Q352)*($G$7-$E$7)*($G$7-$F$7))))</f>
        <v>0.79902731233216</v>
      </c>
      <c r="D352" s="51" t="n">
        <f aca="false">1+IF($G$8=$E$8,$F$8,IF(R352&lt;($F$8-$E$8)/($G$8-$E$8),$E$8+SQRT(R352*($G$8-$E$8)*($F$8-$E$8)),$G$8-SQRT((1-R352)*($G$8-$E$8)*($G$8-$F$8))))</f>
        <v>1.02774169002628</v>
      </c>
      <c r="E352" s="51" t="n">
        <f aca="false">1+IF($G$9=$E$9,$F$9,IF(S352&lt;($F$9-$E$9)/($G$9-$E$9),$E$9+SQRT(S352*($G$9-$E$9)*($F$9-$E$9)),$G$9-SQRT((1-S352)*($G$9-$E$9)*($G$9-$F$9))))</f>
        <v>0.981546391191886</v>
      </c>
      <c r="F352" s="51" t="n">
        <f aca="false">1+IF($G$10=$E$10,$F$10,IF(T352&lt;($F$10-$E$10)/($G$10-$E$10),$E$10+SQRT(T352*($G$10-$E$10)*($F$10-$E$10)),$G$10-SQRT((1-T352)*($G$10-$E$10)*($G$10-$F$10))))</f>
        <v>1.11491070444971</v>
      </c>
      <c r="G352" s="52" t="n">
        <f aca="false">IF($G$11=$E$11,$F$11,IF(U352&lt;($F$11-$E$11)/($G$11-$E$11),$E$11+SQRT(U352*($G$11-$E$11)*($F$11-$E$11)),$G$11-SQRT((1-U352)*($G$11-$E$11)*($G$11-$F$11))))</f>
        <v>0.105847487553754</v>
      </c>
      <c r="H352" s="53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-2229821408.89942</v>
      </c>
      <c r="I352" s="53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-104346088.585921</v>
      </c>
      <c r="J352" s="53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80692786.5555518</v>
      </c>
      <c r="K352" s="53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321477196.91951</v>
      </c>
      <c r="L352" s="53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408702152.936624</v>
      </c>
      <c r="M352" s="53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549201473.27139</v>
      </c>
      <c r="N352" s="53" t="n">
        <f aca="false">IF(COUNT('Business Case'!B11:G11)=0,"",H352+NPV(G352,I352:M352))</f>
        <v>-1415094530.14668</v>
      </c>
      <c r="P352" s="54" t="n">
        <f aca="true">RAND()</f>
        <v>0.0419115658154356</v>
      </c>
      <c r="Q352" s="54" t="n">
        <f aca="true">RAND()</f>
        <v>0.0726400636128233</v>
      </c>
      <c r="R352" s="54" t="n">
        <f aca="true">RAND()</f>
        <v>0.651915775982787</v>
      </c>
      <c r="S352" s="54" t="n">
        <f aca="true">RAND()</f>
        <v>0.265992556656804</v>
      </c>
      <c r="T352" s="54" t="n">
        <f aca="true">RAND()</f>
        <v>0.756678429703014</v>
      </c>
      <c r="U352" s="54" t="n">
        <f aca="true">RAND()</f>
        <v>0.611104095022619</v>
      </c>
    </row>
    <row r="353" customFormat="false" ht="15" hidden="false" customHeight="false" outlineLevel="0" collapsed="false">
      <c r="A353" s="50" t="n">
        <v>273</v>
      </c>
      <c r="B353" s="51" t="n">
        <f aca="false">1+IF($G$6=$E$6,$F$6,IF(P353&lt;($F$6-$E$6)/($G$6-$E$6),$E$6+SQRT(P353*($G$6-$E$6)*($F$6-$E$6)),$G$6-SQRT((1-P353)*($G$6-$E$6)*($G$6-$F$6))))</f>
        <v>1.02831788874347</v>
      </c>
      <c r="C353" s="51" t="n">
        <f aca="false">1+IF($G$7=$E$7,$F$7,IF(Q353&lt;($F$7-$E$7)/($G$7-$E$7),$E$7+SQRT(Q353*($G$7-$E$7)*($F$7-$E$7)),$G$7-SQRT((1-Q353)*($G$7-$E$7)*($G$7-$F$7))))</f>
        <v>1.04526759839836</v>
      </c>
      <c r="D353" s="51" t="n">
        <f aca="false">1+IF($G$8=$E$8,$F$8,IF(R353&lt;($F$8-$E$8)/($G$8-$E$8),$E$8+SQRT(R353*($G$8-$E$8)*($F$8-$E$8)),$G$8-SQRT((1-R353)*($G$8-$E$8)*($G$8-$F$8))))</f>
        <v>1.03695503218906</v>
      </c>
      <c r="E353" s="51" t="n">
        <f aca="false">1+IF($G$9=$E$9,$F$9,IF(S353&lt;($F$9-$E$9)/($G$9-$E$9),$E$9+SQRT(S353*($G$9-$E$9)*($F$9-$E$9)),$G$9-SQRT((1-S353)*($G$9-$E$9)*($G$9-$F$9))))</f>
        <v>1.08356768091655</v>
      </c>
      <c r="F353" s="51" t="n">
        <f aca="false">1+IF($G$10=$E$10,$F$10,IF(T353&lt;($F$10-$E$10)/($G$10-$E$10),$E$10+SQRT(T353*($G$10-$E$10)*($F$10-$E$10)),$G$10-SQRT((1-T353)*($G$10-$E$10)*($G$10-$F$10))))</f>
        <v>1.05959138734936</v>
      </c>
      <c r="G353" s="52" t="n">
        <f aca="false">IF($G$11=$E$11,$F$11,IF(U353&lt;($F$11-$E$11)/($G$11-$E$11),$E$11+SQRT(U353*($G$11-$E$11)*($F$11-$E$11)),$G$11-SQRT((1-U353)*($G$11-$E$11)*($G$11-$F$11))))</f>
        <v>0.123214107034822</v>
      </c>
      <c r="H353" s="53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-2119182774.69872</v>
      </c>
      <c r="I353" s="53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9762396.63984135</v>
      </c>
      <c r="J353" s="53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335288380.699522</v>
      </c>
      <c r="K353" s="53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713793934.12667</v>
      </c>
      <c r="L353" s="53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859450011.78561</v>
      </c>
      <c r="M353" s="53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1063760801.46703</v>
      </c>
      <c r="N353" s="53" t="n">
        <f aca="false">IF(COUNT('Business Case'!B11:G11)=0,"",H353+NPV(G353,I353:M353))</f>
        <v>-206023062.890152</v>
      </c>
      <c r="P353" s="54" t="n">
        <f aca="true">RAND()</f>
        <v>0.937318140194591</v>
      </c>
      <c r="Q353" s="54" t="n">
        <f aca="true">RAND()</f>
        <v>0.837498134144497</v>
      </c>
      <c r="R353" s="54" t="n">
        <f aca="true">RAND()</f>
        <v>0.735022135581191</v>
      </c>
      <c r="S353" s="54" t="n">
        <f aca="true">RAND()</f>
        <v>0.882313252831875</v>
      </c>
      <c r="T353" s="54" t="n">
        <f aca="true">RAND()</f>
        <v>0.51659413637944</v>
      </c>
      <c r="U353" s="54" t="n">
        <f aca="true">RAND()</f>
        <v>0.969301104443431</v>
      </c>
    </row>
    <row r="354" customFormat="false" ht="15" hidden="false" customHeight="false" outlineLevel="0" collapsed="false">
      <c r="A354" s="50" t="n">
        <v>274</v>
      </c>
      <c r="B354" s="51" t="n">
        <f aca="false">1+IF($G$6=$E$6,$F$6,IF(P354&lt;($F$6-$E$6)/($G$6-$E$6),$E$6+SQRT(P354*($G$6-$E$6)*($F$6-$E$6)),$G$6-SQRT((1-P354)*($G$6-$E$6)*($G$6-$F$6))))</f>
        <v>0.982600884302364</v>
      </c>
      <c r="C354" s="51" t="n">
        <f aca="false">1+IF($G$7=$E$7,$F$7,IF(Q354&lt;($F$7-$E$7)/($G$7-$E$7),$E$7+SQRT(Q354*($G$7-$E$7)*($F$7-$E$7)),$G$7-SQRT((1-Q354)*($G$7-$E$7)*($G$7-$F$7))))</f>
        <v>1.02404670762765</v>
      </c>
      <c r="D354" s="51" t="n">
        <f aca="false">1+IF($G$8=$E$8,$F$8,IF(R354&lt;($F$8-$E$8)/($G$8-$E$8),$E$8+SQRT(R354*($G$8-$E$8)*($F$8-$E$8)),$G$8-SQRT((1-R354)*($G$8-$E$8)*($G$8-$F$8))))</f>
        <v>1.02396197103925</v>
      </c>
      <c r="E354" s="51" t="n">
        <f aca="false">1+IF($G$9=$E$9,$F$9,IF(S354&lt;($F$9-$E$9)/($G$9-$E$9),$E$9+SQRT(S354*($G$9-$E$9)*($F$9-$E$9)),$G$9-SQRT((1-S354)*($G$9-$E$9)*($G$9-$F$9))))</f>
        <v>1.04033187551047</v>
      </c>
      <c r="F354" s="51" t="n">
        <f aca="false">1+IF($G$10=$E$10,$F$10,IF(T354&lt;($F$10-$E$10)/($G$10-$E$10),$E$10+SQRT(T354*($G$10-$E$10)*($F$10-$E$10)),$G$10-SQRT((1-T354)*($G$10-$E$10)*($G$10-$F$10))))</f>
        <v>0.996243972961963</v>
      </c>
      <c r="G354" s="52" t="n">
        <f aca="false">IF($G$11=$E$11,$F$11,IF(U354&lt;($F$11-$E$11)/($G$11-$E$11),$E$11+SQRT(U354*($G$11-$E$11)*($F$11-$E$11)),$G$11-SQRT((1-U354)*($G$11-$E$11)*($G$11-$F$11))))</f>
        <v>0.099034720493175</v>
      </c>
      <c r="H354" s="53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-1992487945.92393</v>
      </c>
      <c r="I354" s="53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-12339922.4703524</v>
      </c>
      <c r="J354" s="53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275042666.80606</v>
      </c>
      <c r="K354" s="53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612237454.73057</v>
      </c>
      <c r="L354" s="53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742806932.324694</v>
      </c>
      <c r="M354" s="53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934070978.752284</v>
      </c>
      <c r="N354" s="53" t="n">
        <f aca="false">IF(COUNT('Business Case'!B11:G11)=0,"",H354+NPV(G354,I354:M354))</f>
        <v>-223144378.101501</v>
      </c>
      <c r="P354" s="54" t="n">
        <f aca="true">RAND()</f>
        <v>0.454860405835503</v>
      </c>
      <c r="Q354" s="54" t="n">
        <f aca="true">RAND()</f>
        <v>0.764974342823175</v>
      </c>
      <c r="R354" s="54" t="n">
        <f aca="true">RAND()</f>
        <v>0.614547876784241</v>
      </c>
      <c r="S354" s="54" t="n">
        <f aca="true">RAND()</f>
        <v>0.679277399225317</v>
      </c>
      <c r="T354" s="54" t="n">
        <f aca="true">RAND()</f>
        <v>0.142567002353783</v>
      </c>
      <c r="U354" s="54" t="n">
        <f aca="true">RAND()</f>
        <v>0.362320584253297</v>
      </c>
    </row>
    <row r="355" customFormat="false" ht="15" hidden="false" customHeight="false" outlineLevel="0" collapsed="false">
      <c r="A355" s="50" t="n">
        <v>275</v>
      </c>
      <c r="B355" s="51" t="n">
        <f aca="false">1+IF($G$6=$E$6,$F$6,IF(P355&lt;($F$6-$E$6)/($G$6-$E$6),$E$6+SQRT(P355*($G$6-$E$6)*($F$6-$E$6)),$G$6-SQRT((1-P355)*($G$6-$E$6)*($G$6-$F$6))))</f>
        <v>1.0385388006604</v>
      </c>
      <c r="C355" s="51" t="n">
        <f aca="false">1+IF($G$7=$E$7,$F$7,IF(Q355&lt;($F$7-$E$7)/($G$7-$E$7),$E$7+SQRT(Q355*($G$7-$E$7)*($F$7-$E$7)),$G$7-SQRT((1-Q355)*($G$7-$E$7)*($G$7-$F$7))))</f>
        <v>1.0351764199607</v>
      </c>
      <c r="D355" s="51" t="n">
        <f aca="false">1+IF($G$8=$E$8,$F$8,IF(R355&lt;($F$8-$E$8)/($G$8-$E$8),$E$8+SQRT(R355*($G$8-$E$8)*($F$8-$E$8)),$G$8-SQRT((1-R355)*($G$8-$E$8)*($G$8-$F$8))))</f>
        <v>0.987103662242283</v>
      </c>
      <c r="E355" s="51" t="n">
        <f aca="false">1+IF($G$9=$E$9,$F$9,IF(S355&lt;($F$9-$E$9)/($G$9-$E$9),$E$9+SQRT(S355*($G$9-$E$9)*($F$9-$E$9)),$G$9-SQRT((1-S355)*($G$9-$E$9)*($G$9-$F$9))))</f>
        <v>1.01458006140969</v>
      </c>
      <c r="F355" s="51" t="n">
        <f aca="false">1+IF($G$10=$E$10,$F$10,IF(T355&lt;($F$10-$E$10)/($G$10-$E$10),$E$10+SQRT(T355*($G$10-$E$10)*($F$10-$E$10)),$G$10-SQRT((1-T355)*($G$10-$E$10)*($G$10-$F$10))))</f>
        <v>1.18119353085889</v>
      </c>
      <c r="G355" s="52" t="n">
        <f aca="false">IF($G$11=$E$11,$F$11,IF(U355&lt;($F$11-$E$11)/($G$11-$E$11),$E$11+SQRT(U355*($G$11-$E$11)*($F$11-$E$11)),$G$11-SQRT((1-U355)*($G$11-$E$11)*($G$11-$F$11))))</f>
        <v>0.0831481463412565</v>
      </c>
      <c r="H355" s="53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-2362387061.71778</v>
      </c>
      <c r="I355" s="53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39342753.076151</v>
      </c>
      <c r="J355" s="53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396809818.268434</v>
      </c>
      <c r="K355" s="53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813336560.003662</v>
      </c>
      <c r="L355" s="53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969646697.932947</v>
      </c>
      <c r="M355" s="53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1173996170.35816</v>
      </c>
      <c r="N355" s="53" t="n">
        <f aca="false">IF(COUNT('Business Case'!B11:G11)=0,"",H355+NPV(G355,I355:M355))</f>
        <v>144127974.090045</v>
      </c>
      <c r="P355" s="54" t="n">
        <f aca="true">RAND()</f>
        <v>0.982485454626386</v>
      </c>
      <c r="Q355" s="54" t="n">
        <f aca="true">RAND()</f>
        <v>0.804674747658638</v>
      </c>
      <c r="R355" s="54" t="n">
        <f aca="true">RAND()</f>
        <v>0.183557566905254</v>
      </c>
      <c r="S355" s="54" t="n">
        <f aca="true">RAND()</f>
        <v>0.51097173952522</v>
      </c>
      <c r="T355" s="54" t="n">
        <f aca="true">RAND()</f>
        <v>0.936875597391113</v>
      </c>
      <c r="U355" s="54" t="n">
        <f aca="true">RAND()</f>
        <v>0.00991082538596667</v>
      </c>
    </row>
    <row r="356" customFormat="false" ht="15" hidden="false" customHeight="false" outlineLevel="0" collapsed="false">
      <c r="A356" s="50" t="n">
        <v>276</v>
      </c>
      <c r="B356" s="51" t="n">
        <f aca="false">1+IF($G$6=$E$6,$F$6,IF(P356&lt;($F$6-$E$6)/($G$6-$E$6),$E$6+SQRT(P356*($G$6-$E$6)*($F$6-$E$6)),$G$6-SQRT((1-P356)*($G$6-$E$6)*($G$6-$F$6))))</f>
        <v>0.959375534031814</v>
      </c>
      <c r="C356" s="51" t="n">
        <f aca="false">1+IF($G$7=$E$7,$F$7,IF(Q356&lt;($F$7-$E$7)/($G$7-$E$7),$E$7+SQRT(Q356*($G$7-$E$7)*($F$7-$E$7)),$G$7-SQRT((1-Q356)*($G$7-$E$7)*($G$7-$F$7))))</f>
        <v>0.981358645705343</v>
      </c>
      <c r="D356" s="51" t="n">
        <f aca="false">1+IF($G$8=$E$8,$F$8,IF(R356&lt;($F$8-$E$8)/($G$8-$E$8),$E$8+SQRT(R356*($G$8-$E$8)*($F$8-$E$8)),$G$8-SQRT((1-R356)*($G$8-$E$8)*($G$8-$F$8))))</f>
        <v>1.04147165515576</v>
      </c>
      <c r="E356" s="51" t="n">
        <f aca="false">1+IF($G$9=$E$9,$F$9,IF(S356&lt;($F$9-$E$9)/($G$9-$E$9),$E$9+SQRT(S356*($G$9-$E$9)*($F$9-$E$9)),$G$9-SQRT((1-S356)*($G$9-$E$9)*($G$9-$F$9))))</f>
        <v>1.0262656183508</v>
      </c>
      <c r="F356" s="51" t="n">
        <f aca="false">1+IF($G$10=$E$10,$F$10,IF(T356&lt;($F$10-$E$10)/($G$10-$E$10),$E$10+SQRT(T356*($G$10-$E$10)*($F$10-$E$10)),$G$10-SQRT((1-T356)*($G$10-$E$10)*($G$10-$F$10))))</f>
        <v>1.0285392786075</v>
      </c>
      <c r="G356" s="52" t="n">
        <f aca="false">IF($G$11=$E$11,$F$11,IF(U356&lt;($F$11-$E$11)/($G$11-$E$11),$E$11+SQRT(U356*($G$11-$E$11)*($F$11-$E$11)),$G$11-SQRT((1-U356)*($G$11-$E$11)*($G$11-$F$11))))</f>
        <v>0.101065683518507</v>
      </c>
      <c r="H356" s="53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-2057078557.21501</v>
      </c>
      <c r="I356" s="53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-49658040.097813</v>
      </c>
      <c r="J356" s="53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198279736.648256</v>
      </c>
      <c r="K356" s="53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497644477.324701</v>
      </c>
      <c r="L356" s="53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612828348.275822</v>
      </c>
      <c r="M356" s="53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791787047.805864</v>
      </c>
      <c r="N356" s="53" t="n">
        <f aca="false">IF(COUNT('Business Case'!B11:G11)=0,"",H356+NPV(G356,I356:M356))</f>
        <v>-659610194.777741</v>
      </c>
      <c r="P356" s="54" t="n">
        <f aca="true">RAND()</f>
        <v>0.235030269437543</v>
      </c>
      <c r="Q356" s="54" t="n">
        <f aca="true">RAND()</f>
        <v>0.586390277875146</v>
      </c>
      <c r="R356" s="54" t="n">
        <f aca="true">RAND()</f>
        <v>0.771628856652877</v>
      </c>
      <c r="S356" s="54" t="n">
        <f aca="true">RAND()</f>
        <v>0.591728074610433</v>
      </c>
      <c r="T356" s="54" t="n">
        <f aca="true">RAND()</f>
        <v>0.346068651737534</v>
      </c>
      <c r="U356" s="54" t="n">
        <f aca="true">RAND()</f>
        <v>0.441870219832542</v>
      </c>
    </row>
    <row r="357" customFormat="false" ht="15" hidden="false" customHeight="false" outlineLevel="0" collapsed="false">
      <c r="A357" s="50" t="n">
        <v>277</v>
      </c>
      <c r="B357" s="51" t="n">
        <f aca="false">1+IF($G$6=$E$6,$F$6,IF(P357&lt;($F$6-$E$6)/($G$6-$E$6),$E$6+SQRT(P357*($G$6-$E$6)*($F$6-$E$6)),$G$6-SQRT((1-P357)*($G$6-$E$6)*($G$6-$F$6))))</f>
        <v>0.947925304698297</v>
      </c>
      <c r="C357" s="51" t="n">
        <f aca="false">1+IF($G$7=$E$7,$F$7,IF(Q357&lt;($F$7-$E$7)/($G$7-$E$7),$E$7+SQRT(Q357*($G$7-$E$7)*($F$7-$E$7)),$G$7-SQRT((1-Q357)*($G$7-$E$7)*($G$7-$F$7))))</f>
        <v>1.07549365756306</v>
      </c>
      <c r="D357" s="51" t="n">
        <f aca="false">1+IF($G$8=$E$8,$F$8,IF(R357&lt;($F$8-$E$8)/($G$8-$E$8),$E$8+SQRT(R357*($G$8-$E$8)*($F$8-$E$8)),$G$8-SQRT((1-R357)*($G$8-$E$8)*($G$8-$F$8))))</f>
        <v>1.04289348003123</v>
      </c>
      <c r="E357" s="51" t="n">
        <f aca="false">1+IF($G$9=$E$9,$F$9,IF(S357&lt;($F$9-$E$9)/($G$9-$E$9),$E$9+SQRT(S357*($G$9-$E$9)*($F$9-$E$9)),$G$9-SQRT((1-S357)*($G$9-$E$9)*($G$9-$F$9))))</f>
        <v>1.10205151962361</v>
      </c>
      <c r="F357" s="51" t="n">
        <f aca="false">1+IF($G$10=$E$10,$F$10,IF(T357&lt;($F$10-$E$10)/($G$10-$E$10),$E$10+SQRT(T357*($G$10-$E$10)*($F$10-$E$10)),$G$10-SQRT((1-T357)*($G$10-$E$10)*($G$10-$F$10))))</f>
        <v>1.15039909628598</v>
      </c>
      <c r="G357" s="52" t="n">
        <f aca="false">IF($G$11=$E$11,$F$11,IF(U357&lt;($F$11-$E$11)/($G$11-$E$11),$E$11+SQRT(U357*($G$11-$E$11)*($F$11-$E$11)),$G$11-SQRT((1-U357)*($G$11-$E$11)*($G$11-$F$11))))</f>
        <v>0.105018340827988</v>
      </c>
      <c r="H357" s="53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-2300798192.57196</v>
      </c>
      <c r="I357" s="53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-63750520.1941805</v>
      </c>
      <c r="J357" s="53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197100835.264648</v>
      </c>
      <c r="K357" s="53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515472145.537776</v>
      </c>
      <c r="L357" s="53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637656090.646673</v>
      </c>
      <c r="M357" s="53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831440303.737761</v>
      </c>
      <c r="N357" s="53" t="n">
        <f aca="false">IF(COUNT('Business Case'!B11:G11)=0,"",H357+NPV(G357,I357:M357))</f>
        <v>-882731497.85225</v>
      </c>
      <c r="P357" s="54" t="n">
        <f aca="true">RAND()</f>
        <v>0.15312232202831</v>
      </c>
      <c r="Q357" s="54" t="n">
        <f aca="true">RAND()</f>
        <v>0.917760073135839</v>
      </c>
      <c r="R357" s="54" t="n">
        <f aca="true">RAND()</f>
        <v>0.782589691803771</v>
      </c>
      <c r="S357" s="54" t="n">
        <f aca="true">RAND()</f>
        <v>0.938691819455873</v>
      </c>
      <c r="T357" s="54" t="n">
        <f aca="true">RAND()</f>
        <v>0.867728799724677</v>
      </c>
      <c r="U357" s="54" t="n">
        <f aca="true">RAND()</f>
        <v>0.583944470008936</v>
      </c>
    </row>
    <row r="358" customFormat="false" ht="15" hidden="false" customHeight="false" outlineLevel="0" collapsed="false">
      <c r="A358" s="50" t="n">
        <v>278</v>
      </c>
      <c r="B358" s="51" t="n">
        <f aca="false">1+IF($G$6=$E$6,$F$6,IF(P358&lt;($F$6-$E$6)/($G$6-$E$6),$E$6+SQRT(P358*($G$6-$E$6)*($F$6-$E$6)),$G$6-SQRT((1-P358)*($G$6-$E$6)*($G$6-$F$6))))</f>
        <v>1.01766434696462</v>
      </c>
      <c r="C358" s="51" t="n">
        <f aca="false">1+IF($G$7=$E$7,$F$7,IF(Q358&lt;($F$7-$E$7)/($G$7-$E$7),$E$7+SQRT(Q358*($G$7-$E$7)*($F$7-$E$7)),$G$7-SQRT((1-Q358)*($G$7-$E$7)*($G$7-$F$7))))</f>
        <v>0.8404480955181</v>
      </c>
      <c r="D358" s="51" t="n">
        <f aca="false">1+IF($G$8=$E$8,$F$8,IF(R358&lt;($F$8-$E$8)/($G$8-$E$8),$E$8+SQRT(R358*($G$8-$E$8)*($F$8-$E$8)),$G$8-SQRT((1-R358)*($G$8-$E$8)*($G$8-$F$8))))</f>
        <v>1.0026189201735</v>
      </c>
      <c r="E358" s="51" t="n">
        <f aca="false">1+IF($G$9=$E$9,$F$9,IF(S358&lt;($F$9-$E$9)/($G$9-$E$9),$E$9+SQRT(S358*($G$9-$E$9)*($F$9-$E$9)),$G$9-SQRT((1-S358)*($G$9-$E$9)*($G$9-$F$9))))</f>
        <v>0.941237562237199</v>
      </c>
      <c r="F358" s="51" t="n">
        <f aca="false">1+IF($G$10=$E$10,$F$10,IF(T358&lt;($F$10-$E$10)/($G$10-$E$10),$E$10+SQRT(T358*($G$10-$E$10)*($F$10-$E$10)),$G$10-SQRT((1-T358)*($G$10-$E$10)*($G$10-$F$10))))</f>
        <v>1.18213468069845</v>
      </c>
      <c r="G358" s="52" t="n">
        <f aca="false">IF($G$11=$E$11,$F$11,IF(U358&lt;($F$11-$E$11)/($G$11-$E$11),$E$11+SQRT(U358*($G$11-$E$11)*($F$11-$E$11)),$G$11-SQRT((1-U358)*($G$11-$E$11)*($G$11-$F$11))))</f>
        <v>0.100730282512198</v>
      </c>
      <c r="H358" s="53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-2364269361.39689</v>
      </c>
      <c r="I358" s="53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-27217434.4324383</v>
      </c>
      <c r="J358" s="53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241961024.743853</v>
      </c>
      <c r="K358" s="53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570246217.955067</v>
      </c>
      <c r="L358" s="53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689531333.806334</v>
      </c>
      <c r="M358" s="53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852105629.165102</v>
      </c>
      <c r="N358" s="53" t="n">
        <f aca="false">IF(COUNT('Business Case'!B11:G11)=0,"",H358+NPV(G358,I358:M358))</f>
        <v>-764662942.971725</v>
      </c>
      <c r="P358" s="54" t="n">
        <f aca="true">RAND()</f>
        <v>0.860587405703397</v>
      </c>
      <c r="Q358" s="54" t="n">
        <f aca="true">RAND()</f>
        <v>0.146116055812306</v>
      </c>
      <c r="R358" s="54" t="n">
        <f aca="true">RAND()</f>
        <v>0.367795019455001</v>
      </c>
      <c r="S358" s="54" t="n">
        <f aca="true">RAND()</f>
        <v>0.0680214615706734</v>
      </c>
      <c r="T358" s="54" t="n">
        <f aca="true">RAND()</f>
        <v>0.938590645814643</v>
      </c>
      <c r="U358" s="54" t="n">
        <f aca="true">RAND()</f>
        <v>0.428855758789505</v>
      </c>
    </row>
    <row r="359" customFormat="false" ht="15" hidden="false" customHeight="false" outlineLevel="0" collapsed="false">
      <c r="A359" s="50" t="n">
        <v>279</v>
      </c>
      <c r="B359" s="51" t="n">
        <f aca="false">1+IF($G$6=$E$6,$F$6,IF(P359&lt;($F$6-$E$6)/($G$6-$E$6),$E$6+SQRT(P359*($G$6-$E$6)*($F$6-$E$6)),$G$6-SQRT((1-P359)*($G$6-$E$6)*($G$6-$F$6))))</f>
        <v>0.979029004684189</v>
      </c>
      <c r="C359" s="51" t="n">
        <f aca="false">1+IF($G$7=$E$7,$F$7,IF(Q359&lt;($F$7-$E$7)/($G$7-$E$7),$E$7+SQRT(Q359*($G$7-$E$7)*($F$7-$E$7)),$G$7-SQRT((1-Q359)*($G$7-$E$7)*($G$7-$F$7))))</f>
        <v>0.817964849881536</v>
      </c>
      <c r="D359" s="51" t="n">
        <f aca="false">1+IF($G$8=$E$8,$F$8,IF(R359&lt;($F$8-$E$8)/($G$8-$E$8),$E$8+SQRT(R359*($G$8-$E$8)*($F$8-$E$8)),$G$8-SQRT((1-R359)*($G$8-$E$8)*($G$8-$F$8))))</f>
        <v>1.05459123878379</v>
      </c>
      <c r="E359" s="51" t="n">
        <f aca="false">1+IF($G$9=$E$9,$F$9,IF(S359&lt;($F$9-$E$9)/($G$9-$E$9),$E$9+SQRT(S359*($G$9-$E$9)*($F$9-$E$9)),$G$9-SQRT((1-S359)*($G$9-$E$9)*($G$9-$F$9))))</f>
        <v>0.931608392309901</v>
      </c>
      <c r="F359" s="51" t="n">
        <f aca="false">1+IF($G$10=$E$10,$F$10,IF(T359&lt;($F$10-$E$10)/($G$10-$E$10),$E$10+SQRT(T359*($G$10-$E$10)*($F$10-$E$10)),$G$10-SQRT((1-T359)*($G$10-$E$10)*($G$10-$F$10))))</f>
        <v>1.08109225682229</v>
      </c>
      <c r="G359" s="52" t="n">
        <f aca="false">IF($G$11=$E$11,$F$11,IF(U359&lt;($F$11-$E$11)/($G$11-$E$11),$E$11+SQRT(U359*($G$11-$E$11)*($F$11-$E$11)),$G$11-SQRT((1-U359)*($G$11-$E$11)*($G$11-$F$11))))</f>
        <v>0.0934266621263792</v>
      </c>
      <c r="H359" s="53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-2162184513.64458</v>
      </c>
      <c r="I359" s="53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-67767569.33686</v>
      </c>
      <c r="J359" s="53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146562858.852922</v>
      </c>
      <c r="K359" s="53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414947899.883819</v>
      </c>
      <c r="L359" s="53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514067414.919044</v>
      </c>
      <c r="M359" s="53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666285629.264844</v>
      </c>
      <c r="N359" s="53" t="n">
        <f aca="false">IF(COUNT('Business Case'!B11:G11)=0,"",H359+NPV(G359,I359:M359))</f>
        <v>-998230337.91663</v>
      </c>
      <c r="P359" s="54" t="n">
        <f aca="true">RAND()</f>
        <v>0.416372238758234</v>
      </c>
      <c r="Q359" s="54" t="n">
        <f aca="true">RAND()</f>
        <v>0.103079302278321</v>
      </c>
      <c r="R359" s="54" t="n">
        <f aca="true">RAND()</f>
        <v>0.862536293653976</v>
      </c>
      <c r="S359" s="54" t="n">
        <f aca="true">RAND()</f>
        <v>0.0399636185766647</v>
      </c>
      <c r="T359" s="54" t="n">
        <f aca="true">RAND()</f>
        <v>0.619602323928164</v>
      </c>
      <c r="U359" s="54" t="n">
        <f aca="true">RAND()</f>
        <v>0.180275255855947</v>
      </c>
    </row>
    <row r="360" customFormat="false" ht="15" hidden="false" customHeight="false" outlineLevel="0" collapsed="false">
      <c r="A360" s="50" t="n">
        <v>280</v>
      </c>
      <c r="B360" s="51" t="n">
        <f aca="false">1+IF($G$6=$E$6,$F$6,IF(P360&lt;($F$6-$E$6)/($G$6-$E$6),$E$6+SQRT(P360*($G$6-$E$6)*($F$6-$E$6)),$G$6-SQRT((1-P360)*($G$6-$E$6)*($G$6-$F$6))))</f>
        <v>0.992632301707314</v>
      </c>
      <c r="C360" s="51" t="n">
        <f aca="false">1+IF($G$7=$E$7,$F$7,IF(Q360&lt;($F$7-$E$7)/($G$7-$E$7),$E$7+SQRT(Q360*($G$7-$E$7)*($F$7-$E$7)),$G$7-SQRT((1-Q360)*($G$7-$E$7)*($G$7-$F$7))))</f>
        <v>1.01742503133631</v>
      </c>
      <c r="D360" s="51" t="n">
        <f aca="false">1+IF($G$8=$E$8,$F$8,IF(R360&lt;($F$8-$E$8)/($G$8-$E$8),$E$8+SQRT(R360*($G$8-$E$8)*($F$8-$E$8)),$G$8-SQRT((1-R360)*($G$8-$E$8)*($G$8-$F$8))))</f>
        <v>0.991651289670594</v>
      </c>
      <c r="E360" s="51" t="n">
        <f aca="false">1+IF($G$9=$E$9,$F$9,IF(S360&lt;($F$9-$E$9)/($G$9-$E$9),$E$9+SQRT(S360*($G$9-$E$9)*($F$9-$E$9)),$G$9-SQRT((1-S360)*($G$9-$E$9)*($G$9-$F$9))))</f>
        <v>0.976832034521195</v>
      </c>
      <c r="F360" s="51" t="n">
        <f aca="false">1+IF($G$10=$E$10,$F$10,IF(T360&lt;($F$10-$E$10)/($G$10-$E$10),$E$10+SQRT(T360*($G$10-$E$10)*($F$10-$E$10)),$G$10-SQRT((1-T360)*($G$10-$E$10)*($G$10-$F$10))))</f>
        <v>1.05392521547936</v>
      </c>
      <c r="G360" s="52" t="n">
        <f aca="false">IF($G$11=$E$11,$F$11,IF(U360&lt;($F$11-$E$11)/($G$11-$E$11),$E$11+SQRT(U360*($G$11-$E$11)*($F$11-$E$11)),$G$11-SQRT((1-U360)*($G$11-$E$11)*($G$11-$F$11))))</f>
        <v>0.11289672388957</v>
      </c>
      <c r="H360" s="53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-2107850430.95871</v>
      </c>
      <c r="I360" s="53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14059893.9236401</v>
      </c>
      <c r="J360" s="53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324772541.506863</v>
      </c>
      <c r="K360" s="53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688181449.864053</v>
      </c>
      <c r="L360" s="53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826655476.926949</v>
      </c>
      <c r="M360" s="53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1018622771.8703</v>
      </c>
      <c r="N360" s="53" t="n">
        <f aca="false">IF(COUNT('Business Case'!B11:G11)=0,"",H360+NPV(G360,I360:M360))</f>
        <v>-198148386.023487</v>
      </c>
      <c r="P360" s="54" t="n">
        <f aca="true">RAND()</f>
        <v>0.57204955463966</v>
      </c>
      <c r="Q360" s="54" t="n">
        <f aca="true">RAND()</f>
        <v>0.739613002723288</v>
      </c>
      <c r="R360" s="54" t="n">
        <f aca="true">RAND()</f>
        <v>0.231310657496498</v>
      </c>
      <c r="S360" s="54" t="n">
        <f aca="true">RAND()</f>
        <v>0.236126461146646</v>
      </c>
      <c r="T360" s="54" t="n">
        <f aca="true">RAND()</f>
        <v>0.487395718335778</v>
      </c>
      <c r="U360" s="54" t="n">
        <f aca="true">RAND()</f>
        <v>0.804985297526919</v>
      </c>
    </row>
    <row r="361" customFormat="false" ht="15" hidden="false" customHeight="false" outlineLevel="0" collapsed="false">
      <c r="A361" s="50" t="n">
        <v>281</v>
      </c>
      <c r="B361" s="51" t="n">
        <f aca="false">1+IF($G$6=$E$6,$F$6,IF(P361&lt;($F$6-$E$6)/($G$6-$E$6),$E$6+SQRT(P361*($G$6-$E$6)*($F$6-$E$6)),$G$6-SQRT((1-P361)*($G$6-$E$6)*($G$6-$F$6))))</f>
        <v>0.96333181191427</v>
      </c>
      <c r="C361" s="51" t="n">
        <f aca="false">1+IF($G$7=$E$7,$F$7,IF(Q361&lt;($F$7-$E$7)/($G$7-$E$7),$E$7+SQRT(Q361*($G$7-$E$7)*($F$7-$E$7)),$G$7-SQRT((1-Q361)*($G$7-$E$7)*($G$7-$F$7))))</f>
        <v>1.07575290403439</v>
      </c>
      <c r="D361" s="51" t="n">
        <f aca="false">1+IF($G$8=$E$8,$F$8,IF(R361&lt;($F$8-$E$8)/($G$8-$E$8),$E$8+SQRT(R361*($G$8-$E$8)*($F$8-$E$8)),$G$8-SQRT((1-R361)*($G$8-$E$8)*($G$8-$F$8))))</f>
        <v>1.02431987272474</v>
      </c>
      <c r="E361" s="51" t="n">
        <f aca="false">1+IF($G$9=$E$9,$F$9,IF(S361&lt;($F$9-$E$9)/($G$9-$E$9),$E$9+SQRT(S361*($G$9-$E$9)*($F$9-$E$9)),$G$9-SQRT((1-S361)*($G$9-$E$9)*($G$9-$F$9))))</f>
        <v>0.978074507936704</v>
      </c>
      <c r="F361" s="51" t="n">
        <f aca="false">1+IF($G$10=$E$10,$F$10,IF(T361&lt;($F$10-$E$10)/($G$10-$E$10),$E$10+SQRT(T361*($G$10-$E$10)*($F$10-$E$10)),$G$10-SQRT((1-T361)*($G$10-$E$10)*($G$10-$F$10))))</f>
        <v>1.0207191303195</v>
      </c>
      <c r="G361" s="52" t="n">
        <f aca="false">IF($G$11=$E$11,$F$11,IF(U361&lt;($F$11-$E$11)/($G$11-$E$11),$E$11+SQRT(U361*($G$11-$E$11)*($F$11-$E$11)),$G$11-SQRT((1-U361)*($G$11-$E$11)*($G$11-$F$11))))</f>
        <v>0.0872304020739902</v>
      </c>
      <c r="H361" s="53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-2041438260.639</v>
      </c>
      <c r="I361" s="53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-10158586.873209</v>
      </c>
      <c r="J361" s="53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274559088.894262</v>
      </c>
      <c r="K361" s="53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610312721.177709</v>
      </c>
      <c r="L361" s="53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741033382.820287</v>
      </c>
      <c r="M361" s="53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938014616.280766</v>
      </c>
      <c r="N361" s="53" t="n">
        <f aca="false">IF(COUNT('Business Case'!B11:G11)=0,"",H361+NPV(G361,I361:M361))</f>
        <v>-195841728.524129</v>
      </c>
      <c r="P361" s="54" t="n">
        <f aca="true">RAND()</f>
        <v>0.267394560022967</v>
      </c>
      <c r="Q361" s="54" t="n">
        <f aca="true">RAND()</f>
        <v>0.918331388750711</v>
      </c>
      <c r="R361" s="54" t="n">
        <f aca="true">RAND()</f>
        <v>0.618167889040056</v>
      </c>
      <c r="S361" s="54" t="n">
        <f aca="true">RAND()</f>
        <v>0.24382515158234</v>
      </c>
      <c r="T361" s="54" t="n">
        <f aca="true">RAND()</f>
        <v>0.29907043731406</v>
      </c>
      <c r="U361" s="54" t="n">
        <f aca="true">RAND()</f>
        <v>0.0522787141515611</v>
      </c>
    </row>
    <row r="362" customFormat="false" ht="15" hidden="false" customHeight="false" outlineLevel="0" collapsed="false">
      <c r="A362" s="50" t="n">
        <v>282</v>
      </c>
      <c r="B362" s="51" t="n">
        <f aca="false">1+IF($G$6=$E$6,$F$6,IF(P362&lt;($F$6-$E$6)/($G$6-$E$6),$E$6+SQRT(P362*($G$6-$E$6)*($F$6-$E$6)),$G$6-SQRT((1-P362)*($G$6-$E$6)*($G$6-$F$6))))</f>
        <v>1.0224380580271</v>
      </c>
      <c r="C362" s="51" t="n">
        <f aca="false">1+IF($G$7=$E$7,$F$7,IF(Q362&lt;($F$7-$E$7)/($G$7-$E$7),$E$7+SQRT(Q362*($G$7-$E$7)*($F$7-$E$7)),$G$7-SQRT((1-Q362)*($G$7-$E$7)*($G$7-$F$7))))</f>
        <v>0.930435382342006</v>
      </c>
      <c r="D362" s="51" t="n">
        <f aca="false">1+IF($G$8=$E$8,$F$8,IF(R362&lt;($F$8-$E$8)/($G$8-$E$8),$E$8+SQRT(R362*($G$8-$E$8)*($F$8-$E$8)),$G$8-SQRT((1-R362)*($G$8-$E$8)*($G$8-$F$8))))</f>
        <v>0.986709353621708</v>
      </c>
      <c r="E362" s="51" t="n">
        <f aca="false">1+IF($G$9=$E$9,$F$9,IF(S362&lt;($F$9-$E$9)/($G$9-$E$9),$E$9+SQRT(S362*($G$9-$E$9)*($F$9-$E$9)),$G$9-SQRT((1-S362)*($G$9-$E$9)*($G$9-$F$9))))</f>
        <v>1.0002901238866</v>
      </c>
      <c r="F362" s="51" t="n">
        <f aca="false">1+IF($G$10=$E$10,$F$10,IF(T362&lt;($F$10-$E$10)/($G$10-$E$10),$E$10+SQRT(T362*($G$10-$E$10)*($F$10-$E$10)),$G$10-SQRT((1-T362)*($G$10-$E$10)*($G$10-$F$10))))</f>
        <v>1.17456252406416</v>
      </c>
      <c r="G362" s="52" t="n">
        <f aca="false">IF($G$11=$E$11,$F$11,IF(U362&lt;($F$11-$E$11)/($G$11-$E$11),$E$11+SQRT(U362*($G$11-$E$11)*($F$11-$E$11)),$G$11-SQRT((1-U362)*($G$11-$E$11)*($G$11-$F$11))))</f>
        <v>0.0999184697057456</v>
      </c>
      <c r="H362" s="53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-2349125048.12832</v>
      </c>
      <c r="I362" s="53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201885.499532953</v>
      </c>
      <c r="J362" s="53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309417321.377842</v>
      </c>
      <c r="K362" s="53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677360883.459359</v>
      </c>
      <c r="L362" s="53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813310056.989252</v>
      </c>
      <c r="M362" s="53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994135545.626764</v>
      </c>
      <c r="N362" s="53" t="n">
        <f aca="false">IF(COUNT('Business Case'!B11:G11)=0,"",H362+NPV(G362,I362:M362))</f>
        <v>-410987160.771921</v>
      </c>
      <c r="P362" s="54" t="n">
        <f aca="true">RAND()</f>
        <v>0.898711913957633</v>
      </c>
      <c r="Q362" s="54" t="n">
        <f aca="true">RAND()</f>
        <v>0.393336781000788</v>
      </c>
      <c r="R362" s="54" t="n">
        <f aca="true">RAND()</f>
        <v>0.179676885776481</v>
      </c>
      <c r="S362" s="54" t="n">
        <f aca="true">RAND()</f>
        <v>0.402318746509637</v>
      </c>
      <c r="T362" s="54" t="n">
        <f aca="true">RAND()</f>
        <v>0.924122496325727</v>
      </c>
      <c r="U362" s="54" t="n">
        <f aca="true">RAND()</f>
        <v>0.396745435418707</v>
      </c>
    </row>
    <row r="363" customFormat="false" ht="15" hidden="false" customHeight="false" outlineLevel="0" collapsed="false">
      <c r="A363" s="50" t="n">
        <v>283</v>
      </c>
      <c r="B363" s="51" t="n">
        <f aca="false">1+IF($G$6=$E$6,$F$6,IF(P363&lt;($F$6-$E$6)/($G$6-$E$6),$E$6+SQRT(P363*($G$6-$E$6)*($F$6-$E$6)),$G$6-SQRT((1-P363)*($G$6-$E$6)*($G$6-$F$6))))</f>
        <v>1.0049650632811</v>
      </c>
      <c r="C363" s="51" t="n">
        <f aca="false">1+IF($G$7=$E$7,$F$7,IF(Q363&lt;($F$7-$E$7)/($G$7-$E$7),$E$7+SQRT(Q363*($G$7-$E$7)*($F$7-$E$7)),$G$7-SQRT((1-Q363)*($G$7-$E$7)*($G$7-$F$7))))</f>
        <v>0.852775476678393</v>
      </c>
      <c r="D363" s="51" t="n">
        <f aca="false">1+IF($G$8=$E$8,$F$8,IF(R363&lt;($F$8-$E$8)/($G$8-$E$8),$E$8+SQRT(R363*($G$8-$E$8)*($F$8-$E$8)),$G$8-SQRT((1-R363)*($G$8-$E$8)*($G$8-$F$8))))</f>
        <v>0.980394230668823</v>
      </c>
      <c r="E363" s="51" t="n">
        <f aca="false">1+IF($G$9=$E$9,$F$9,IF(S363&lt;($F$9-$E$9)/($G$9-$E$9),$E$9+SQRT(S363*($G$9-$E$9)*($F$9-$E$9)),$G$9-SQRT((1-S363)*($G$9-$E$9)*($G$9-$F$9))))</f>
        <v>1.01057514577176</v>
      </c>
      <c r="F363" s="51" t="n">
        <f aca="false">1+IF($G$10=$E$10,$F$10,IF(T363&lt;($F$10-$E$10)/($G$10-$E$10),$E$10+SQRT(T363*($G$10-$E$10)*($F$10-$E$10)),$G$10-SQRT((1-T363)*($G$10-$E$10)*($G$10-$F$10))))</f>
        <v>1.00285296208613</v>
      </c>
      <c r="G363" s="52" t="n">
        <f aca="false">IF($G$11=$E$11,$F$11,IF(U363&lt;($F$11-$E$11)/($G$11-$E$11),$E$11+SQRT(U363*($G$11-$E$11)*($F$11-$E$11)),$G$11-SQRT((1-U363)*($G$11-$E$11)*($G$11-$F$11))))</f>
        <v>0.103608698186983</v>
      </c>
      <c r="H363" s="53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-2005705924.17225</v>
      </c>
      <c r="I363" s="53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-14457790.612467</v>
      </c>
      <c r="J363" s="53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259500876.348684</v>
      </c>
      <c r="K363" s="53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583602191.414142</v>
      </c>
      <c r="L363" s="53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704539997.492033</v>
      </c>
      <c r="M363" s="53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867440374.824992</v>
      </c>
      <c r="N363" s="53" t="n">
        <f aca="false">IF(COUNT('Business Case'!B11:G11)=0,"",H363+NPV(G363,I363:M363))</f>
        <v>-366750745.005637</v>
      </c>
      <c r="P363" s="54" t="n">
        <f aca="true">RAND()</f>
        <v>0.729580596629998</v>
      </c>
      <c r="Q363" s="54" t="n">
        <f aca="true">RAND()</f>
        <v>0.172891453883779</v>
      </c>
      <c r="R363" s="54" t="n">
        <f aca="true">RAND()</f>
        <v>0.123174567726613</v>
      </c>
      <c r="S363" s="54" t="n">
        <f aca="true">RAND()</f>
        <v>0.481618933958226</v>
      </c>
      <c r="T363" s="54" t="n">
        <f aca="true">RAND()</f>
        <v>0.185577888671981</v>
      </c>
      <c r="U363" s="54" t="n">
        <f aca="true">RAND()</f>
        <v>0.535666125742824</v>
      </c>
    </row>
    <row r="364" customFormat="false" ht="15" hidden="false" customHeight="false" outlineLevel="0" collapsed="false">
      <c r="A364" s="50" t="n">
        <v>284</v>
      </c>
      <c r="B364" s="51" t="n">
        <f aca="false">1+IF($G$6=$E$6,$F$6,IF(P364&lt;($F$6-$E$6)/($G$6-$E$6),$E$6+SQRT(P364*($G$6-$E$6)*($F$6-$E$6)),$G$6-SQRT((1-P364)*($G$6-$E$6)*($G$6-$F$6))))</f>
        <v>1.00101096899817</v>
      </c>
      <c r="C364" s="51" t="n">
        <f aca="false">1+IF($G$7=$E$7,$F$7,IF(Q364&lt;($F$7-$E$7)/($G$7-$E$7),$E$7+SQRT(Q364*($G$7-$E$7)*($F$7-$E$7)),$G$7-SQRT((1-Q364)*($G$7-$E$7)*($G$7-$F$7))))</f>
        <v>1.01345783773281</v>
      </c>
      <c r="D364" s="51" t="n">
        <f aca="false">1+IF($G$8=$E$8,$F$8,IF(R364&lt;($F$8-$E$8)/($G$8-$E$8),$E$8+SQRT(R364*($G$8-$E$8)*($F$8-$E$8)),$G$8-SQRT((1-R364)*($G$8-$E$8)*($G$8-$F$8))))</f>
        <v>0.975155259718005</v>
      </c>
      <c r="E364" s="51" t="n">
        <f aca="false">1+IF($G$9=$E$9,$F$9,IF(S364&lt;($F$9-$E$9)/($G$9-$E$9),$E$9+SQRT(S364*($G$9-$E$9)*($F$9-$E$9)),$G$9-SQRT((1-S364)*($G$9-$E$9)*($G$9-$F$9))))</f>
        <v>0.960708642652172</v>
      </c>
      <c r="F364" s="51" t="n">
        <f aca="false">1+IF($G$10=$E$10,$F$10,IF(T364&lt;($F$10-$E$10)/($G$10-$E$10),$E$10+SQRT(T364*($G$10-$E$10)*($F$10-$E$10)),$G$10-SQRT((1-T364)*($G$10-$E$10)*($G$10-$F$10))))</f>
        <v>1.1314723356048</v>
      </c>
      <c r="G364" s="52" t="n">
        <f aca="false">IF($G$11=$E$11,$F$11,IF(U364&lt;($F$11-$E$11)/($G$11-$E$11),$E$11+SQRT(U364*($G$11-$E$11)*($F$11-$E$11)),$G$11-SQRT((1-U364)*($G$11-$E$11)*($G$11-$F$11))))</f>
        <v>0.0854949009666615</v>
      </c>
      <c r="H364" s="53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-2262944671.20959</v>
      </c>
      <c r="I364" s="53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22663714.445859</v>
      </c>
      <c r="J364" s="53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347678199.685148</v>
      </c>
      <c r="K364" s="53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729266301.704676</v>
      </c>
      <c r="L364" s="53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872664975.616314</v>
      </c>
      <c r="M364" s="53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1065497792.52495</v>
      </c>
      <c r="N364" s="53" t="n">
        <f aca="false">IF(COUNT('Business Case'!B11:G11)=0,"",H364+NPV(G364,I364:M364))</f>
        <v>-41294619.3771977</v>
      </c>
      <c r="P364" s="54" t="n">
        <f aca="true">RAND()</f>
        <v>0.680009978866946</v>
      </c>
      <c r="Q364" s="54" t="n">
        <f aca="true">RAND()</f>
        <v>0.723796117383713</v>
      </c>
      <c r="R364" s="54" t="n">
        <f aca="true">RAND()</f>
        <v>0.0843716121973725</v>
      </c>
      <c r="S364" s="54" t="n">
        <f aca="true">RAND()</f>
        <v>0.147421571706763</v>
      </c>
      <c r="T364" s="54" t="n">
        <f aca="true">RAND()</f>
        <v>0.812682570306909</v>
      </c>
      <c r="U364" s="54" t="n">
        <f aca="true">RAND()</f>
        <v>0.030193936633417</v>
      </c>
    </row>
    <row r="365" customFormat="false" ht="15" hidden="false" customHeight="false" outlineLevel="0" collapsed="false">
      <c r="A365" s="50" t="n">
        <v>285</v>
      </c>
      <c r="B365" s="51" t="n">
        <f aca="false">1+IF($G$6=$E$6,$F$6,IF(P365&lt;($F$6-$E$6)/($G$6-$E$6),$E$6+SQRT(P365*($G$6-$E$6)*($F$6-$E$6)),$G$6-SQRT((1-P365)*($G$6-$E$6)*($G$6-$F$6))))</f>
        <v>0.942562420593287</v>
      </c>
      <c r="C365" s="51" t="n">
        <f aca="false">1+IF($G$7=$E$7,$F$7,IF(Q365&lt;($F$7-$E$7)/($G$7-$E$7),$E$7+SQRT(Q365*($G$7-$E$7)*($F$7-$E$7)),$G$7-SQRT((1-Q365)*($G$7-$E$7)*($G$7-$F$7))))</f>
        <v>0.756354299747109</v>
      </c>
      <c r="D365" s="51" t="n">
        <f aca="false">1+IF($G$8=$E$8,$F$8,IF(R365&lt;($F$8-$E$8)/($G$8-$E$8),$E$8+SQRT(R365*($G$8-$E$8)*($F$8-$E$8)),$G$8-SQRT((1-R365)*($G$8-$E$8)*($G$8-$F$8))))</f>
        <v>1.06790551349655</v>
      </c>
      <c r="E365" s="51" t="n">
        <f aca="false">1+IF($G$9=$E$9,$F$9,IF(S365&lt;($F$9-$E$9)/($G$9-$E$9),$E$9+SQRT(S365*($G$9-$E$9)*($F$9-$E$9)),$G$9-SQRT((1-S365)*($G$9-$E$9)*($G$9-$F$9))))</f>
        <v>0.925141295066558</v>
      </c>
      <c r="F365" s="51" t="n">
        <f aca="false">1+IF($G$10=$E$10,$F$10,IF(T365&lt;($F$10-$E$10)/($G$10-$E$10),$E$10+SQRT(T365*($G$10-$E$10)*($F$10-$E$10)),$G$10-SQRT((1-T365)*($G$10-$E$10)*($G$10-$F$10))))</f>
        <v>1.02803011077032</v>
      </c>
      <c r="G365" s="52" t="n">
        <f aca="false">IF($G$11=$E$11,$F$11,IF(U365&lt;($F$11-$E$11)/($G$11-$E$11),$E$11+SQRT(U365*($G$11-$E$11)*($F$11-$E$11)),$G$11-SQRT((1-U365)*($G$11-$E$11)*($G$11-$F$11))))</f>
        <v>0.11044865593465</v>
      </c>
      <c r="H365" s="53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-2056060221.54065</v>
      </c>
      <c r="I365" s="53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-100875289.137663</v>
      </c>
      <c r="J365" s="53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69564838.436815</v>
      </c>
      <c r="K365" s="53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291406471.549809</v>
      </c>
      <c r="L365" s="53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372858056.392399</v>
      </c>
      <c r="M365" s="53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508368205.806764</v>
      </c>
      <c r="N365" s="53" t="n">
        <f aca="false">IF(COUNT('Business Case'!B11:G11)=0,"",H365+NPV(G365,I365:M365))</f>
        <v>-1331372369.87565</v>
      </c>
      <c r="P365" s="54" t="n">
        <f aca="true">RAND()</f>
        <v>0.120770643117324</v>
      </c>
      <c r="Q365" s="54" t="n">
        <f aca="true">RAND()</f>
        <v>0.0235244970369405</v>
      </c>
      <c r="R365" s="54" t="n">
        <f aca="true">RAND()</f>
        <v>0.931329595738658</v>
      </c>
      <c r="S365" s="54" t="n">
        <f aca="true">RAND()</f>
        <v>0.0252833887049499</v>
      </c>
      <c r="T365" s="54" t="n">
        <f aca="true">RAND()</f>
        <v>0.343058243671538</v>
      </c>
      <c r="U365" s="54" t="n">
        <f aca="true">RAND()</f>
        <v>0.745163296825526</v>
      </c>
    </row>
    <row r="366" customFormat="false" ht="15" hidden="false" customHeight="false" outlineLevel="0" collapsed="false">
      <c r="A366" s="50" t="n">
        <v>286</v>
      </c>
      <c r="B366" s="51" t="n">
        <f aca="false">1+IF($G$6=$E$6,$F$6,IF(P366&lt;($F$6-$E$6)/($G$6-$E$6),$E$6+SQRT(P366*($G$6-$E$6)*($F$6-$E$6)),$G$6-SQRT((1-P366)*($G$6-$E$6)*($G$6-$F$6))))</f>
        <v>0.988192268385328</v>
      </c>
      <c r="C366" s="51" t="n">
        <f aca="false">1+IF($G$7=$E$7,$F$7,IF(Q366&lt;($F$7-$E$7)/($G$7-$E$7),$E$7+SQRT(Q366*($G$7-$E$7)*($F$7-$E$7)),$G$7-SQRT((1-Q366)*($G$7-$E$7)*($G$7-$F$7))))</f>
        <v>0.956251913795378</v>
      </c>
      <c r="D366" s="51" t="n">
        <f aca="false">1+IF($G$8=$E$8,$F$8,IF(R366&lt;($F$8-$E$8)/($G$8-$E$8),$E$8+SQRT(R366*($G$8-$E$8)*($F$8-$E$8)),$G$8-SQRT((1-R366)*($G$8-$E$8)*($G$8-$F$8))))</f>
        <v>1.05149153858313</v>
      </c>
      <c r="E366" s="51" t="n">
        <f aca="false">1+IF($G$9=$E$9,$F$9,IF(S366&lt;($F$9-$E$9)/($G$9-$E$9),$E$9+SQRT(S366*($G$9-$E$9)*($F$9-$E$9)),$G$9-SQRT((1-S366)*($G$9-$E$9)*($G$9-$F$9))))</f>
        <v>1.09830655486782</v>
      </c>
      <c r="F366" s="51" t="n">
        <f aca="false">1+IF($G$10=$E$10,$F$10,IF(T366&lt;($F$10-$E$10)/($G$10-$E$10),$E$10+SQRT(T366*($G$10-$E$10)*($F$10-$E$10)),$G$10-SQRT((1-T366)*($G$10-$E$10)*($G$10-$F$10))))</f>
        <v>0.991184631474324</v>
      </c>
      <c r="G366" s="52" t="n">
        <f aca="false">IF($G$11=$E$11,$F$11,IF(U366&lt;($F$11-$E$11)/($G$11-$E$11),$E$11+SQRT(U366*($G$11-$E$11)*($F$11-$E$11)),$G$11-SQRT((1-U366)*($G$11-$E$11)*($G$11-$F$11))))</f>
        <v>0.116255829769071</v>
      </c>
      <c r="H366" s="53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-1982369262.94865</v>
      </c>
      <c r="I366" s="53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-45024379.1063985</v>
      </c>
      <c r="J366" s="53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214235662.20493</v>
      </c>
      <c r="K366" s="53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523054935.089975</v>
      </c>
      <c r="L366" s="53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642132792.305812</v>
      </c>
      <c r="M366" s="53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821750931.255479</v>
      </c>
      <c r="N366" s="53" t="n">
        <f aca="false">IF(COUNT('Business Case'!B11:G11)=0,"",H366+NPV(G366,I366:M366))</f>
        <v>-586964217.664176</v>
      </c>
      <c r="P366" s="54" t="n">
        <f aca="true">RAND()</f>
        <v>0.518525080196646</v>
      </c>
      <c r="Q366" s="54" t="n">
        <f aca="true">RAND()</f>
        <v>0.486407728324397</v>
      </c>
      <c r="R366" s="54" t="n">
        <f aca="true">RAND()</f>
        <v>0.843128611397892</v>
      </c>
      <c r="S366" s="54" t="n">
        <f aca="true">RAND()</f>
        <v>0.928741006143088</v>
      </c>
      <c r="T366" s="54" t="n">
        <f aca="true">RAND()</f>
        <v>0.113078257978393</v>
      </c>
      <c r="U366" s="54" t="n">
        <f aca="true">RAND()</f>
        <v>0.874065189775504</v>
      </c>
    </row>
    <row r="367" customFormat="false" ht="15" hidden="false" customHeight="false" outlineLevel="0" collapsed="false">
      <c r="A367" s="50" t="n">
        <v>287</v>
      </c>
      <c r="B367" s="51" t="n">
        <f aca="false">1+IF($G$6=$E$6,$F$6,IF(P367&lt;($F$6-$E$6)/($G$6-$E$6),$E$6+SQRT(P367*($G$6-$E$6)*($F$6-$E$6)),$G$6-SQRT((1-P367)*($G$6-$E$6)*($G$6-$F$6))))</f>
        <v>0.975074587733441</v>
      </c>
      <c r="C367" s="51" t="n">
        <f aca="false">1+IF($G$7=$E$7,$F$7,IF(Q367&lt;($F$7-$E$7)/($G$7-$E$7),$E$7+SQRT(Q367*($G$7-$E$7)*($F$7-$E$7)),$G$7-SQRT((1-Q367)*($G$7-$E$7)*($G$7-$F$7))))</f>
        <v>0.984471091825095</v>
      </c>
      <c r="D367" s="51" t="n">
        <f aca="false">1+IF($G$8=$E$8,$F$8,IF(R367&lt;($F$8-$E$8)/($G$8-$E$8),$E$8+SQRT(R367*($G$8-$E$8)*($F$8-$E$8)),$G$8-SQRT((1-R367)*($G$8-$E$8)*($G$8-$F$8))))</f>
        <v>1.0333004211873</v>
      </c>
      <c r="E367" s="51" t="n">
        <f aca="false">1+IF($G$9=$E$9,$F$9,IF(S367&lt;($F$9-$E$9)/($G$9-$E$9),$E$9+SQRT(S367*($G$9-$E$9)*($F$9-$E$9)),$G$9-SQRT((1-S367)*($G$9-$E$9)*($G$9-$F$9))))</f>
        <v>1.12785434567086</v>
      </c>
      <c r="F367" s="51" t="n">
        <f aca="false">1+IF($G$10=$E$10,$F$10,IF(T367&lt;($F$10-$E$10)/($G$10-$E$10),$E$10+SQRT(T367*($G$10-$E$10)*($F$10-$E$10)),$G$10-SQRT((1-T367)*($G$10-$E$10)*($G$10-$F$10))))</f>
        <v>1.06284744429755</v>
      </c>
      <c r="G367" s="52" t="n">
        <f aca="false">IF($G$11=$E$11,$F$11,IF(U367&lt;($F$11-$E$11)/($G$11-$E$11),$E$11+SQRT(U367*($G$11-$E$11)*($F$11-$E$11)),$G$11-SQRT((1-U367)*($G$11-$E$11)*($G$11-$F$11))))</f>
        <v>0.113935571633002</v>
      </c>
      <c r="H367" s="53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-2125694888.59509</v>
      </c>
      <c r="I367" s="53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-50927382.6312066</v>
      </c>
      <c r="J367" s="53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214573780.570534</v>
      </c>
      <c r="K367" s="53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533217315.987151</v>
      </c>
      <c r="L367" s="53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654892979.353596</v>
      </c>
      <c r="M367" s="53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837356995.332516</v>
      </c>
      <c r="N367" s="53" t="n">
        <f aca="false">IF(COUNT('Business Case'!B11:G11)=0,"",H367+NPV(G367,I367:M367))</f>
        <v>-699174741.241509</v>
      </c>
      <c r="P367" s="54" t="n">
        <f aca="true">RAND()</f>
        <v>0.375746248223078</v>
      </c>
      <c r="Q367" s="54" t="n">
        <f aca="true">RAND()</f>
        <v>0.599435570993789</v>
      </c>
      <c r="R367" s="54" t="n">
        <f aca="true">RAND()</f>
        <v>0.703411079080542</v>
      </c>
      <c r="S367" s="54" t="n">
        <f aca="true">RAND()</f>
        <v>0.986921866515578</v>
      </c>
      <c r="T367" s="54" t="n">
        <f aca="true">RAND()</f>
        <v>0.53298561192053</v>
      </c>
      <c r="U367" s="54" t="n">
        <f aca="true">RAND()</f>
        <v>0.827956094161067</v>
      </c>
    </row>
    <row r="368" customFormat="false" ht="15" hidden="false" customHeight="false" outlineLevel="0" collapsed="false">
      <c r="A368" s="50" t="n">
        <v>288</v>
      </c>
      <c r="B368" s="51" t="n">
        <f aca="false">1+IF($G$6=$E$6,$F$6,IF(P368&lt;($F$6-$E$6)/($G$6-$E$6),$E$6+SQRT(P368*($G$6-$E$6)*($F$6-$E$6)),$G$6-SQRT((1-P368)*($G$6-$E$6)*($G$6-$F$6))))</f>
        <v>0.925222640954078</v>
      </c>
      <c r="C368" s="51" t="n">
        <f aca="false">1+IF($G$7=$E$7,$F$7,IF(Q368&lt;($F$7-$E$7)/($G$7-$E$7),$E$7+SQRT(Q368*($G$7-$E$7)*($F$7-$E$7)),$G$7-SQRT((1-Q368)*($G$7-$E$7)*($G$7-$F$7))))</f>
        <v>0.988395355855673</v>
      </c>
      <c r="D368" s="51" t="n">
        <f aca="false">1+IF($G$8=$E$8,$F$8,IF(R368&lt;($F$8-$E$8)/($G$8-$E$8),$E$8+SQRT(R368*($G$8-$E$8)*($F$8-$E$8)),$G$8-SQRT((1-R368)*($G$8-$E$8)*($G$8-$F$8))))</f>
        <v>1.04876344118093</v>
      </c>
      <c r="E368" s="51" t="n">
        <f aca="false">1+IF($G$9=$E$9,$F$9,IF(S368&lt;($F$9-$E$9)/($G$9-$E$9),$E$9+SQRT(S368*($G$9-$E$9)*($F$9-$E$9)),$G$9-SQRT((1-S368)*($G$9-$E$9)*($G$9-$F$9))))</f>
        <v>1.02349695909627</v>
      </c>
      <c r="F368" s="51" t="n">
        <f aca="false">1+IF($G$10=$E$10,$F$10,IF(T368&lt;($F$10-$E$10)/($G$10-$E$10),$E$10+SQRT(T368*($G$10-$E$10)*($F$10-$E$10)),$G$10-SQRT((1-T368)*($G$10-$E$10)*($G$10-$F$10))))</f>
        <v>0.986085050646258</v>
      </c>
      <c r="G368" s="52" t="n">
        <f aca="false">IF($G$11=$E$11,$F$11,IF(U368&lt;($F$11-$E$11)/($G$11-$E$11),$E$11+SQRT(U368*($G$11-$E$11)*($F$11-$E$11)),$G$11-SQRT((1-U368)*($G$11-$E$11)*($G$11-$F$11))))</f>
        <v>0.109860020837698</v>
      </c>
      <c r="H368" s="53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-1972170101.29252</v>
      </c>
      <c r="I368" s="53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-73179677.7880364</v>
      </c>
      <c r="J368" s="53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145197358.94569</v>
      </c>
      <c r="K368" s="53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412878648.211729</v>
      </c>
      <c r="L368" s="53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517275621.705403</v>
      </c>
      <c r="M368" s="53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691101075.24211</v>
      </c>
      <c r="N368" s="53" t="n">
        <f aca="false">IF(COUNT('Business Case'!B11:G11)=0,"",H368+NPV(G368,I368:M368))</f>
        <v>-866912377.075674</v>
      </c>
      <c r="P368" s="54" t="n">
        <f aca="true">RAND()</f>
        <v>0.0424121077798901</v>
      </c>
      <c r="Q368" s="54" t="n">
        <f aca="true">RAND()</f>
        <v>0.616088009474965</v>
      </c>
      <c r="R368" s="54" t="n">
        <f aca="true">RAND()</f>
        <v>0.824987669358654</v>
      </c>
      <c r="S368" s="54" t="n">
        <f aca="true">RAND()</f>
        <v>0.573252817122906</v>
      </c>
      <c r="T368" s="54" t="n">
        <f aca="true">RAND()</f>
        <v>0.0868087253428692</v>
      </c>
      <c r="U368" s="54" t="n">
        <f aca="true">RAND()</f>
        <v>0.729587492894694</v>
      </c>
    </row>
    <row r="369" customFormat="false" ht="15" hidden="false" customHeight="false" outlineLevel="0" collapsed="false">
      <c r="A369" s="50" t="n">
        <v>289</v>
      </c>
      <c r="B369" s="51" t="n">
        <f aca="false">1+IF($G$6=$E$6,$F$6,IF(P369&lt;($F$6-$E$6)/($G$6-$E$6),$E$6+SQRT(P369*($G$6-$E$6)*($F$6-$E$6)),$G$6-SQRT((1-P369)*($G$6-$E$6)*($G$6-$F$6))))</f>
        <v>0.940644284791877</v>
      </c>
      <c r="C369" s="51" t="n">
        <f aca="false">1+IF($G$7=$E$7,$F$7,IF(Q369&lt;($F$7-$E$7)/($G$7-$E$7),$E$7+SQRT(Q369*($G$7-$E$7)*($F$7-$E$7)),$G$7-SQRT((1-Q369)*($G$7-$E$7)*($G$7-$F$7))))</f>
        <v>0.809391442651695</v>
      </c>
      <c r="D369" s="51" t="n">
        <f aca="false">1+IF($G$8=$E$8,$F$8,IF(R369&lt;($F$8-$E$8)/($G$8-$E$8),$E$8+SQRT(R369*($G$8-$E$8)*($F$8-$E$8)),$G$8-SQRT((1-R369)*($G$8-$E$8)*($G$8-$F$8))))</f>
        <v>0.98083160185139</v>
      </c>
      <c r="E369" s="51" t="n">
        <f aca="false">1+IF($G$9=$E$9,$F$9,IF(S369&lt;($F$9-$E$9)/($G$9-$E$9),$E$9+SQRT(S369*($G$9-$E$9)*($F$9-$E$9)),$G$9-SQRT((1-S369)*($G$9-$E$9)*($G$9-$F$9))))</f>
        <v>1.09760237024634</v>
      </c>
      <c r="F369" s="51" t="n">
        <f aca="false">1+IF($G$10=$E$10,$F$10,IF(T369&lt;($F$10-$E$10)/($G$10-$E$10),$E$10+SQRT(T369*($G$10-$E$10)*($F$10-$E$10)),$G$10-SQRT((1-T369)*($G$10-$E$10)*($G$10-$F$10))))</f>
        <v>1.02876904229968</v>
      </c>
      <c r="G369" s="52" t="n">
        <f aca="false">IF($G$11=$E$11,$F$11,IF(U369&lt;($F$11-$E$11)/($G$11-$E$11),$E$11+SQRT(U369*($G$11-$E$11)*($F$11-$E$11)),$G$11-SQRT((1-U369)*($G$11-$E$11)*($G$11-$F$11))))</f>
        <v>0.0884515902859525</v>
      </c>
      <c r="H369" s="53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-2057538084.59937</v>
      </c>
      <c r="I369" s="53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-81225674.7397639</v>
      </c>
      <c r="J369" s="53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135972966.493787</v>
      </c>
      <c r="K369" s="53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404610059.842323</v>
      </c>
      <c r="L369" s="53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503321843.383052</v>
      </c>
      <c r="M369" s="53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648039143.928884</v>
      </c>
      <c r="N369" s="53" t="n">
        <f aca="false">IF(COUNT('Business Case'!B11:G11)=0,"",H369+NPV(G369,I369:M369))</f>
        <v>-920838477.463831</v>
      </c>
      <c r="P369" s="54" t="n">
        <f aca="true">RAND()</f>
        <v>0.110130525749549</v>
      </c>
      <c r="Q369" s="54" t="n">
        <f aca="true">RAND()</f>
        <v>0.0886406498179189</v>
      </c>
      <c r="R369" s="54" t="n">
        <f aca="true">RAND()</f>
        <v>0.126745023029682</v>
      </c>
      <c r="S369" s="54" t="n">
        <f aca="true">RAND()</f>
        <v>0.926786357231953</v>
      </c>
      <c r="T369" s="54" t="n">
        <f aca="true">RAND()</f>
        <v>0.347424844733339</v>
      </c>
      <c r="U369" s="54" t="n">
        <f aca="true">RAND()</f>
        <v>0.0714293783616069</v>
      </c>
    </row>
    <row r="370" customFormat="false" ht="15" hidden="false" customHeight="false" outlineLevel="0" collapsed="false">
      <c r="A370" s="50" t="n">
        <v>290</v>
      </c>
      <c r="B370" s="51" t="n">
        <f aca="false">1+IF($G$6=$E$6,$F$6,IF(P370&lt;($F$6-$E$6)/($G$6-$E$6),$E$6+SQRT(P370*($G$6-$E$6)*($F$6-$E$6)),$G$6-SQRT((1-P370)*($G$6-$E$6)*($G$6-$F$6))))</f>
        <v>0.944109978402746</v>
      </c>
      <c r="C370" s="51" t="n">
        <f aca="false">1+IF($G$7=$E$7,$F$7,IF(Q370&lt;($F$7-$E$7)/($G$7-$E$7),$E$7+SQRT(Q370*($G$7-$E$7)*($F$7-$E$7)),$G$7-SQRT((1-Q370)*($G$7-$E$7)*($G$7-$F$7))))</f>
        <v>0.932403903191121</v>
      </c>
      <c r="D370" s="51" t="n">
        <f aca="false">1+IF($G$8=$E$8,$F$8,IF(R370&lt;($F$8-$E$8)/($G$8-$E$8),$E$8+SQRT(R370*($G$8-$E$8)*($F$8-$E$8)),$G$8-SQRT((1-R370)*($G$8-$E$8)*($G$8-$F$8))))</f>
        <v>1.04120229841257</v>
      </c>
      <c r="E370" s="51" t="n">
        <f aca="false">1+IF($G$9=$E$9,$F$9,IF(S370&lt;($F$9-$E$9)/($G$9-$E$9),$E$9+SQRT(S370*($G$9-$E$9)*($F$9-$E$9)),$G$9-SQRT((1-S370)*($G$9-$E$9)*($G$9-$F$9))))</f>
        <v>1.01412230536774</v>
      </c>
      <c r="F370" s="51" t="n">
        <f aca="false">1+IF($G$10=$E$10,$F$10,IF(T370&lt;($F$10-$E$10)/($G$10-$E$10),$E$10+SQRT(T370*($G$10-$E$10)*($F$10-$E$10)),$G$10-SQRT((1-T370)*($G$10-$E$10)*($G$10-$F$10))))</f>
        <v>0.995015001464168</v>
      </c>
      <c r="G370" s="52" t="n">
        <f aca="false">IF($G$11=$E$11,$F$11,IF(U370&lt;($F$11-$E$11)/($G$11-$E$11),$E$11+SQRT(U370*($G$11-$E$11)*($F$11-$E$11)),$G$11-SQRT((1-U370)*($G$11-$E$11)*($G$11-$F$11))))</f>
        <v>0.111555591800909</v>
      </c>
      <c r="H370" s="53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-1990030002.92834</v>
      </c>
      <c r="I370" s="53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-65304362.3791039</v>
      </c>
      <c r="J370" s="53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158735295.621906</v>
      </c>
      <c r="K370" s="53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432525703.696124</v>
      </c>
      <c r="L370" s="53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537628475.303397</v>
      </c>
      <c r="M370" s="53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704954346.141546</v>
      </c>
      <c r="N370" s="53" t="n">
        <f aca="false">IF(COUNT('Business Case'!B11:G11)=0,"",H370+NPV(G370,I370:M370))</f>
        <v>-837763443.474827</v>
      </c>
      <c r="P370" s="54" t="n">
        <f aca="true">RAND()</f>
        <v>0.129712679646045</v>
      </c>
      <c r="Q370" s="54" t="n">
        <f aca="true">RAND()</f>
        <v>0.400085734951613</v>
      </c>
      <c r="R370" s="54" t="n">
        <f aca="true">RAND()</f>
        <v>0.769522019202405</v>
      </c>
      <c r="S370" s="54" t="n">
        <f aca="true">RAND()</f>
        <v>0.507660056037926</v>
      </c>
      <c r="T370" s="54" t="n">
        <f aca="true">RAND()</f>
        <v>0.135090023787934</v>
      </c>
      <c r="U370" s="54" t="n">
        <f aca="true">RAND()</f>
        <v>0.773202537456879</v>
      </c>
    </row>
    <row r="371" customFormat="false" ht="15" hidden="false" customHeight="false" outlineLevel="0" collapsed="false">
      <c r="A371" s="50" t="n">
        <v>291</v>
      </c>
      <c r="B371" s="51" t="n">
        <f aca="false">1+IF($G$6=$E$6,$F$6,IF(P371&lt;($F$6-$E$6)/($G$6-$E$6),$E$6+SQRT(P371*($G$6-$E$6)*($F$6-$E$6)),$G$6-SQRT((1-P371)*($G$6-$E$6)*($G$6-$F$6))))</f>
        <v>0.936231326130921</v>
      </c>
      <c r="C371" s="51" t="n">
        <f aca="false">1+IF($G$7=$E$7,$F$7,IF(Q371&lt;($F$7-$E$7)/($G$7-$E$7),$E$7+SQRT(Q371*($G$7-$E$7)*($F$7-$E$7)),$G$7-SQRT((1-Q371)*($G$7-$E$7)*($G$7-$F$7))))</f>
        <v>1.10978368327941</v>
      </c>
      <c r="D371" s="51" t="n">
        <f aca="false">1+IF($G$8=$E$8,$F$8,IF(R371&lt;($F$8-$E$8)/($G$8-$E$8),$E$8+SQRT(R371*($G$8-$E$8)*($F$8-$E$8)),$G$8-SQRT((1-R371)*($G$8-$E$8)*($G$8-$F$8))))</f>
        <v>0.984991709753444</v>
      </c>
      <c r="E371" s="51" t="n">
        <f aca="false">1+IF($G$9=$E$9,$F$9,IF(S371&lt;($F$9-$E$9)/($G$9-$E$9),$E$9+SQRT(S371*($G$9-$E$9)*($F$9-$E$9)),$G$9-SQRT((1-S371)*($G$9-$E$9)*($G$9-$F$9))))</f>
        <v>1.04545904797929</v>
      </c>
      <c r="F371" s="51" t="n">
        <f aca="false">1+IF($G$10=$E$10,$F$10,IF(T371&lt;($F$10-$E$10)/($G$10-$E$10),$E$10+SQRT(T371*($G$10-$E$10)*($F$10-$E$10)),$G$10-SQRT((1-T371)*($G$10-$E$10)*($G$10-$F$10))))</f>
        <v>0.953226871764407</v>
      </c>
      <c r="G371" s="52" t="n">
        <f aca="false">IF($G$11=$E$11,$F$11,IF(U371&lt;($F$11-$E$11)/($G$11-$E$11),$E$11+SQRT(U371*($G$11-$E$11)*($F$11-$E$11)),$G$11-SQRT((1-U371)*($G$11-$E$11)*($G$11-$F$11))))</f>
        <v>0.113138099267674</v>
      </c>
      <c r="H371" s="53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-1906453743.52881</v>
      </c>
      <c r="I371" s="53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-6415929.45361142</v>
      </c>
      <c r="J371" s="53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285017603.586738</v>
      </c>
      <c r="K371" s="53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624112480.215309</v>
      </c>
      <c r="L371" s="53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757165323.692002</v>
      </c>
      <c r="M371" s="53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954661152.23984</v>
      </c>
      <c r="N371" s="53" t="n">
        <f aca="false">IF(COUNT('Business Case'!B11:G11)=0,"",H371+NPV(G371,I371:M371))</f>
        <v>-177924761.430156</v>
      </c>
      <c r="P371" s="54" t="n">
        <f aca="true">RAND()</f>
        <v>0.0875139328803455</v>
      </c>
      <c r="Q371" s="54" t="n">
        <f aca="true">RAND()</f>
        <v>0.976039227695253</v>
      </c>
      <c r="R371" s="54" t="n">
        <f aca="true">RAND()</f>
        <v>0.163255966862569</v>
      </c>
      <c r="S371" s="54" t="n">
        <f aca="true">RAND()</f>
        <v>0.708565049349444</v>
      </c>
      <c r="T371" s="54" t="n">
        <f aca="true">RAND()</f>
        <v>0.000694180092261691</v>
      </c>
      <c r="U371" s="54" t="n">
        <f aca="true">RAND()</f>
        <v>0.810450869128788</v>
      </c>
    </row>
    <row r="372" customFormat="false" ht="15" hidden="false" customHeight="false" outlineLevel="0" collapsed="false">
      <c r="A372" s="50" t="n">
        <v>292</v>
      </c>
      <c r="B372" s="51" t="n">
        <f aca="false">1+IF($G$6=$E$6,$F$6,IF(P372&lt;($F$6-$E$6)/($G$6-$E$6),$E$6+SQRT(P372*($G$6-$E$6)*($F$6-$E$6)),$G$6-SQRT((1-P372)*($G$6-$E$6)*($G$6-$F$6))))</f>
        <v>0.951475479774953</v>
      </c>
      <c r="C372" s="51" t="n">
        <f aca="false">1+IF($G$7=$E$7,$F$7,IF(Q372&lt;($F$7-$E$7)/($G$7-$E$7),$E$7+SQRT(Q372*($G$7-$E$7)*($F$7-$E$7)),$G$7-SQRT((1-Q372)*($G$7-$E$7)*($G$7-$F$7))))</f>
        <v>1.10738805263114</v>
      </c>
      <c r="D372" s="51" t="n">
        <f aca="false">1+IF($G$8=$E$8,$F$8,IF(R372&lt;($F$8-$E$8)/($G$8-$E$8),$E$8+SQRT(R372*($G$8-$E$8)*($F$8-$E$8)),$G$8-SQRT((1-R372)*($G$8-$E$8)*($G$8-$F$8))))</f>
        <v>1.08113018798036</v>
      </c>
      <c r="E372" s="51" t="n">
        <f aca="false">1+IF($G$9=$E$9,$F$9,IF(S372&lt;($F$9-$E$9)/($G$9-$E$9),$E$9+SQRT(S372*($G$9-$E$9)*($F$9-$E$9)),$G$9-SQRT((1-S372)*($G$9-$E$9)*($G$9-$F$9))))</f>
        <v>1.00569123078098</v>
      </c>
      <c r="F372" s="51" t="n">
        <f aca="false">1+IF($G$10=$E$10,$F$10,IF(T372&lt;($F$10-$E$10)/($G$10-$E$10),$E$10+SQRT(T372*($G$10-$E$10)*($F$10-$E$10)),$G$10-SQRT((1-T372)*($G$10-$E$10)*($G$10-$F$10))))</f>
        <v>1.01476490097136</v>
      </c>
      <c r="G372" s="52" t="n">
        <f aca="false">IF($G$11=$E$11,$F$11,IF(U372&lt;($F$11-$E$11)/($G$11-$E$11),$E$11+SQRT(U372*($G$11-$E$11)*($F$11-$E$11)),$G$11-SQRT((1-U372)*($G$11-$E$11)*($G$11-$F$11))))</f>
        <v>0.0905068063302874</v>
      </c>
      <c r="H372" s="53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-2029529801.94272</v>
      </c>
      <c r="I372" s="53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-48976124.0167493</v>
      </c>
      <c r="J372" s="53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201154884.759167</v>
      </c>
      <c r="K372" s="53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502024138.583652</v>
      </c>
      <c r="L372" s="53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621815374.62794</v>
      </c>
      <c r="M372" s="53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822093656.782344</v>
      </c>
      <c r="N372" s="53" t="n">
        <f aca="false">IF(COUNT('Business Case'!B11:G11)=0,"",H372+NPV(G372,I372:M372))</f>
        <v>-545420505.921439</v>
      </c>
      <c r="P372" s="54" t="n">
        <f aca="true">RAND()</f>
        <v>0.176648334537442</v>
      </c>
      <c r="Q372" s="54" t="n">
        <f aca="true">RAND()</f>
        <v>0.973099584317533</v>
      </c>
      <c r="R372" s="54" t="n">
        <f aca="true">RAND()</f>
        <v>0.97626201295622</v>
      </c>
      <c r="S372" s="54" t="n">
        <f aca="true">RAND()</f>
        <v>0.444666110039789</v>
      </c>
      <c r="T372" s="54" t="n">
        <f aca="true">RAND()</f>
        <v>0.26219264246649</v>
      </c>
      <c r="U372" s="54" t="n">
        <f aca="true">RAND()</f>
        <v>0.110392979262168</v>
      </c>
    </row>
    <row r="373" customFormat="false" ht="15" hidden="false" customHeight="false" outlineLevel="0" collapsed="false">
      <c r="A373" s="50" t="n">
        <v>293</v>
      </c>
      <c r="B373" s="51" t="n">
        <f aca="false">1+IF($G$6=$E$6,$F$6,IF(P373&lt;($F$6-$E$6)/($G$6-$E$6),$E$6+SQRT(P373*($G$6-$E$6)*($F$6-$E$6)),$G$6-SQRT((1-P373)*($G$6-$E$6)*($G$6-$F$6))))</f>
        <v>0.960563010563864</v>
      </c>
      <c r="C373" s="51" t="n">
        <f aca="false">1+IF($G$7=$E$7,$F$7,IF(Q373&lt;($F$7-$E$7)/($G$7-$E$7),$E$7+SQRT(Q373*($G$7-$E$7)*($F$7-$E$7)),$G$7-SQRT((1-Q373)*($G$7-$E$7)*($G$7-$F$7))))</f>
        <v>0.823371093759826</v>
      </c>
      <c r="D373" s="51" t="n">
        <f aca="false">1+IF($G$8=$E$8,$F$8,IF(R373&lt;($F$8-$E$8)/($G$8-$E$8),$E$8+SQRT(R373*($G$8-$E$8)*($F$8-$E$8)),$G$8-SQRT((1-R373)*($G$8-$E$8)*($G$8-$F$8))))</f>
        <v>1.00435831561287</v>
      </c>
      <c r="E373" s="51" t="n">
        <f aca="false">1+IF($G$9=$E$9,$F$9,IF(S373&lt;($F$9-$E$9)/($G$9-$E$9),$E$9+SQRT(S373*($G$9-$E$9)*($F$9-$E$9)),$G$9-SQRT((1-S373)*($G$9-$E$9)*($G$9-$F$9))))</f>
        <v>0.970122828681924</v>
      </c>
      <c r="F373" s="51" t="n">
        <f aca="false">1+IF($G$10=$E$10,$F$10,IF(T373&lt;($F$10-$E$10)/($G$10-$E$10),$E$10+SQRT(T373*($G$10-$E$10)*($F$10-$E$10)),$G$10-SQRT((1-T373)*($G$10-$E$10)*($G$10-$F$10))))</f>
        <v>0.985233833794718</v>
      </c>
      <c r="G373" s="52" t="n">
        <f aca="false">IF($G$11=$E$11,$F$11,IF(U373&lt;($F$11-$E$11)/($G$11-$E$11),$E$11+SQRT(U373*($G$11-$E$11)*($F$11-$E$11)),$G$11-SQRT((1-U373)*($G$11-$E$11)*($G$11-$F$11))))</f>
        <v>0.0909260980413708</v>
      </c>
      <c r="H373" s="53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-1970467667.58944</v>
      </c>
      <c r="I373" s="53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-53008362.4192392</v>
      </c>
      <c r="J373" s="53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171458371.273828</v>
      </c>
      <c r="K373" s="53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445186796.656631</v>
      </c>
      <c r="L373" s="53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547342538.88383</v>
      </c>
      <c r="M373" s="53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697676776.029469</v>
      </c>
      <c r="N373" s="53" t="n">
        <f aca="false">IF(COUNT('Business Case'!B11:G11)=0,"",H373+NPV(G373,I373:M373))</f>
        <v>-694141680.247569</v>
      </c>
      <c r="P373" s="54" t="n">
        <f aca="true">RAND()</f>
        <v>0.244525216570577</v>
      </c>
      <c r="Q373" s="54" t="n">
        <f aca="true">RAND()</f>
        <v>0.112743902040709</v>
      </c>
      <c r="R373" s="54" t="n">
        <f aca="true">RAND()</f>
        <v>0.390177880506206</v>
      </c>
      <c r="S373" s="54" t="n">
        <f aca="true">RAND()</f>
        <v>0.196688444094178</v>
      </c>
      <c r="T373" s="54" t="n">
        <f aca="true">RAND()</f>
        <v>0.0827615362582533</v>
      </c>
      <c r="U373" s="54" t="n">
        <f aca="true">RAND()</f>
        <v>0.119379618409646</v>
      </c>
    </row>
    <row r="374" customFormat="false" ht="15" hidden="false" customHeight="false" outlineLevel="0" collapsed="false">
      <c r="A374" s="50" t="n">
        <v>294</v>
      </c>
      <c r="B374" s="51" t="n">
        <f aca="false">1+IF($G$6=$E$6,$F$6,IF(P374&lt;($F$6-$E$6)/($G$6-$E$6),$E$6+SQRT(P374*($G$6-$E$6)*($F$6-$E$6)),$G$6-SQRT((1-P374)*($G$6-$E$6)*($G$6-$F$6))))</f>
        <v>0.996301037217227</v>
      </c>
      <c r="C374" s="51" t="n">
        <f aca="false">1+IF($G$7=$E$7,$F$7,IF(Q374&lt;($F$7-$E$7)/($G$7-$E$7),$E$7+SQRT(Q374*($G$7-$E$7)*($F$7-$E$7)),$G$7-SQRT((1-Q374)*($G$7-$E$7)*($G$7-$F$7))))</f>
        <v>1.0093719360536</v>
      </c>
      <c r="D374" s="51" t="n">
        <f aca="false">1+IF($G$8=$E$8,$F$8,IF(R374&lt;($F$8-$E$8)/($G$8-$E$8),$E$8+SQRT(R374*($G$8-$E$8)*($F$8-$E$8)),$G$8-SQRT((1-R374)*($G$8-$E$8)*($G$8-$F$8))))</f>
        <v>1.05863888381884</v>
      </c>
      <c r="E374" s="51" t="n">
        <f aca="false">1+IF($G$9=$E$9,$F$9,IF(S374&lt;($F$9-$E$9)/($G$9-$E$9),$E$9+SQRT(S374*($G$9-$E$9)*($F$9-$E$9)),$G$9-SQRT((1-S374)*($G$9-$E$9)*($G$9-$F$9))))</f>
        <v>1.00577295577916</v>
      </c>
      <c r="F374" s="51" t="n">
        <f aca="false">1+IF($G$10=$E$10,$F$10,IF(T374&lt;($F$10-$E$10)/($G$10-$E$10),$E$10+SQRT(T374*($G$10-$E$10)*($F$10-$E$10)),$G$10-SQRT((1-T374)*($G$10-$E$10)*($G$10-$F$10))))</f>
        <v>1.00066878066341</v>
      </c>
      <c r="G374" s="52" t="n">
        <f aca="false">IF($G$11=$E$11,$F$11,IF(U374&lt;($F$11-$E$11)/($G$11-$E$11),$E$11+SQRT(U374*($G$11-$E$11)*($F$11-$E$11)),$G$11-SQRT((1-U374)*($G$11-$E$11)*($G$11-$F$11))))</f>
        <v>0.100164974023445</v>
      </c>
      <c r="H374" s="53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-2001337561.32683</v>
      </c>
      <c r="I374" s="53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-18547332.551197</v>
      </c>
      <c r="J374" s="53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258125417.101716</v>
      </c>
      <c r="K374" s="53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584831605.787801</v>
      </c>
      <c r="L374" s="53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711810715.556086</v>
      </c>
      <c r="M374" s="53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902962444.917984</v>
      </c>
      <c r="N374" s="53" t="n">
        <f aca="false">IF(COUNT('Business Case'!B11:G11)=0,"",H374+NPV(G374,I374:M374))</f>
        <v>-319605286.059149</v>
      </c>
      <c r="P374" s="54" t="n">
        <f aca="true">RAND()</f>
        <v>0.618259317940919</v>
      </c>
      <c r="Q374" s="54" t="n">
        <f aca="true">RAND()</f>
        <v>0.707018483417608</v>
      </c>
      <c r="R374" s="54" t="n">
        <f aca="true">RAND()</f>
        <v>0.885950537883235</v>
      </c>
      <c r="S374" s="54" t="n">
        <f aca="true">RAND()</f>
        <v>0.445294925741867</v>
      </c>
      <c r="T374" s="54" t="n">
        <f aca="true">RAND()</f>
        <v>0.171119240855087</v>
      </c>
      <c r="U374" s="54" t="n">
        <f aca="true">RAND()</f>
        <v>0.406580816652187</v>
      </c>
    </row>
    <row r="375" customFormat="false" ht="15" hidden="false" customHeight="false" outlineLevel="0" collapsed="false">
      <c r="A375" s="50" t="n">
        <v>295</v>
      </c>
      <c r="B375" s="51" t="n">
        <f aca="false">1+IF($G$6=$E$6,$F$6,IF(P375&lt;($F$6-$E$6)/($G$6-$E$6),$E$6+SQRT(P375*($G$6-$E$6)*($F$6-$E$6)),$G$6-SQRT((1-P375)*($G$6-$E$6)*($G$6-$F$6))))</f>
        <v>0.998001143751934</v>
      </c>
      <c r="C375" s="51" t="n">
        <f aca="false">1+IF($G$7=$E$7,$F$7,IF(Q375&lt;($F$7-$E$7)/($G$7-$E$7),$E$7+SQRT(Q375*($G$7-$E$7)*($F$7-$E$7)),$G$7-SQRT((1-Q375)*($G$7-$E$7)*($G$7-$F$7))))</f>
        <v>0.994105754965861</v>
      </c>
      <c r="D375" s="51" t="n">
        <f aca="false">1+IF($G$8=$E$8,$F$8,IF(R375&lt;($F$8-$E$8)/($G$8-$E$8),$E$8+SQRT(R375*($G$8-$E$8)*($F$8-$E$8)),$G$8-SQRT((1-R375)*($G$8-$E$8)*($G$8-$F$8))))</f>
        <v>1.01217873250025</v>
      </c>
      <c r="E375" s="51" t="n">
        <f aca="false">1+IF($G$9=$E$9,$F$9,IF(S375&lt;($F$9-$E$9)/($G$9-$E$9),$E$9+SQRT(S375*($G$9-$E$9)*($F$9-$E$9)),$G$9-SQRT((1-S375)*($G$9-$E$9)*($G$9-$F$9))))</f>
        <v>0.977918136160304</v>
      </c>
      <c r="F375" s="51" t="n">
        <f aca="false">1+IF($G$10=$E$10,$F$10,IF(T375&lt;($F$10-$E$10)/($G$10-$E$10),$E$10+SQRT(T375*($G$10-$E$10)*($F$10-$E$10)),$G$10-SQRT((1-T375)*($G$10-$E$10)*($G$10-$F$10))))</f>
        <v>1.02567333986063</v>
      </c>
      <c r="G375" s="52" t="n">
        <f aca="false">IF($G$11=$E$11,$F$11,IF(U375&lt;($F$11-$E$11)/($G$11-$E$11),$E$11+SQRT(U375*($G$11-$E$11)*($F$11-$E$11)),$G$11-SQRT((1-U375)*($G$11-$E$11)*($G$11-$F$11))))</f>
        <v>0.113148408292841</v>
      </c>
      <c r="H375" s="53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-2051346679.72127</v>
      </c>
      <c r="I375" s="53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4457499.56704579</v>
      </c>
      <c r="J375" s="53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301973724.477524</v>
      </c>
      <c r="K375" s="53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650773616.381033</v>
      </c>
      <c r="L375" s="53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784233312.948108</v>
      </c>
      <c r="M375" s="53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972815231.731144</v>
      </c>
      <c r="N375" s="53" t="n">
        <f aca="false">IF(COUNT('Business Case'!B11:G11)=0,"",H375+NPV(G375,I375:M375))</f>
        <v>-251845044.077662</v>
      </c>
      <c r="P375" s="54" t="n">
        <f aca="true">RAND()</f>
        <v>0.640281611779147</v>
      </c>
      <c r="Q375" s="54" t="n">
        <f aca="true">RAND()</f>
        <v>0.64072737114103</v>
      </c>
      <c r="R375" s="54" t="n">
        <f aca="true">RAND()</f>
        <v>0.485828331649162</v>
      </c>
      <c r="S375" s="54" t="n">
        <f aca="true">RAND()</f>
        <v>0.242849437707825</v>
      </c>
      <c r="T375" s="54" t="n">
        <f aca="true">RAND()</f>
        <v>0.329033994009557</v>
      </c>
      <c r="U375" s="54" t="n">
        <f aca="true">RAND()</f>
        <v>0.810682571290142</v>
      </c>
    </row>
    <row r="376" customFormat="false" ht="15" hidden="false" customHeight="false" outlineLevel="0" collapsed="false">
      <c r="A376" s="50" t="n">
        <v>296</v>
      </c>
      <c r="B376" s="51" t="n">
        <f aca="false">1+IF($G$6=$E$6,$F$6,IF(P376&lt;($F$6-$E$6)/($G$6-$E$6),$E$6+SQRT(P376*($G$6-$E$6)*($F$6-$E$6)),$G$6-SQRT((1-P376)*($G$6-$E$6)*($G$6-$F$6))))</f>
        <v>0.934471891240837</v>
      </c>
      <c r="C376" s="51" t="n">
        <f aca="false">1+IF($G$7=$E$7,$F$7,IF(Q376&lt;($F$7-$E$7)/($G$7-$E$7),$E$7+SQRT(Q376*($G$7-$E$7)*($F$7-$E$7)),$G$7-SQRT((1-Q376)*($G$7-$E$7)*($G$7-$F$7))))</f>
        <v>1.01722242953913</v>
      </c>
      <c r="D376" s="51" t="n">
        <f aca="false">1+IF($G$8=$E$8,$F$8,IF(R376&lt;($F$8-$E$8)/($G$8-$E$8),$E$8+SQRT(R376*($G$8-$E$8)*($F$8-$E$8)),$G$8-SQRT((1-R376)*($G$8-$E$8)*($G$8-$F$8))))</f>
        <v>1.04836176527526</v>
      </c>
      <c r="E376" s="51" t="n">
        <f aca="false">1+IF($G$9=$E$9,$F$9,IF(S376&lt;($F$9-$E$9)/($G$9-$E$9),$E$9+SQRT(S376*($G$9-$E$9)*($F$9-$E$9)),$G$9-SQRT((1-S376)*($G$9-$E$9)*($G$9-$F$9))))</f>
        <v>0.968125953435655</v>
      </c>
      <c r="F376" s="51" t="n">
        <f aca="false">1+IF($G$10=$E$10,$F$10,IF(T376&lt;($F$10-$E$10)/($G$10-$E$10),$E$10+SQRT(T376*($G$10-$E$10)*($F$10-$E$10)),$G$10-SQRT((1-T376)*($G$10-$E$10)*($G$10-$F$10))))</f>
        <v>1.0542062402376</v>
      </c>
      <c r="G376" s="52" t="n">
        <f aca="false">IF($G$11=$E$11,$F$11,IF(U376&lt;($F$11-$E$11)/($G$11-$E$11),$E$11+SQRT(U376*($G$11-$E$11)*($F$11-$E$11)),$G$11-SQRT((1-U376)*($G$11-$E$11)*($G$11-$F$11))))</f>
        <v>0.112038102339037</v>
      </c>
      <c r="H376" s="53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-2108412480.47519</v>
      </c>
      <c r="I376" s="53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-59703902.4473406</v>
      </c>
      <c r="J376" s="53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172957659.097111</v>
      </c>
      <c r="K376" s="53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458329532.653442</v>
      </c>
      <c r="L376" s="53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568734939.427915</v>
      </c>
      <c r="M376" s="53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749418480.522683</v>
      </c>
      <c r="N376" s="53" t="n">
        <f aca="false">IF(COUNT('Business Case'!B11:G11)=0,"",H376+NPV(G376,I376:M376))</f>
        <v>-876364519.602713</v>
      </c>
      <c r="P376" s="54" t="n">
        <f aca="true">RAND()</f>
        <v>0.0792207523813416</v>
      </c>
      <c r="Q376" s="54" t="n">
        <f aca="true">RAND()</f>
        <v>0.738816544926037</v>
      </c>
      <c r="R376" s="54" t="n">
        <f aca="true">RAND()</f>
        <v>0.822232847634149</v>
      </c>
      <c r="S376" s="54" t="n">
        <f aca="true">RAND()</f>
        <v>0.185645821260679</v>
      </c>
      <c r="T376" s="54" t="n">
        <f aca="true">RAND()</f>
        <v>0.488864048508026</v>
      </c>
      <c r="U376" s="54" t="n">
        <f aca="true">RAND()</f>
        <v>0.784913488278071</v>
      </c>
    </row>
    <row r="377" customFormat="false" ht="15" hidden="false" customHeight="false" outlineLevel="0" collapsed="false">
      <c r="A377" s="50" t="n">
        <v>297</v>
      </c>
      <c r="B377" s="51" t="n">
        <f aca="false">1+IF($G$6=$E$6,$F$6,IF(P377&lt;($F$6-$E$6)/($G$6-$E$6),$E$6+SQRT(P377*($G$6-$E$6)*($F$6-$E$6)),$G$6-SQRT((1-P377)*($G$6-$E$6)*($G$6-$F$6))))</f>
        <v>0.966450716115135</v>
      </c>
      <c r="C377" s="51" t="n">
        <f aca="false">1+IF($G$7=$E$7,$F$7,IF(Q377&lt;($F$7-$E$7)/($G$7-$E$7),$E$7+SQRT(Q377*($G$7-$E$7)*($F$7-$E$7)),$G$7-SQRT((1-Q377)*($G$7-$E$7)*($G$7-$F$7))))</f>
        <v>0.851033042452252</v>
      </c>
      <c r="D377" s="51" t="n">
        <f aca="false">1+IF($G$8=$E$8,$F$8,IF(R377&lt;($F$8-$E$8)/($G$8-$E$8),$E$8+SQRT(R377*($G$8-$E$8)*($F$8-$E$8)),$G$8-SQRT((1-R377)*($G$8-$E$8)*($G$8-$F$8))))</f>
        <v>1.01688483931082</v>
      </c>
      <c r="E377" s="51" t="n">
        <f aca="false">1+IF($G$9=$E$9,$F$9,IF(S377&lt;($F$9-$E$9)/($G$9-$E$9),$E$9+SQRT(S377*($G$9-$E$9)*($F$9-$E$9)),$G$9-SQRT((1-S377)*($G$9-$E$9)*($G$9-$F$9))))</f>
        <v>1.01859209657656</v>
      </c>
      <c r="F377" s="51" t="n">
        <f aca="false">1+IF($G$10=$E$10,$F$10,IF(T377&lt;($F$10-$E$10)/($G$10-$E$10),$E$10+SQRT(T377*($G$10-$E$10)*($F$10-$E$10)),$G$10-SQRT((1-T377)*($G$10-$E$10)*($G$10-$F$10))))</f>
        <v>1.08439657841888</v>
      </c>
      <c r="G377" s="52" t="n">
        <f aca="false">IF($G$11=$E$11,$F$11,IF(U377&lt;($F$11-$E$11)/($G$11-$E$11),$E$11+SQRT(U377*($G$11-$E$11)*($F$11-$E$11)),$G$11-SQRT((1-U377)*($G$11-$E$11)*($G$11-$F$11))))</f>
        <v>0.105085934903885</v>
      </c>
      <c r="H377" s="53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-2168793156.83775</v>
      </c>
      <c r="I377" s="53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-65266231.1822509</v>
      </c>
      <c r="J377" s="53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165388432.224054</v>
      </c>
      <c r="K377" s="53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450262924.551303</v>
      </c>
      <c r="L377" s="53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555572772.762392</v>
      </c>
      <c r="M377" s="53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711910055.011825</v>
      </c>
      <c r="N377" s="53" t="n">
        <f aca="false">IF(COUNT('Business Case'!B11:G11)=0,"",H377+NPV(G377,I377:M377))</f>
        <v>-954296197.642804</v>
      </c>
      <c r="P377" s="54" t="n">
        <f aca="true">RAND()</f>
        <v>0.294379844814281</v>
      </c>
      <c r="Q377" s="54" t="n">
        <f aca="true">RAND()</f>
        <v>0.168970221573213</v>
      </c>
      <c r="R377" s="54" t="n">
        <f aca="true">RAND()</f>
        <v>0.539458004240825</v>
      </c>
      <c r="S377" s="54" t="n">
        <f aca="true">RAND()</f>
        <v>0.539519011142794</v>
      </c>
      <c r="T377" s="54" t="n">
        <f aca="true">RAND()</f>
        <v>0.634340090141664</v>
      </c>
      <c r="U377" s="54" t="n">
        <f aca="true">RAND()</f>
        <v>0.586192906924361</v>
      </c>
    </row>
    <row r="378" customFormat="false" ht="15" hidden="false" customHeight="false" outlineLevel="0" collapsed="false">
      <c r="A378" s="50" t="n">
        <v>298</v>
      </c>
      <c r="B378" s="51" t="n">
        <f aca="false">1+IF($G$6=$E$6,$F$6,IF(P378&lt;($F$6-$E$6)/($G$6-$E$6),$E$6+SQRT(P378*($G$6-$E$6)*($F$6-$E$6)),$G$6-SQRT((1-P378)*($G$6-$E$6)*($G$6-$F$6))))</f>
        <v>1.01079770977416</v>
      </c>
      <c r="C378" s="51" t="n">
        <f aca="false">1+IF($G$7=$E$7,$F$7,IF(Q378&lt;($F$7-$E$7)/($G$7-$E$7),$E$7+SQRT(Q378*($G$7-$E$7)*($F$7-$E$7)),$G$7-SQRT((1-Q378)*($G$7-$E$7)*($G$7-$F$7))))</f>
        <v>0.880530502945624</v>
      </c>
      <c r="D378" s="51" t="n">
        <f aca="false">1+IF($G$8=$E$8,$F$8,IF(R378&lt;($F$8-$E$8)/($G$8-$E$8),$E$8+SQRT(R378*($G$8-$E$8)*($F$8-$E$8)),$G$8-SQRT((1-R378)*($G$8-$E$8)*($G$8-$F$8))))</f>
        <v>1.03615324135126</v>
      </c>
      <c r="E378" s="51" t="n">
        <f aca="false">1+IF($G$9=$E$9,$F$9,IF(S378&lt;($F$9-$E$9)/($G$9-$E$9),$E$9+SQRT(S378*($G$9-$E$9)*($F$9-$E$9)),$G$9-SQRT((1-S378)*($G$9-$E$9)*($G$9-$F$9))))</f>
        <v>1.09846865657328</v>
      </c>
      <c r="F378" s="51" t="n">
        <f aca="false">1+IF($G$10=$E$10,$F$10,IF(T378&lt;($F$10-$E$10)/($G$10-$E$10),$E$10+SQRT(T378*($G$10-$E$10)*($F$10-$E$10)),$G$10-SQRT((1-T378)*($G$10-$E$10)*($G$10-$F$10))))</f>
        <v>1.00582454784997</v>
      </c>
      <c r="G378" s="52" t="n">
        <f aca="false">IF($G$11=$E$11,$F$11,IF(U378&lt;($F$11-$E$11)/($G$11-$E$11),$E$11+SQRT(U378*($G$11-$E$11)*($F$11-$E$11)),$G$11-SQRT((1-U378)*($G$11-$E$11)*($G$11-$F$11))))</f>
        <v>0.100426551914665</v>
      </c>
      <c r="H378" s="53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-2011649095.69995</v>
      </c>
      <c r="I378" s="53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-40976550.0148144</v>
      </c>
      <c r="J378" s="53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220971178.82528</v>
      </c>
      <c r="K378" s="53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533210135.057874</v>
      </c>
      <c r="L378" s="53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651285765.408033</v>
      </c>
      <c r="M378" s="53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820464229.460402</v>
      </c>
      <c r="N378" s="53" t="n">
        <f aca="false">IF(COUNT('Business Case'!B11:G11)=0,"",H378+NPV(G378,I378:M378))</f>
        <v>-513659054.772693</v>
      </c>
      <c r="P378" s="54" t="n">
        <f aca="true">RAND()</f>
        <v>0.795090725473202</v>
      </c>
      <c r="Q378" s="54" t="n">
        <f aca="true">RAND()</f>
        <v>0.241416759213334</v>
      </c>
      <c r="R378" s="54" t="n">
        <f aca="true">RAND()</f>
        <v>0.728239427336635</v>
      </c>
      <c r="S378" s="54" t="n">
        <f aca="true">RAND()</f>
        <v>0.929187217190325</v>
      </c>
      <c r="T378" s="54" t="n">
        <f aca="true">RAND()</f>
        <v>0.205044647564407</v>
      </c>
      <c r="U378" s="54" t="n">
        <f aca="true">RAND()</f>
        <v>0.416940778895981</v>
      </c>
    </row>
    <row r="379" customFormat="false" ht="15" hidden="false" customHeight="false" outlineLevel="0" collapsed="false">
      <c r="A379" s="50" t="n">
        <v>299</v>
      </c>
      <c r="B379" s="51" t="n">
        <f aca="false">1+IF($G$6=$E$6,$F$6,IF(P379&lt;($F$6-$E$6)/($G$6-$E$6),$E$6+SQRT(P379*($G$6-$E$6)*($F$6-$E$6)),$G$6-SQRT((1-P379)*($G$6-$E$6)*($G$6-$F$6))))</f>
        <v>0.977443275658913</v>
      </c>
      <c r="C379" s="51" t="n">
        <f aca="false">1+IF($G$7=$E$7,$F$7,IF(Q379&lt;($F$7-$E$7)/($G$7-$E$7),$E$7+SQRT(Q379*($G$7-$E$7)*($F$7-$E$7)),$G$7-SQRT((1-Q379)*($G$7-$E$7)*($G$7-$F$7))))</f>
        <v>0.927249183127566</v>
      </c>
      <c r="D379" s="51" t="n">
        <f aca="false">1+IF($G$8=$E$8,$F$8,IF(R379&lt;($F$8-$E$8)/($G$8-$E$8),$E$8+SQRT(R379*($G$8-$E$8)*($F$8-$E$8)),$G$8-SQRT((1-R379)*($G$8-$E$8)*($G$8-$F$8))))</f>
        <v>1.02512358982036</v>
      </c>
      <c r="E379" s="51" t="n">
        <f aca="false">1+IF($G$9=$E$9,$F$9,IF(S379&lt;($F$9-$E$9)/($G$9-$E$9),$E$9+SQRT(S379*($G$9-$E$9)*($F$9-$E$9)),$G$9-SQRT((1-S379)*($G$9-$E$9)*($G$9-$F$9))))</f>
        <v>1.12978926240227</v>
      </c>
      <c r="F379" s="51" t="n">
        <f aca="false">1+IF($G$10=$E$10,$F$10,IF(T379&lt;($F$10-$E$10)/($G$10-$E$10),$E$10+SQRT(T379*($G$10-$E$10)*($F$10-$E$10)),$G$10-SQRT((1-T379)*($G$10-$E$10)*($G$10-$F$10))))</f>
        <v>0.989686308806123</v>
      </c>
      <c r="G379" s="52" t="n">
        <f aca="false">IF($G$11=$E$11,$F$11,IF(U379&lt;($F$11-$E$11)/($G$11-$E$11),$E$11+SQRT(U379*($G$11-$E$11)*($F$11-$E$11)),$G$11-SQRT((1-U379)*($G$11-$E$11)*($G$11-$F$11))))</f>
        <v>0.0945864406964753</v>
      </c>
      <c r="H379" s="53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-1979372617.61225</v>
      </c>
      <c r="I379" s="53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-50859618.4716226</v>
      </c>
      <c r="J379" s="53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204889754.597574</v>
      </c>
      <c r="K379" s="53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510123443.107076</v>
      </c>
      <c r="L379" s="53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626696119.161211</v>
      </c>
      <c r="M379" s="53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798971986.832093</v>
      </c>
      <c r="N379" s="53" t="n">
        <f aca="false">IF(COUNT('Business Case'!B11:G11)=0,"",H379+NPV(G379,I379:M379))</f>
        <v>-520788319.210059</v>
      </c>
      <c r="P379" s="54" t="n">
        <f aca="true">RAND()</f>
        <v>0.399830729652156</v>
      </c>
      <c r="Q379" s="54" t="n">
        <f aca="true">RAND()</f>
        <v>0.382534749867749</v>
      </c>
      <c r="R379" s="54" t="n">
        <f aca="true">RAND()</f>
        <v>0.626234879907326</v>
      </c>
      <c r="S379" s="54" t="n">
        <f aca="true">RAND()</f>
        <v>0.989107362286815</v>
      </c>
      <c r="T379" s="54" t="n">
        <f aca="true">RAND()</f>
        <v>0.10500020711033</v>
      </c>
      <c r="U379" s="54" t="n">
        <f aca="true">RAND()</f>
        <v>0.212764252191792</v>
      </c>
    </row>
    <row r="380" customFormat="false" ht="15" hidden="false" customHeight="false" outlineLevel="0" collapsed="false">
      <c r="A380" s="50" t="n">
        <v>300</v>
      </c>
      <c r="B380" s="51" t="n">
        <f aca="false">1+IF($G$6=$E$6,$F$6,IF(P380&lt;($F$6-$E$6)/($G$6-$E$6),$E$6+SQRT(P380*($G$6-$E$6)*($F$6-$E$6)),$G$6-SQRT((1-P380)*($G$6-$E$6)*($G$6-$F$6))))</f>
        <v>0.995901195216648</v>
      </c>
      <c r="C380" s="51" t="n">
        <f aca="false">1+IF($G$7=$E$7,$F$7,IF(Q380&lt;($F$7-$E$7)/($G$7-$E$7),$E$7+SQRT(Q380*($G$7-$E$7)*($F$7-$E$7)),$G$7-SQRT((1-Q380)*($G$7-$E$7)*($G$7-$F$7))))</f>
        <v>1.08606551905224</v>
      </c>
      <c r="D380" s="51" t="n">
        <f aca="false">1+IF($G$8=$E$8,$F$8,IF(R380&lt;($F$8-$E$8)/($G$8-$E$8),$E$8+SQRT(R380*($G$8-$E$8)*($F$8-$E$8)),$G$8-SQRT((1-R380)*($G$8-$E$8)*($G$8-$F$8))))</f>
        <v>0.984418283459977</v>
      </c>
      <c r="E380" s="51" t="n">
        <f aca="false">1+IF($G$9=$E$9,$F$9,IF(S380&lt;($F$9-$E$9)/($G$9-$E$9),$E$9+SQRT(S380*($G$9-$E$9)*($F$9-$E$9)),$G$9-SQRT((1-S380)*($G$9-$E$9)*($G$9-$F$9))))</f>
        <v>0.943838931011291</v>
      </c>
      <c r="F380" s="51" t="n">
        <f aca="false">1+IF($G$10=$E$10,$F$10,IF(T380&lt;($F$10-$E$10)/($G$10-$E$10),$E$10+SQRT(T380*($G$10-$E$10)*($F$10-$E$10)),$G$10-SQRT((1-T380)*($G$10-$E$10)*($G$10-$F$10))))</f>
        <v>1.18420688868929</v>
      </c>
      <c r="G380" s="52" t="n">
        <f aca="false">IF($G$11=$E$11,$F$11,IF(U380&lt;($F$11-$E$11)/($G$11-$E$11),$E$11+SQRT(U380*($G$11-$E$11)*($F$11-$E$11)),$G$11-SQRT((1-U380)*($G$11-$E$11)*($G$11-$F$11))))</f>
        <v>0.124188082351974</v>
      </c>
      <c r="H380" s="53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-2368413777.37858</v>
      </c>
      <c r="I380" s="53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29898689.4599333</v>
      </c>
      <c r="J380" s="53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368502830.869241</v>
      </c>
      <c r="K380" s="53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766317316.713014</v>
      </c>
      <c r="L380" s="53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916565941.909877</v>
      </c>
      <c r="M380" s="53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1122159121.24222</v>
      </c>
      <c r="N380" s="53" t="n">
        <f aca="false">IF(COUNT('Business Case'!B11:G11)=0,"",H380+NPV(G380,I380:M380))</f>
        <v>-312025396.911879</v>
      </c>
      <c r="P380" s="54" t="n">
        <f aca="true">RAND()</f>
        <v>0.613135949598778</v>
      </c>
      <c r="Q380" s="54" t="n">
        <f aca="true">RAND()</f>
        <v>0.939442698458382</v>
      </c>
      <c r="R380" s="54" t="n">
        <f aca="true">RAND()</f>
        <v>0.15794909817751</v>
      </c>
      <c r="S380" s="54" t="n">
        <f aca="true">RAND()</f>
        <v>0.0768740748885089</v>
      </c>
      <c r="T380" s="54" t="n">
        <f aca="true">RAND()</f>
        <v>0.942283553387423</v>
      </c>
      <c r="U380" s="54" t="n">
        <f aca="true">RAND()</f>
        <v>0.977481075501708</v>
      </c>
    </row>
    <row r="381" customFormat="false" ht="15" hidden="false" customHeight="false" outlineLevel="0" collapsed="false">
      <c r="A381" s="50" t="n">
        <v>301</v>
      </c>
      <c r="B381" s="51" t="n">
        <f aca="false">1+IF($G$6=$E$6,$F$6,IF(P381&lt;($F$6-$E$6)/($G$6-$E$6),$E$6+SQRT(P381*($G$6-$E$6)*($F$6-$E$6)),$G$6-SQRT((1-P381)*($G$6-$E$6)*($G$6-$F$6))))</f>
        <v>0.974988178096527</v>
      </c>
      <c r="C381" s="51" t="n">
        <f aca="false">1+IF($G$7=$E$7,$F$7,IF(Q381&lt;($F$7-$E$7)/($G$7-$E$7),$E$7+SQRT(Q381*($G$7-$E$7)*($F$7-$E$7)),$G$7-SQRT((1-Q381)*($G$7-$E$7)*($G$7-$F$7))))</f>
        <v>0.991446264441697</v>
      </c>
      <c r="D381" s="51" t="n">
        <f aca="false">1+IF($G$8=$E$8,$F$8,IF(R381&lt;($F$8-$E$8)/($G$8-$E$8),$E$8+SQRT(R381*($G$8-$E$8)*($F$8-$E$8)),$G$8-SQRT((1-R381)*($G$8-$E$8)*($G$8-$F$8))))</f>
        <v>0.991270776419129</v>
      </c>
      <c r="E381" s="51" t="n">
        <f aca="false">1+IF($G$9=$E$9,$F$9,IF(S381&lt;($F$9-$E$9)/($G$9-$E$9),$E$9+SQRT(S381*($G$9-$E$9)*($F$9-$E$9)),$G$9-SQRT((1-S381)*($G$9-$E$9)*($G$9-$F$9))))</f>
        <v>1.10137448957743</v>
      </c>
      <c r="F381" s="51" t="n">
        <f aca="false">1+IF($G$10=$E$10,$F$10,IF(T381&lt;($F$10-$E$10)/($G$10-$E$10),$E$10+SQRT(T381*($G$10-$E$10)*($F$10-$E$10)),$G$10-SQRT((1-T381)*($G$10-$E$10)*($G$10-$F$10))))</f>
        <v>0.996947215826783</v>
      </c>
      <c r="G381" s="52" t="n">
        <f aca="false">IF($G$11=$E$11,$F$11,IF(U381&lt;($F$11-$E$11)/($G$11-$E$11),$E$11+SQRT(U381*($G$11-$E$11)*($F$11-$E$11)),$G$11-SQRT((1-U381)*($G$11-$E$11)*($G$11-$F$11))))</f>
        <v>0.0960599570633488</v>
      </c>
      <c r="H381" s="53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-1993894431.65357</v>
      </c>
      <c r="I381" s="53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-17777330.0372924</v>
      </c>
      <c r="J381" s="53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270866566.310605</v>
      </c>
      <c r="K381" s="53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609357823.449841</v>
      </c>
      <c r="L381" s="53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738979823.822207</v>
      </c>
      <c r="M381" s="53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922720349.232408</v>
      </c>
      <c r="N381" s="53" t="n">
        <f aca="false">IF(COUNT('Business Case'!B11:G11)=0,"",H381+NPV(G381,I381:M381))</f>
        <v>-226531499.510651</v>
      </c>
      <c r="P381" s="54" t="n">
        <f aca="true">RAND()</f>
        <v>0.374881790282426</v>
      </c>
      <c r="Q381" s="54" t="n">
        <f aca="true">RAND()</f>
        <v>0.629192037459404</v>
      </c>
      <c r="R381" s="54" t="n">
        <f aca="true">RAND()</f>
        <v>0.227103598165029</v>
      </c>
      <c r="S381" s="54" t="n">
        <f aca="true">RAND()</f>
        <v>0.936948259630526</v>
      </c>
      <c r="T381" s="54" t="n">
        <f aca="true">RAND()</f>
        <v>0.146936071592433</v>
      </c>
      <c r="U381" s="54" t="n">
        <f aca="true">RAND()</f>
        <v>0.257922220876606</v>
      </c>
    </row>
    <row r="382" customFormat="false" ht="15" hidden="false" customHeight="false" outlineLevel="0" collapsed="false">
      <c r="A382" s="50" t="n">
        <v>302</v>
      </c>
      <c r="B382" s="51" t="n">
        <f aca="false">1+IF($G$6=$E$6,$F$6,IF(P382&lt;($F$6-$E$6)/($G$6-$E$6),$E$6+SQRT(P382*($G$6-$E$6)*($F$6-$E$6)),$G$6-SQRT((1-P382)*($G$6-$E$6)*($G$6-$F$6))))</f>
        <v>0.921063117130748</v>
      </c>
      <c r="C382" s="51" t="n">
        <f aca="false">1+IF($G$7=$E$7,$F$7,IF(Q382&lt;($F$7-$E$7)/($G$7-$E$7),$E$7+SQRT(Q382*($G$7-$E$7)*($F$7-$E$7)),$G$7-SQRT((1-Q382)*($G$7-$E$7)*($G$7-$F$7))))</f>
        <v>0.964167500151636</v>
      </c>
      <c r="D382" s="51" t="n">
        <f aca="false">1+IF($G$8=$E$8,$F$8,IF(R382&lt;($F$8-$E$8)/($G$8-$E$8),$E$8+SQRT(R382*($G$8-$E$8)*($F$8-$E$8)),$G$8-SQRT((1-R382)*($G$8-$E$8)*($G$8-$F$8))))</f>
        <v>1.02521370350302</v>
      </c>
      <c r="E382" s="51" t="n">
        <f aca="false">1+IF($G$9=$E$9,$F$9,IF(S382&lt;($F$9-$E$9)/($G$9-$E$9),$E$9+SQRT(S382*($G$9-$E$9)*($F$9-$E$9)),$G$9-SQRT((1-S382)*($G$9-$E$9)*($G$9-$F$9))))</f>
        <v>0.922237903095503</v>
      </c>
      <c r="F382" s="51" t="n">
        <f aca="false">1+IF($G$10=$E$10,$F$10,IF(T382&lt;($F$10-$E$10)/($G$10-$E$10),$E$10+SQRT(T382*($G$10-$E$10)*($F$10-$E$10)),$G$10-SQRT((1-T382)*($G$10-$E$10)*($G$10-$F$10))))</f>
        <v>1.19241632874806</v>
      </c>
      <c r="G382" s="52" t="n">
        <f aca="false">IF($G$11=$E$11,$F$11,IF(U382&lt;($F$11-$E$11)/($G$11-$E$11),$E$11+SQRT(U382*($G$11-$E$11)*($F$11-$E$11)),$G$11-SQRT((1-U382)*($G$11-$E$11)*($G$11-$F$11))))</f>
        <v>0.101574652432107</v>
      </c>
      <c r="H382" s="53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-2384832657.49611</v>
      </c>
      <c r="I382" s="53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-75058006.9396062</v>
      </c>
      <c r="J382" s="53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146304833.758617</v>
      </c>
      <c r="K382" s="53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427288490.894242</v>
      </c>
      <c r="L382" s="53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531767427.755545</v>
      </c>
      <c r="M382" s="53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700569705.879302</v>
      </c>
      <c r="N382" s="53" t="n">
        <f aca="false">IF(COUNT('Business Case'!B11:G11)=0,"",H382+NPV(G382,I382:M382))</f>
        <v>-1219718064.38028</v>
      </c>
      <c r="P382" s="54" t="n">
        <f aca="true">RAND()</f>
        <v>0.0295769935509086</v>
      </c>
      <c r="Q382" s="54" t="n">
        <f aca="true">RAND()</f>
        <v>0.516921986195292</v>
      </c>
      <c r="R382" s="54" t="n">
        <f aca="true">RAND()</f>
        <v>0.627133990417694</v>
      </c>
      <c r="S382" s="54" t="n">
        <f aca="true">RAND()</f>
        <v>0.0197809733633993</v>
      </c>
      <c r="T382" s="54" t="n">
        <f aca="true">RAND()</f>
        <v>0.955788277401975</v>
      </c>
      <c r="U382" s="54" t="n">
        <f aca="true">RAND()</f>
        <v>0.461333077096325</v>
      </c>
    </row>
    <row r="383" customFormat="false" ht="15" hidden="false" customHeight="false" outlineLevel="0" collapsed="false">
      <c r="A383" s="50" t="n">
        <v>303</v>
      </c>
      <c r="B383" s="51" t="n">
        <f aca="false">1+IF($G$6=$E$6,$F$6,IF(P383&lt;($F$6-$E$6)/($G$6-$E$6),$E$6+SQRT(P383*($G$6-$E$6)*($F$6-$E$6)),$G$6-SQRT((1-P383)*($G$6-$E$6)*($G$6-$F$6))))</f>
        <v>0.964013029755436</v>
      </c>
      <c r="C383" s="51" t="n">
        <f aca="false">1+IF($G$7=$E$7,$F$7,IF(Q383&lt;($F$7-$E$7)/($G$7-$E$7),$E$7+SQRT(Q383*($G$7-$E$7)*($F$7-$E$7)),$G$7-SQRT((1-Q383)*($G$7-$E$7)*($G$7-$F$7))))</f>
        <v>0.868708954037324</v>
      </c>
      <c r="D383" s="51" t="n">
        <f aca="false">1+IF($G$8=$E$8,$F$8,IF(R383&lt;($F$8-$E$8)/($G$8-$E$8),$E$8+SQRT(R383*($G$8-$E$8)*($F$8-$E$8)),$G$8-SQRT((1-R383)*($G$8-$E$8)*($G$8-$F$8))))</f>
        <v>1.04183033226163</v>
      </c>
      <c r="E383" s="51" t="n">
        <f aca="false">1+IF($G$9=$E$9,$F$9,IF(S383&lt;($F$9-$E$9)/($G$9-$E$9),$E$9+SQRT(S383*($G$9-$E$9)*($F$9-$E$9)),$G$9-SQRT((1-S383)*($G$9-$E$9)*($G$9-$F$9))))</f>
        <v>0.998695466585911</v>
      </c>
      <c r="F383" s="51" t="n">
        <f aca="false">1+IF($G$10=$E$10,$F$10,IF(T383&lt;($F$10-$E$10)/($G$10-$E$10),$E$10+SQRT(T383*($G$10-$E$10)*($F$10-$E$10)),$G$10-SQRT((1-T383)*($G$10-$E$10)*($G$10-$F$10))))</f>
        <v>1.03603974162316</v>
      </c>
      <c r="G383" s="52" t="n">
        <f aca="false">IF($G$11=$E$11,$F$11,IF(U383&lt;($F$11-$E$11)/($G$11-$E$11),$E$11+SQRT(U383*($G$11-$E$11)*($F$11-$E$11)),$G$11-SQRT((1-U383)*($G$11-$E$11)*($G$11-$F$11))))</f>
        <v>0.1089254584597</v>
      </c>
      <c r="H383" s="53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-2072079483.24633</v>
      </c>
      <c r="I383" s="53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-66414357.4171913</v>
      </c>
      <c r="J383" s="53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156202994.235703</v>
      </c>
      <c r="K383" s="53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430622332.969756</v>
      </c>
      <c r="L383" s="53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533770276.560223</v>
      </c>
      <c r="M383" s="53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692952154.944151</v>
      </c>
      <c r="N383" s="53" t="n">
        <f aca="false">IF(COUNT('Business Case'!B11:G11)=0,"",H383+NPV(G383,I383:M383))</f>
        <v>-922957523.750377</v>
      </c>
      <c r="P383" s="54" t="n">
        <f aca="true">RAND()</f>
        <v>0.273177865231353</v>
      </c>
      <c r="Q383" s="54" t="n">
        <f aca="true">RAND()</f>
        <v>0.210834897573096</v>
      </c>
      <c r="R383" s="54" t="n">
        <f aca="true">RAND()</f>
        <v>0.774419317013878</v>
      </c>
      <c r="S383" s="54" t="n">
        <f aca="true">RAND()</f>
        <v>0.389631804984429</v>
      </c>
      <c r="T383" s="54" t="n">
        <f aca="true">RAND()</f>
        <v>0.389613437804232</v>
      </c>
      <c r="U383" s="54" t="n">
        <f aca="true">RAND()</f>
        <v>0.703909132577447</v>
      </c>
    </row>
    <row r="384" customFormat="false" ht="15" hidden="false" customHeight="false" outlineLevel="0" collapsed="false">
      <c r="A384" s="50" t="n">
        <v>304</v>
      </c>
      <c r="B384" s="51" t="n">
        <f aca="false">1+IF($G$6=$E$6,$F$6,IF(P384&lt;($F$6-$E$6)/($G$6-$E$6),$E$6+SQRT(P384*($G$6-$E$6)*($F$6-$E$6)),$G$6-SQRT((1-P384)*($G$6-$E$6)*($G$6-$F$6))))</f>
        <v>0.974272411958012</v>
      </c>
      <c r="C384" s="51" t="n">
        <f aca="false">1+IF($G$7=$E$7,$F$7,IF(Q384&lt;($F$7-$E$7)/($G$7-$E$7),$E$7+SQRT(Q384*($G$7-$E$7)*($F$7-$E$7)),$G$7-SQRT((1-Q384)*($G$7-$E$7)*($G$7-$F$7))))</f>
        <v>1.03280887115995</v>
      </c>
      <c r="D384" s="51" t="n">
        <f aca="false">1+IF($G$8=$E$8,$F$8,IF(R384&lt;($F$8-$E$8)/($G$8-$E$8),$E$8+SQRT(R384*($G$8-$E$8)*($F$8-$E$8)),$G$8-SQRT((1-R384)*($G$8-$E$8)*($G$8-$F$8))))</f>
        <v>1.01086511747473</v>
      </c>
      <c r="E384" s="51" t="n">
        <f aca="false">1+IF($G$9=$E$9,$F$9,IF(S384&lt;($F$9-$E$9)/($G$9-$E$9),$E$9+SQRT(S384*($G$9-$E$9)*($F$9-$E$9)),$G$9-SQRT((1-S384)*($G$9-$E$9)*($G$9-$F$9))))</f>
        <v>1.11008360105763</v>
      </c>
      <c r="F384" s="51" t="n">
        <f aca="false">1+IF($G$10=$E$10,$F$10,IF(T384&lt;($F$10-$E$10)/($G$10-$E$10),$E$10+SQRT(T384*($G$10-$E$10)*($F$10-$E$10)),$G$10-SQRT((1-T384)*($G$10-$E$10)*($G$10-$F$10))))</f>
        <v>1.12890957009033</v>
      </c>
      <c r="G384" s="52" t="n">
        <f aca="false">IF($G$11=$E$11,$F$11,IF(U384&lt;($F$11-$E$11)/($G$11-$E$11),$E$11+SQRT(U384*($G$11-$E$11)*($F$11-$E$11)),$G$11-SQRT((1-U384)*($G$11-$E$11)*($G$11-$F$11))))</f>
        <v>0.091996120925844</v>
      </c>
      <c r="H384" s="53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-2257819140.18066</v>
      </c>
      <c r="I384" s="53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-33187546.8545675</v>
      </c>
      <c r="J384" s="53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256533087.299719</v>
      </c>
      <c r="K384" s="53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602699199.958522</v>
      </c>
      <c r="L384" s="53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734048301.962901</v>
      </c>
      <c r="M384" s="53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925313867.037462</v>
      </c>
      <c r="N384" s="53" t="n">
        <f aca="false">IF(COUNT('Business Case'!B11:G11)=0,"",H384+NPV(G384,I384:M384))</f>
        <v>-498093340.251645</v>
      </c>
      <c r="P384" s="54" t="n">
        <f aca="true">RAND()</f>
        <v>0.367759411870712</v>
      </c>
      <c r="Q384" s="54" t="n">
        <f aca="true">RAND()</f>
        <v>0.796536878832524</v>
      </c>
      <c r="R384" s="54" t="n">
        <f aca="true">RAND()</f>
        <v>0.470331514480368</v>
      </c>
      <c r="S384" s="54" t="n">
        <f aca="true">RAND()</f>
        <v>0.957511495879297</v>
      </c>
      <c r="T384" s="54" t="n">
        <f aca="true">RAND()</f>
        <v>0.804494770457211</v>
      </c>
      <c r="U384" s="54" t="n">
        <f aca="true">RAND()</f>
        <v>0.143906917267472</v>
      </c>
    </row>
    <row r="385" customFormat="false" ht="15" hidden="false" customHeight="false" outlineLevel="0" collapsed="false">
      <c r="A385" s="50" t="n">
        <v>305</v>
      </c>
      <c r="B385" s="51" t="n">
        <f aca="false">1+IF($G$6=$E$6,$F$6,IF(P385&lt;($F$6-$E$6)/($G$6-$E$6),$E$6+SQRT(P385*($G$6-$E$6)*($F$6-$E$6)),$G$6-SQRT((1-P385)*($G$6-$E$6)*($G$6-$F$6))))</f>
        <v>1.00135997708054</v>
      </c>
      <c r="C385" s="51" t="n">
        <f aca="false">1+IF($G$7=$E$7,$F$7,IF(Q385&lt;($F$7-$E$7)/($G$7-$E$7),$E$7+SQRT(Q385*($G$7-$E$7)*($F$7-$E$7)),$G$7-SQRT((1-Q385)*($G$7-$E$7)*($G$7-$F$7))))</f>
        <v>0.877244864957881</v>
      </c>
      <c r="D385" s="51" t="n">
        <f aca="false">1+IF($G$8=$E$8,$F$8,IF(R385&lt;($F$8-$E$8)/($G$8-$E$8),$E$8+SQRT(R385*($G$8-$E$8)*($F$8-$E$8)),$G$8-SQRT((1-R385)*($G$8-$E$8)*($G$8-$F$8))))</f>
        <v>0.977688524508984</v>
      </c>
      <c r="E385" s="51" t="n">
        <f aca="false">1+IF($G$9=$E$9,$F$9,IF(S385&lt;($F$9-$E$9)/($G$9-$E$9),$E$9+SQRT(S385*($G$9-$E$9)*($F$9-$E$9)),$G$9-SQRT((1-S385)*($G$9-$E$9)*($G$9-$F$9))))</f>
        <v>1.03807852424898</v>
      </c>
      <c r="F385" s="51" t="n">
        <f aca="false">1+IF($G$10=$E$10,$F$10,IF(T385&lt;($F$10-$E$10)/($G$10-$E$10),$E$10+SQRT(T385*($G$10-$E$10)*($F$10-$E$10)),$G$10-SQRT((1-T385)*($G$10-$E$10)*($G$10-$F$10))))</f>
        <v>1.10001032378664</v>
      </c>
      <c r="G385" s="52" t="n">
        <f aca="false">IF($G$11=$E$11,$F$11,IF(U385&lt;($F$11-$E$11)/($G$11-$E$11),$E$11+SQRT(U385*($G$11-$E$11)*($F$11-$E$11)),$G$11-SQRT((1-U385)*($G$11-$E$11)*($G$11-$F$11))))</f>
        <v>0.0976076024005593</v>
      </c>
      <c r="H385" s="53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-2200020647.57327</v>
      </c>
      <c r="I385" s="53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-22709705.16933</v>
      </c>
      <c r="J385" s="53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257734608.813699</v>
      </c>
      <c r="K385" s="53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593179438.986059</v>
      </c>
      <c r="L385" s="53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717019690.730729</v>
      </c>
      <c r="M385" s="53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883993166.357524</v>
      </c>
      <c r="N385" s="53" t="n">
        <f aca="false">IF(COUNT('Business Case'!B11:G11)=0,"",H385+NPV(G385,I385:M385))</f>
        <v>-509276299.545014</v>
      </c>
      <c r="P385" s="54" t="n">
        <f aca="true">RAND()</f>
        <v>0.684553089385901</v>
      </c>
      <c r="Q385" s="54" t="n">
        <f aca="true">RAND()</f>
        <v>0.232709201140277</v>
      </c>
      <c r="R385" s="54" t="n">
        <f aca="true">RAND()</f>
        <v>0.102220585264612</v>
      </c>
      <c r="S385" s="54" t="n">
        <f aca="true">RAND()</f>
        <v>0.665962220419045</v>
      </c>
      <c r="T385" s="54" t="n">
        <f aca="true">RAND()</f>
        <v>0.700041293725474</v>
      </c>
      <c r="U385" s="54" t="n">
        <f aca="true">RAND()</f>
        <v>0.310027662296181</v>
      </c>
    </row>
    <row r="386" customFormat="false" ht="15" hidden="false" customHeight="false" outlineLevel="0" collapsed="false">
      <c r="A386" s="50" t="n">
        <v>306</v>
      </c>
      <c r="B386" s="51" t="n">
        <f aca="false">1+IF($G$6=$E$6,$F$6,IF(P386&lt;($F$6-$E$6)/($G$6-$E$6),$E$6+SQRT(P386*($G$6-$E$6)*($F$6-$E$6)),$G$6-SQRT((1-P386)*($G$6-$E$6)*($G$6-$F$6))))</f>
        <v>0.943469022110467</v>
      </c>
      <c r="C386" s="51" t="n">
        <f aca="false">1+IF($G$7=$E$7,$F$7,IF(Q386&lt;($F$7-$E$7)/($G$7-$E$7),$E$7+SQRT(Q386*($G$7-$E$7)*($F$7-$E$7)),$G$7-SQRT((1-Q386)*($G$7-$E$7)*($G$7-$F$7))))</f>
        <v>0.821929837332528</v>
      </c>
      <c r="D386" s="51" t="n">
        <f aca="false">1+IF($G$8=$E$8,$F$8,IF(R386&lt;($F$8-$E$8)/($G$8-$E$8),$E$8+SQRT(R386*($G$8-$E$8)*($F$8-$E$8)),$G$8-SQRT((1-R386)*($G$8-$E$8)*($G$8-$F$8))))</f>
        <v>0.99710132741646</v>
      </c>
      <c r="E386" s="51" t="n">
        <f aca="false">1+IF($G$9=$E$9,$F$9,IF(S386&lt;($F$9-$E$9)/($G$9-$E$9),$E$9+SQRT(S386*($G$9-$E$9)*($F$9-$E$9)),$G$9-SQRT((1-S386)*($G$9-$E$9)*($G$9-$F$9))))</f>
        <v>1.11265640634838</v>
      </c>
      <c r="F386" s="51" t="n">
        <f aca="false">1+IF($G$10=$E$10,$F$10,IF(T386&lt;($F$10-$E$10)/($G$10-$E$10),$E$10+SQRT(T386*($G$10-$E$10)*($F$10-$E$10)),$G$10-SQRT((1-T386)*($G$10-$E$10)*($G$10-$F$10))))</f>
        <v>1.04951848755267</v>
      </c>
      <c r="G386" s="52" t="n">
        <f aca="false">IF($G$11=$E$11,$F$11,IF(U386&lt;($F$11-$E$11)/($G$11-$E$11),$E$11+SQRT(U386*($G$11-$E$11)*($F$11-$E$11)),$G$11-SQRT((1-U386)*($G$11-$E$11)*($G$11-$F$11))))</f>
        <v>0.104606947627301</v>
      </c>
      <c r="H386" s="53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-2099036975.10534</v>
      </c>
      <c r="I386" s="53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-87752436.2170405</v>
      </c>
      <c r="J386" s="53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127866840.522866</v>
      </c>
      <c r="K386" s="53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395962041.640407</v>
      </c>
      <c r="L386" s="53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494635216.033003</v>
      </c>
      <c r="M386" s="53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642035667.835785</v>
      </c>
      <c r="N386" s="53" t="n">
        <f aca="false">IF(COUNT('Business Case'!B11:G11)=0,"",H386+NPV(G386,I386:M386))</f>
        <v>-1057247348.20539</v>
      </c>
      <c r="P386" s="54" t="n">
        <f aca="true">RAND()</f>
        <v>0.125970392216016</v>
      </c>
      <c r="Q386" s="54" t="n">
        <f aca="true">RAND()</f>
        <v>0.110125075792123</v>
      </c>
      <c r="R386" s="54" t="n">
        <f aca="true">RAND()</f>
        <v>0.295804672585671</v>
      </c>
      <c r="S386" s="54" t="n">
        <f aca="true">RAND()</f>
        <v>0.962812160351545</v>
      </c>
      <c r="T386" s="54" t="n">
        <f aca="true">RAND()</f>
        <v>0.464095508891077</v>
      </c>
      <c r="U386" s="54" t="n">
        <f aca="true">RAND()</f>
        <v>0.57012859413157</v>
      </c>
    </row>
    <row r="387" customFormat="false" ht="15" hidden="false" customHeight="false" outlineLevel="0" collapsed="false">
      <c r="A387" s="50" t="n">
        <v>307</v>
      </c>
      <c r="B387" s="51" t="n">
        <f aca="false">1+IF($G$6=$E$6,$F$6,IF(P387&lt;($F$6-$E$6)/($G$6-$E$6),$E$6+SQRT(P387*($G$6-$E$6)*($F$6-$E$6)),$G$6-SQRT((1-P387)*($G$6-$E$6)*($G$6-$F$6))))</f>
        <v>0.948375881387558</v>
      </c>
      <c r="C387" s="51" t="n">
        <f aca="false">1+IF($G$7=$E$7,$F$7,IF(Q387&lt;($F$7-$E$7)/($G$7-$E$7),$E$7+SQRT(Q387*($G$7-$E$7)*($F$7-$E$7)),$G$7-SQRT((1-Q387)*($G$7-$E$7)*($G$7-$F$7))))</f>
        <v>0.98772308363152</v>
      </c>
      <c r="D387" s="51" t="n">
        <f aca="false">1+IF($G$8=$E$8,$F$8,IF(R387&lt;($F$8-$E$8)/($G$8-$E$8),$E$8+SQRT(R387*($G$8-$E$8)*($F$8-$E$8)),$G$8-SQRT((1-R387)*($G$8-$E$8)*($G$8-$F$8))))</f>
        <v>1.02178913325204</v>
      </c>
      <c r="E387" s="51" t="n">
        <f aca="false">1+IF($G$9=$E$9,$F$9,IF(S387&lt;($F$9-$E$9)/($G$9-$E$9),$E$9+SQRT(S387*($G$9-$E$9)*($F$9-$E$9)),$G$9-SQRT((1-S387)*($G$9-$E$9)*($G$9-$F$9))))</f>
        <v>0.961629057930212</v>
      </c>
      <c r="F387" s="51" t="n">
        <f aca="false">1+IF($G$10=$E$10,$F$10,IF(T387&lt;($F$10-$E$10)/($G$10-$E$10),$E$10+SQRT(T387*($G$10-$E$10)*($F$10-$E$10)),$G$10-SQRT((1-T387)*($G$10-$E$10)*($G$10-$F$10))))</f>
        <v>1.00899800043261</v>
      </c>
      <c r="G387" s="52" t="n">
        <f aca="false">IF($G$11=$E$11,$F$11,IF(U387&lt;($F$11-$E$11)/($G$11-$E$11),$E$11+SQRT(U387*($G$11-$E$11)*($F$11-$E$11)),$G$11-SQRT((1-U387)*($G$11-$E$11)*($G$11-$F$11))))</f>
        <v>0.0983837481545757</v>
      </c>
      <c r="H387" s="53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-2017996000.86521</v>
      </c>
      <c r="I387" s="53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-35604664.5719888</v>
      </c>
      <c r="J387" s="53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214994348.697264</v>
      </c>
      <c r="K387" s="53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516043261.988147</v>
      </c>
      <c r="L387" s="53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631949750.251434</v>
      </c>
      <c r="M387" s="53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810003911.372552</v>
      </c>
      <c r="N387" s="53" t="n">
        <f aca="false">IF(COUNT('Business Case'!B11:G11)=0,"",H387+NPV(G387,I387:M387))</f>
        <v>-541945597.166256</v>
      </c>
      <c r="P387" s="54" t="n">
        <f aca="true">RAND()</f>
        <v>0.156015060001541</v>
      </c>
      <c r="Q387" s="54" t="n">
        <f aca="true">RAND()</f>
        <v>0.613219058180969</v>
      </c>
      <c r="R387" s="54" t="n">
        <f aca="true">RAND()</f>
        <v>0.592204021502201</v>
      </c>
      <c r="S387" s="54" t="n">
        <f aca="true">RAND()</f>
        <v>0.151925631254617</v>
      </c>
      <c r="T387" s="54" t="n">
        <f aca="true">RAND()</f>
        <v>0.225573816060235</v>
      </c>
      <c r="U387" s="54" t="n">
        <f aca="true">RAND()</f>
        <v>0.337962196210863</v>
      </c>
    </row>
    <row r="388" customFormat="false" ht="15" hidden="false" customHeight="false" outlineLevel="0" collapsed="false">
      <c r="A388" s="50" t="n">
        <v>308</v>
      </c>
      <c r="B388" s="51" t="n">
        <f aca="false">1+IF($G$6=$E$6,$F$6,IF(P388&lt;($F$6-$E$6)/($G$6-$E$6),$E$6+SQRT(P388*($G$6-$E$6)*($F$6-$E$6)),$G$6-SQRT((1-P388)*($G$6-$E$6)*($G$6-$F$6))))</f>
        <v>0.991616795279425</v>
      </c>
      <c r="C388" s="51" t="n">
        <f aca="false">1+IF($G$7=$E$7,$F$7,IF(Q388&lt;($F$7-$E$7)/($G$7-$E$7),$E$7+SQRT(Q388*($G$7-$E$7)*($F$7-$E$7)),$G$7-SQRT((1-Q388)*($G$7-$E$7)*($G$7-$F$7))))</f>
        <v>0.814807274180825</v>
      </c>
      <c r="D388" s="51" t="n">
        <f aca="false">1+IF($G$8=$E$8,$F$8,IF(R388&lt;($F$8-$E$8)/($G$8-$E$8),$E$8+SQRT(R388*($G$8-$E$8)*($F$8-$E$8)),$G$8-SQRT((1-R388)*($G$8-$E$8)*($G$8-$F$8))))</f>
        <v>0.998881492183177</v>
      </c>
      <c r="E388" s="51" t="n">
        <f aca="false">1+IF($G$9=$E$9,$F$9,IF(S388&lt;($F$9-$E$9)/($G$9-$E$9),$E$9+SQRT(S388*($G$9-$E$9)*($F$9-$E$9)),$G$9-SQRT((1-S388)*($G$9-$E$9)*($G$9-$F$9))))</f>
        <v>0.974903178321704</v>
      </c>
      <c r="F388" s="51" t="n">
        <f aca="false">1+IF($G$10=$E$10,$F$10,IF(T388&lt;($F$10-$E$10)/($G$10-$E$10),$E$10+SQRT(T388*($G$10-$E$10)*($F$10-$E$10)),$G$10-SQRT((1-T388)*($G$10-$E$10)*($G$10-$F$10))))</f>
        <v>1.14522194112411</v>
      </c>
      <c r="G388" s="52" t="n">
        <f aca="false">IF($G$11=$E$11,$F$11,IF(U388&lt;($F$11-$E$11)/($G$11-$E$11),$E$11+SQRT(U388*($G$11-$E$11)*($F$11-$E$11)),$G$11-SQRT((1-U388)*($G$11-$E$11)*($G$11-$F$11))))</f>
        <v>0.110514168658283</v>
      </c>
      <c r="H388" s="53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-2290443882.24821</v>
      </c>
      <c r="I388" s="53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-49897532.3183672</v>
      </c>
      <c r="J388" s="53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195243867.236208</v>
      </c>
      <c r="K388" s="53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497646363.846989</v>
      </c>
      <c r="L388" s="53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607283834.233972</v>
      </c>
      <c r="M388" s="53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760864022.178986</v>
      </c>
      <c r="N388" s="53" t="n">
        <f aca="false">IF(COUNT('Business Case'!B11:G11)=0,"",H388+NPV(G388,I388:M388))</f>
        <v>-963900916.170955</v>
      </c>
      <c r="P388" s="54" t="n">
        <f aca="true">RAND()</f>
        <v>0.559575811818132</v>
      </c>
      <c r="Q388" s="54" t="n">
        <f aca="true">RAND()</f>
        <v>0.0976348904061569</v>
      </c>
      <c r="R388" s="54" t="n">
        <f aca="true">RAND()</f>
        <v>0.318586703740528</v>
      </c>
      <c r="S388" s="54" t="n">
        <f aca="true">RAND()</f>
        <v>0.224419444907722</v>
      </c>
      <c r="T388" s="54" t="n">
        <f aca="true">RAND()</f>
        <v>0.853620778375995</v>
      </c>
      <c r="U388" s="54" t="n">
        <f aca="true">RAND()</f>
        <v>0.746868251281445</v>
      </c>
    </row>
    <row r="389" customFormat="false" ht="15" hidden="false" customHeight="false" outlineLevel="0" collapsed="false">
      <c r="A389" s="50" t="n">
        <v>309</v>
      </c>
      <c r="B389" s="51" t="n">
        <f aca="false">1+IF($G$6=$E$6,$F$6,IF(P389&lt;($F$6-$E$6)/($G$6-$E$6),$E$6+SQRT(P389*($G$6-$E$6)*($F$6-$E$6)),$G$6-SQRT((1-P389)*($G$6-$E$6)*($G$6-$F$6))))</f>
        <v>0.945916251224821</v>
      </c>
      <c r="C389" s="51" t="n">
        <f aca="false">1+IF($G$7=$E$7,$F$7,IF(Q389&lt;($F$7-$E$7)/($G$7-$E$7),$E$7+SQRT(Q389*($G$7-$E$7)*($F$7-$E$7)),$G$7-SQRT((1-Q389)*($G$7-$E$7)*($G$7-$F$7))))</f>
        <v>0.801940576916034</v>
      </c>
      <c r="D389" s="51" t="n">
        <f aca="false">1+IF($G$8=$E$8,$F$8,IF(R389&lt;($F$8-$E$8)/($G$8-$E$8),$E$8+SQRT(R389*($G$8-$E$8)*($F$8-$E$8)),$G$8-SQRT((1-R389)*($G$8-$E$8)*($G$8-$F$8))))</f>
        <v>1.0020304200604</v>
      </c>
      <c r="E389" s="51" t="n">
        <f aca="false">1+IF($G$9=$E$9,$F$9,IF(S389&lt;($F$9-$E$9)/($G$9-$E$9),$E$9+SQRT(S389*($G$9-$E$9)*($F$9-$E$9)),$G$9-SQRT((1-S389)*($G$9-$E$9)*($G$9-$F$9))))</f>
        <v>1.07377822559077</v>
      </c>
      <c r="F389" s="51" t="n">
        <f aca="false">1+IF($G$10=$E$10,$F$10,IF(T389&lt;($F$10-$E$10)/($G$10-$E$10),$E$10+SQRT(T389*($G$10-$E$10)*($F$10-$E$10)),$G$10-SQRT((1-T389)*($G$10-$E$10)*($G$10-$F$10))))</f>
        <v>1.1795125847501</v>
      </c>
      <c r="G389" s="52" t="n">
        <f aca="false">IF($G$11=$E$11,$F$11,IF(U389&lt;($F$11-$E$11)/($G$11-$E$11),$E$11+SQRT(U389*($G$11-$E$11)*($F$11-$E$11)),$G$11-SQRT((1-U389)*($G$11-$E$11)*($G$11-$F$11))))</f>
        <v>0.0896324737112279</v>
      </c>
      <c r="H389" s="53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-2359025169.5002</v>
      </c>
      <c r="I389" s="53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-100007366.760199</v>
      </c>
      <c r="J389" s="53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109951986.11326</v>
      </c>
      <c r="K389" s="53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378886968.224225</v>
      </c>
      <c r="L389" s="53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475089550.835139</v>
      </c>
      <c r="M389" s="53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619278274.927159</v>
      </c>
      <c r="N389" s="53" t="n">
        <f aca="false">IF(COUNT('Business Case'!B11:G11)=0,"",H389+NPV(G389,I389:M389))</f>
        <v>-1325145402.38641</v>
      </c>
      <c r="P389" s="54" t="n">
        <f aca="true">RAND()</f>
        <v>0.140553475102724</v>
      </c>
      <c r="Q389" s="54" t="n">
        <f aca="true">RAND()</f>
        <v>0.0769768979405477</v>
      </c>
      <c r="R389" s="54" t="n">
        <f aca="true">RAND()</f>
        <v>0.360130760430505</v>
      </c>
      <c r="S389" s="54" t="n">
        <f aca="true">RAND()</f>
        <v>0.845073096157542</v>
      </c>
      <c r="T389" s="54" t="n">
        <f aca="true">RAND()</f>
        <v>0.93375365721851</v>
      </c>
      <c r="U389" s="54" t="n">
        <f aca="true">RAND()</f>
        <v>0.0927845497974967</v>
      </c>
    </row>
    <row r="390" customFormat="false" ht="15" hidden="false" customHeight="false" outlineLevel="0" collapsed="false">
      <c r="A390" s="50" t="n">
        <v>310</v>
      </c>
      <c r="B390" s="51" t="n">
        <f aca="false">1+IF($G$6=$E$6,$F$6,IF(P390&lt;($F$6-$E$6)/($G$6-$E$6),$E$6+SQRT(P390*($G$6-$E$6)*($F$6-$E$6)),$G$6-SQRT((1-P390)*($G$6-$E$6)*($G$6-$F$6))))</f>
        <v>1.02221709800421</v>
      </c>
      <c r="C390" s="51" t="n">
        <f aca="false">1+IF($G$7=$E$7,$F$7,IF(Q390&lt;($F$7-$E$7)/($G$7-$E$7),$E$7+SQRT(Q390*($G$7-$E$7)*($F$7-$E$7)),$G$7-SQRT((1-Q390)*($G$7-$E$7)*($G$7-$F$7))))</f>
        <v>0.976603873814689</v>
      </c>
      <c r="D390" s="51" t="n">
        <f aca="false">1+IF($G$8=$E$8,$F$8,IF(R390&lt;($F$8-$E$8)/($G$8-$E$8),$E$8+SQRT(R390*($G$8-$E$8)*($F$8-$E$8)),$G$8-SQRT((1-R390)*($G$8-$E$8)*($G$8-$F$8))))</f>
        <v>1.04406591287423</v>
      </c>
      <c r="E390" s="51" t="n">
        <f aca="false">1+IF($G$9=$E$9,$F$9,IF(S390&lt;($F$9-$E$9)/($G$9-$E$9),$E$9+SQRT(S390*($G$9-$E$9)*($F$9-$E$9)),$G$9-SQRT((1-S390)*($G$9-$E$9)*($G$9-$F$9))))</f>
        <v>1.12095377491266</v>
      </c>
      <c r="F390" s="51" t="n">
        <f aca="false">1+IF($G$10=$E$10,$F$10,IF(T390&lt;($F$10-$E$10)/($G$10-$E$10),$E$10+SQRT(T390*($G$10-$E$10)*($F$10-$E$10)),$G$10-SQRT((1-T390)*($G$10-$E$10)*($G$10-$F$10))))</f>
        <v>1.15564813022951</v>
      </c>
      <c r="G390" s="52" t="n">
        <f aca="false">IF($G$11=$E$11,$F$11,IF(U390&lt;($F$11-$E$11)/($G$11-$E$11),$E$11+SQRT(U390*($G$11-$E$11)*($F$11-$E$11)),$G$11-SQRT((1-U390)*($G$11-$E$11)*($G$11-$F$11))))</f>
        <v>0.109142802477533</v>
      </c>
      <c r="H390" s="53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-2311296260.45902</v>
      </c>
      <c r="I390" s="53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-31009332.7675424</v>
      </c>
      <c r="J390" s="53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264697707.337108</v>
      </c>
      <c r="K390" s="53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618187153.953234</v>
      </c>
      <c r="L390" s="53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751257456.025891</v>
      </c>
      <c r="M390" s="53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941014543.900314</v>
      </c>
      <c r="N390" s="53" t="n">
        <f aca="false">IF(COUNT('Business Case'!B11:G11)=0,"",H390+NPV(G390,I390:M390))</f>
        <v>-614009630.979087</v>
      </c>
      <c r="P390" s="54" t="n">
        <f aca="true">RAND()</f>
        <v>0.897081380892331</v>
      </c>
      <c r="Q390" s="54" t="n">
        <f aca="true">RAND()</f>
        <v>0.566738540809571</v>
      </c>
      <c r="R390" s="54" t="n">
        <f aca="true">RAND()</f>
        <v>0.791425193160462</v>
      </c>
      <c r="S390" s="54" t="n">
        <f aca="true">RAND()</f>
        <v>0.977501781551356</v>
      </c>
      <c r="T390" s="54" t="n">
        <f aca="true">RAND()</f>
        <v>0.881302995610836</v>
      </c>
      <c r="U390" s="54" t="n">
        <f aca="true">RAND()</f>
        <v>0.709984874339192</v>
      </c>
    </row>
    <row r="391" customFormat="false" ht="15" hidden="false" customHeight="false" outlineLevel="0" collapsed="false">
      <c r="A391" s="50" t="n">
        <v>311</v>
      </c>
      <c r="B391" s="51" t="n">
        <f aca="false">1+IF($G$6=$E$6,$F$6,IF(P391&lt;($F$6-$E$6)/($G$6-$E$6),$E$6+SQRT(P391*($G$6-$E$6)*($F$6-$E$6)),$G$6-SQRT((1-P391)*($G$6-$E$6)*($G$6-$F$6))))</f>
        <v>0.956848432418214</v>
      </c>
      <c r="C391" s="51" t="n">
        <f aca="false">1+IF($G$7=$E$7,$F$7,IF(Q391&lt;($F$7-$E$7)/($G$7-$E$7),$E$7+SQRT(Q391*($G$7-$E$7)*($F$7-$E$7)),$G$7-SQRT((1-Q391)*($G$7-$E$7)*($G$7-$F$7))))</f>
        <v>0.979034304872367</v>
      </c>
      <c r="D391" s="51" t="n">
        <f aca="false">1+IF($G$8=$E$8,$F$8,IF(R391&lt;($F$8-$E$8)/($G$8-$E$8),$E$8+SQRT(R391*($G$8-$E$8)*($F$8-$E$8)),$G$8-SQRT((1-R391)*($G$8-$E$8)*($G$8-$F$8))))</f>
        <v>1.00236112140906</v>
      </c>
      <c r="E391" s="51" t="n">
        <f aca="false">1+IF($G$9=$E$9,$F$9,IF(S391&lt;($F$9-$E$9)/($G$9-$E$9),$E$9+SQRT(S391*($G$9-$E$9)*($F$9-$E$9)),$G$9-SQRT((1-S391)*($G$9-$E$9)*($G$9-$F$9))))</f>
        <v>0.986652040841604</v>
      </c>
      <c r="F391" s="51" t="n">
        <f aca="false">1+IF($G$10=$E$10,$F$10,IF(T391&lt;($F$10-$E$10)/($G$10-$E$10),$E$10+SQRT(T391*($G$10-$E$10)*($F$10-$E$10)),$G$10-SQRT((1-T391)*($G$10-$E$10)*($G$10-$F$10))))</f>
        <v>1.05408878389893</v>
      </c>
      <c r="G391" s="52" t="n">
        <f aca="false">IF($G$11=$E$11,$F$11,IF(U391&lt;($F$11-$E$11)/($G$11-$E$11),$E$11+SQRT(U391*($G$11-$E$11)*($F$11-$E$11)),$G$11-SQRT((1-U391)*($G$11-$E$11)*($G$11-$F$11))))</f>
        <v>0.0991583709873352</v>
      </c>
      <c r="H391" s="53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-2108177567.79787</v>
      </c>
      <c r="I391" s="53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-29348102.7833732</v>
      </c>
      <c r="J391" s="53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235577653.915279</v>
      </c>
      <c r="K391" s="53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553207849.808879</v>
      </c>
      <c r="L391" s="53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673891809.298067</v>
      </c>
      <c r="M391" s="53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851956365.874408</v>
      </c>
      <c r="N391" s="53" t="n">
        <f aca="false">IF(COUNT('Business Case'!B11:G11)=0,"",H391+NPV(G391,I391:M391))</f>
        <v>-530584025.014958</v>
      </c>
      <c r="P391" s="54" t="n">
        <f aca="true">RAND()</f>
        <v>0.215449617893886</v>
      </c>
      <c r="Q391" s="54" t="n">
        <f aca="true">RAND()</f>
        <v>0.576741802189669</v>
      </c>
      <c r="R391" s="54" t="n">
        <f aca="true">RAND()</f>
        <v>0.36444329250018</v>
      </c>
      <c r="S391" s="54" t="n">
        <f aca="true">RAND()</f>
        <v>0.3003430472806</v>
      </c>
      <c r="T391" s="54" t="n">
        <f aca="true">RAND()</f>
        <v>0.488250605410684</v>
      </c>
      <c r="U391" s="54" t="n">
        <f aca="true">RAND()</f>
        <v>0.367043178888367</v>
      </c>
    </row>
    <row r="392" customFormat="false" ht="15" hidden="false" customHeight="false" outlineLevel="0" collapsed="false">
      <c r="A392" s="50" t="n">
        <v>312</v>
      </c>
      <c r="B392" s="51" t="n">
        <f aca="false">1+IF($G$6=$E$6,$F$6,IF(P392&lt;($F$6-$E$6)/($G$6-$E$6),$E$6+SQRT(P392*($G$6-$E$6)*($F$6-$E$6)),$G$6-SQRT((1-P392)*($G$6-$E$6)*($G$6-$F$6))))</f>
        <v>0.972934021433806</v>
      </c>
      <c r="C392" s="51" t="n">
        <f aca="false">1+IF($G$7=$E$7,$F$7,IF(Q392&lt;($F$7-$E$7)/($G$7-$E$7),$E$7+SQRT(Q392*($G$7-$E$7)*($F$7-$E$7)),$G$7-SQRT((1-Q392)*($G$7-$E$7)*($G$7-$F$7))))</f>
        <v>0.801391161748032</v>
      </c>
      <c r="D392" s="51" t="n">
        <f aca="false">1+IF($G$8=$E$8,$F$8,IF(R392&lt;($F$8-$E$8)/($G$8-$E$8),$E$8+SQRT(R392*($G$8-$E$8)*($F$8-$E$8)),$G$8-SQRT((1-R392)*($G$8-$E$8)*($G$8-$F$8))))</f>
        <v>1.03863278382084</v>
      </c>
      <c r="E392" s="51" t="n">
        <f aca="false">1+IF($G$9=$E$9,$F$9,IF(S392&lt;($F$9-$E$9)/($G$9-$E$9),$E$9+SQRT(S392*($G$9-$E$9)*($F$9-$E$9)),$G$9-SQRT((1-S392)*($G$9-$E$9)*($G$9-$F$9))))</f>
        <v>1.03051155950409</v>
      </c>
      <c r="F392" s="51" t="n">
        <f aca="false">1+IF($G$10=$E$10,$F$10,IF(T392&lt;($F$10-$E$10)/($G$10-$E$10),$E$10+SQRT(T392*($G$10-$E$10)*($F$10-$E$10)),$G$10-SQRT((1-T392)*($G$10-$E$10)*($G$10-$F$10))))</f>
        <v>1.19363252218762</v>
      </c>
      <c r="G392" s="52" t="n">
        <f aca="false">IF($G$11=$E$11,$F$11,IF(U392&lt;($F$11-$E$11)/($G$11-$E$11),$E$11+SQRT(U392*($G$11-$E$11)*($F$11-$E$11)),$G$11-SQRT((1-U392)*($G$11-$E$11)*($G$11-$F$11))))</f>
        <v>0.0975082543003007</v>
      </c>
      <c r="H392" s="53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-2387265044.37523</v>
      </c>
      <c r="I392" s="53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-93787840.9048041</v>
      </c>
      <c r="J392" s="53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118745999.793049</v>
      </c>
      <c r="K392" s="53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390961466.600282</v>
      </c>
      <c r="L392" s="53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488752537.247843</v>
      </c>
      <c r="M392" s="53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636958051.196697</v>
      </c>
      <c r="N392" s="53" t="n">
        <f aca="false">IF(COUNT('Business Case'!B11:G11)=0,"",H392+NPV(G392,I392:M392))</f>
        <v>-1341519198.93562</v>
      </c>
      <c r="P392" s="54" t="n">
        <f aca="true">RAND()</f>
        <v>0.354624765500454</v>
      </c>
      <c r="Q392" s="54" t="n">
        <f aca="true">RAND()</f>
        <v>0.0761493902267826</v>
      </c>
      <c r="R392" s="54" t="n">
        <f aca="true">RAND()</f>
        <v>0.748937651894703</v>
      </c>
      <c r="S392" s="54" t="n">
        <f aca="true">RAND()</f>
        <v>0.61926700234278</v>
      </c>
      <c r="T392" s="54" t="n">
        <f aca="true">RAND()</f>
        <v>0.957636099267605</v>
      </c>
      <c r="U392" s="54" t="n">
        <f aca="true">RAND()</f>
        <v>0.306538968643998</v>
      </c>
    </row>
    <row r="393" customFormat="false" ht="15" hidden="false" customHeight="false" outlineLevel="0" collapsed="false">
      <c r="A393" s="50" t="n">
        <v>313</v>
      </c>
      <c r="B393" s="51" t="n">
        <f aca="false">1+IF($G$6=$E$6,$F$6,IF(P393&lt;($F$6-$E$6)/($G$6-$E$6),$E$6+SQRT(P393*($G$6-$E$6)*($F$6-$E$6)),$G$6-SQRT((1-P393)*($G$6-$E$6)*($G$6-$F$6))))</f>
        <v>0.986041098117194</v>
      </c>
      <c r="C393" s="51" t="n">
        <f aca="false">1+IF($G$7=$E$7,$F$7,IF(Q393&lt;($F$7-$E$7)/($G$7-$E$7),$E$7+SQRT(Q393*($G$7-$E$7)*($F$7-$E$7)),$G$7-SQRT((1-Q393)*($G$7-$E$7)*($G$7-$F$7))))</f>
        <v>1.02602141490755</v>
      </c>
      <c r="D393" s="51" t="n">
        <f aca="false">1+IF($G$8=$E$8,$F$8,IF(R393&lt;($F$8-$E$8)/($G$8-$E$8),$E$8+SQRT(R393*($G$8-$E$8)*($F$8-$E$8)),$G$8-SQRT((1-R393)*($G$8-$E$8)*($G$8-$F$8))))</f>
        <v>1.01488115793085</v>
      </c>
      <c r="E393" s="51" t="n">
        <f aca="false">1+IF($G$9=$E$9,$F$9,IF(S393&lt;($F$9-$E$9)/($G$9-$E$9),$E$9+SQRT(S393*($G$9-$E$9)*($F$9-$E$9)),$G$9-SQRT((1-S393)*($G$9-$E$9)*($G$9-$F$9))))</f>
        <v>1.01862341304543</v>
      </c>
      <c r="F393" s="51" t="n">
        <f aca="false">1+IF($G$10=$E$10,$F$10,IF(T393&lt;($F$10-$E$10)/($G$10-$E$10),$E$10+SQRT(T393*($G$10-$E$10)*($F$10-$E$10)),$G$10-SQRT((1-T393)*($G$10-$E$10)*($G$10-$F$10))))</f>
        <v>1.23125100315525</v>
      </c>
      <c r="G393" s="52" t="n">
        <f aca="false">IF($G$11=$E$11,$F$11,IF(U393&lt;($F$11-$E$11)/($G$11-$E$11),$E$11+SQRT(U393*($G$11-$E$11)*($F$11-$E$11)),$G$11-SQRT((1-U393)*($G$11-$E$11)*($G$11-$F$11))))</f>
        <v>0.120227131340345</v>
      </c>
      <c r="H393" s="53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-2462502006.31051</v>
      </c>
      <c r="I393" s="53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-24822360.8735715</v>
      </c>
      <c r="J393" s="53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270775118.715873</v>
      </c>
      <c r="K393" s="53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627935148.46308</v>
      </c>
      <c r="L393" s="53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761431968.867849</v>
      </c>
      <c r="M393" s="53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953735768.513428</v>
      </c>
      <c r="N393" s="53" t="n">
        <f aca="false">IF(COUNT('Business Case'!B11:G11)=0,"",H393+NPV(G393,I393:M393))</f>
        <v>-798069239.210279</v>
      </c>
      <c r="P393" s="54" t="n">
        <f aca="true">RAND()</f>
        <v>0.49353803768084</v>
      </c>
      <c r="Q393" s="54" t="n">
        <f aca="true">RAND()</f>
        <v>0.772286080569987</v>
      </c>
      <c r="R393" s="54" t="n">
        <f aca="true">RAND()</f>
        <v>0.516985514987155</v>
      </c>
      <c r="S393" s="54" t="n">
        <f aca="true">RAND()</f>
        <v>0.539738464004464</v>
      </c>
      <c r="T393" s="54" t="n">
        <f aca="true">RAND()</f>
        <v>0.99531300156421</v>
      </c>
      <c r="U393" s="54" t="n">
        <f aca="true">RAND()</f>
        <v>0.936327358774092</v>
      </c>
    </row>
    <row r="394" customFormat="false" ht="15" hidden="false" customHeight="false" outlineLevel="0" collapsed="false">
      <c r="A394" s="50" t="n">
        <v>314</v>
      </c>
      <c r="B394" s="51" t="n">
        <f aca="false">1+IF($G$6=$E$6,$F$6,IF(P394&lt;($F$6-$E$6)/($G$6-$E$6),$E$6+SQRT(P394*($G$6-$E$6)*($F$6-$E$6)),$G$6-SQRT((1-P394)*($G$6-$E$6)*($G$6-$F$6))))</f>
        <v>0.943368359510758</v>
      </c>
      <c r="C394" s="51" t="n">
        <f aca="false">1+IF($G$7=$E$7,$F$7,IF(Q394&lt;($F$7-$E$7)/($G$7-$E$7),$E$7+SQRT(Q394*($G$7-$E$7)*($F$7-$E$7)),$G$7-SQRT((1-Q394)*($G$7-$E$7)*($G$7-$F$7))))</f>
        <v>0.859293571366068</v>
      </c>
      <c r="D394" s="51" t="n">
        <f aca="false">1+IF($G$8=$E$8,$F$8,IF(R394&lt;($F$8-$E$8)/($G$8-$E$8),$E$8+SQRT(R394*($G$8-$E$8)*($F$8-$E$8)),$G$8-SQRT((1-R394)*($G$8-$E$8)*($G$8-$F$8))))</f>
        <v>0.989136456633596</v>
      </c>
      <c r="E394" s="51" t="n">
        <f aca="false">1+IF($G$9=$E$9,$F$9,IF(S394&lt;($F$9-$E$9)/($G$9-$E$9),$E$9+SQRT(S394*($G$9-$E$9)*($F$9-$E$9)),$G$9-SQRT((1-S394)*($G$9-$E$9)*($G$9-$F$9))))</f>
        <v>1.07181051706029</v>
      </c>
      <c r="F394" s="51" t="n">
        <f aca="false">1+IF($G$10=$E$10,$F$10,IF(T394&lt;($F$10-$E$10)/($G$10-$E$10),$E$10+SQRT(T394*($G$10-$E$10)*($F$10-$E$10)),$G$10-SQRT((1-T394)*($G$10-$E$10)*($G$10-$F$10))))</f>
        <v>1.08293607141453</v>
      </c>
      <c r="G394" s="52" t="n">
        <f aca="false">IF($G$11=$E$11,$F$11,IF(U394&lt;($F$11-$E$11)/($G$11-$E$11),$E$11+SQRT(U394*($G$11-$E$11)*($F$11-$E$11)),$G$11-SQRT((1-U394)*($G$11-$E$11)*($G$11-$F$11))))</f>
        <v>0.0826960683534006</v>
      </c>
      <c r="H394" s="53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-2165872142.82906</v>
      </c>
      <c r="I394" s="53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-73874310.8064734</v>
      </c>
      <c r="J394" s="53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154979519.267201</v>
      </c>
      <c r="K394" s="53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437980152.911602</v>
      </c>
      <c r="L394" s="53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542280148.411308</v>
      </c>
      <c r="M394" s="53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696364768.524621</v>
      </c>
      <c r="N394" s="53" t="n">
        <f aca="false">IF(COUNT('Business Case'!B11:G11)=0,"",H394+NPV(G394,I394:M394))</f>
        <v>-894103658.555152</v>
      </c>
      <c r="P394" s="54" t="n">
        <f aca="true">RAND()</f>
        <v>0.125387640443625</v>
      </c>
      <c r="Q394" s="54" t="n">
        <f aca="true">RAND()</f>
        <v>0.187958828730048</v>
      </c>
      <c r="R394" s="54" t="n">
        <f aca="true">RAND()</f>
        <v>0.204221631711111</v>
      </c>
      <c r="S394" s="54" t="n">
        <f aca="true">RAND()</f>
        <v>0.836970793536552</v>
      </c>
      <c r="T394" s="54" t="n">
        <f aca="true">RAND()</f>
        <v>0.627861916874525</v>
      </c>
      <c r="U394" s="54" t="n">
        <f aca="true">RAND()</f>
        <v>0.00726878456620814</v>
      </c>
    </row>
    <row r="395" customFormat="false" ht="15" hidden="false" customHeight="false" outlineLevel="0" collapsed="false">
      <c r="A395" s="50" t="n">
        <v>315</v>
      </c>
      <c r="B395" s="51" t="n">
        <f aca="false">1+IF($G$6=$E$6,$F$6,IF(P395&lt;($F$6-$E$6)/($G$6-$E$6),$E$6+SQRT(P395*($G$6-$E$6)*($F$6-$E$6)),$G$6-SQRT((1-P395)*($G$6-$E$6)*($G$6-$F$6))))</f>
        <v>1.01709602439689</v>
      </c>
      <c r="C395" s="51" t="n">
        <f aca="false">1+IF($G$7=$E$7,$F$7,IF(Q395&lt;($F$7-$E$7)/($G$7-$E$7),$E$7+SQRT(Q395*($G$7-$E$7)*($F$7-$E$7)),$G$7-SQRT((1-Q395)*($G$7-$E$7)*($G$7-$F$7))))</f>
        <v>0.93787562304284</v>
      </c>
      <c r="D395" s="51" t="n">
        <f aca="false">1+IF($G$8=$E$8,$F$8,IF(R395&lt;($F$8-$E$8)/($G$8-$E$8),$E$8+SQRT(R395*($G$8-$E$8)*($F$8-$E$8)),$G$8-SQRT((1-R395)*($G$8-$E$8)*($G$8-$F$8))))</f>
        <v>1.02647162434695</v>
      </c>
      <c r="E395" s="51" t="n">
        <f aca="false">1+IF($G$9=$E$9,$F$9,IF(S395&lt;($F$9-$E$9)/($G$9-$E$9),$E$9+SQRT(S395*($G$9-$E$9)*($F$9-$E$9)),$G$9-SQRT((1-S395)*($G$9-$E$9)*($G$9-$F$9))))</f>
        <v>1.02539781293836</v>
      </c>
      <c r="F395" s="51" t="n">
        <f aca="false">1+IF($G$10=$E$10,$F$10,IF(T395&lt;($F$10-$E$10)/($G$10-$E$10),$E$10+SQRT(T395*($G$10-$E$10)*($F$10-$E$10)),$G$10-SQRT((1-T395)*($G$10-$E$10)*($G$10-$F$10))))</f>
        <v>1.14165280745199</v>
      </c>
      <c r="G395" s="52" t="n">
        <f aca="false">IF($G$11=$E$11,$F$11,IF(U395&lt;($F$11-$E$11)/($G$11-$E$11),$E$11+SQRT(U395*($G$11-$E$11)*($F$11-$E$11)),$G$11-SQRT((1-U395)*($G$11-$E$11)*($G$11-$F$11))))</f>
        <v>0.11428846577162</v>
      </c>
      <c r="H395" s="53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-2283305614.90398</v>
      </c>
      <c r="I395" s="53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-20933677.8584519</v>
      </c>
      <c r="J395" s="53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267560166.011251</v>
      </c>
      <c r="K395" s="53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613136650.253553</v>
      </c>
      <c r="L395" s="53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742268379.532201</v>
      </c>
      <c r="M395" s="53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923587510.136977</v>
      </c>
      <c r="N395" s="53" t="n">
        <f aca="false">IF(COUNT('Business Case'!B11:G11)=0,"",H395+NPV(G395,I395:M395))</f>
        <v>-624329553.441708</v>
      </c>
      <c r="P395" s="54" t="n">
        <f aca="true">RAND()</f>
        <v>0.855643785267977</v>
      </c>
      <c r="Q395" s="54" t="n">
        <f aca="true">RAND()</f>
        <v>0.419146755837182</v>
      </c>
      <c r="R395" s="54" t="n">
        <f aca="true">RAND()</f>
        <v>0.639571864921615</v>
      </c>
      <c r="S395" s="54" t="n">
        <f aca="true">RAND()</f>
        <v>0.58598119945218</v>
      </c>
      <c r="T395" s="54" t="n">
        <f aca="true">RAND()</f>
        <v>0.843478478226193</v>
      </c>
      <c r="U395" s="54" t="n">
        <f aca="true">RAND()</f>
        <v>0.835431794793631</v>
      </c>
    </row>
    <row r="396" customFormat="false" ht="15" hidden="false" customHeight="false" outlineLevel="0" collapsed="false">
      <c r="A396" s="50" t="n">
        <v>316</v>
      </c>
      <c r="B396" s="51" t="n">
        <f aca="false">1+IF($G$6=$E$6,$F$6,IF(P396&lt;($F$6-$E$6)/($G$6-$E$6),$E$6+SQRT(P396*($G$6-$E$6)*($F$6-$E$6)),$G$6-SQRT((1-P396)*($G$6-$E$6)*($G$6-$F$6))))</f>
        <v>0.920635711284204</v>
      </c>
      <c r="C396" s="51" t="n">
        <f aca="false">1+IF($G$7=$E$7,$F$7,IF(Q396&lt;($F$7-$E$7)/($G$7-$E$7),$E$7+SQRT(Q396*($G$7-$E$7)*($F$7-$E$7)),$G$7-SQRT((1-Q396)*($G$7-$E$7)*($G$7-$F$7))))</f>
        <v>1.05212323827144</v>
      </c>
      <c r="D396" s="51" t="n">
        <f aca="false">1+IF($G$8=$E$8,$F$8,IF(R396&lt;($F$8-$E$8)/($G$8-$E$8),$E$8+SQRT(R396*($G$8-$E$8)*($F$8-$E$8)),$G$8-SQRT((1-R396)*($G$8-$E$8)*($G$8-$F$8))))</f>
        <v>1.02876764384277</v>
      </c>
      <c r="E396" s="51" t="n">
        <f aca="false">1+IF($G$9=$E$9,$F$9,IF(S396&lt;($F$9-$E$9)/($G$9-$E$9),$E$9+SQRT(S396*($G$9-$E$9)*($F$9-$E$9)),$G$9-SQRT((1-S396)*($G$9-$E$9)*($G$9-$F$9))))</f>
        <v>1.07284727729013</v>
      </c>
      <c r="F396" s="51" t="n">
        <f aca="false">1+IF($G$10=$E$10,$F$10,IF(T396&lt;($F$10-$E$10)/($G$10-$E$10),$E$10+SQRT(T396*($G$10-$E$10)*($F$10-$E$10)),$G$10-SQRT((1-T396)*($G$10-$E$10)*($G$10-$F$10))))</f>
        <v>1.07443692301702</v>
      </c>
      <c r="G396" s="52" t="n">
        <f aca="false">IF($G$11=$E$11,$F$11,IF(U396&lt;($F$11-$E$11)/($G$11-$E$11),$E$11+SQRT(U396*($G$11-$E$11)*($F$11-$E$11)),$G$11-SQRT((1-U396)*($G$11-$E$11)*($G$11-$F$11))))</f>
        <v>0.0843426614823746</v>
      </c>
      <c r="H396" s="53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-2148873846.03403</v>
      </c>
      <c r="I396" s="53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-70941872.9136518</v>
      </c>
      <c r="J396" s="53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168332205.491805</v>
      </c>
      <c r="K396" s="53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461328130.048113</v>
      </c>
      <c r="L396" s="53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574561740.307767</v>
      </c>
      <c r="M396" s="53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758677452.992519</v>
      </c>
      <c r="N396" s="53" t="n">
        <f aca="false">IF(COUNT('Business Case'!B11:G11)=0,"",H396+NPV(G396,I396:M396))</f>
        <v>-787617469.254139</v>
      </c>
      <c r="P396" s="54" t="n">
        <f aca="true">RAND()</f>
        <v>0.0283888386803344</v>
      </c>
      <c r="Q396" s="54" t="n">
        <f aca="true">RAND()</f>
        <v>0.858076140941189</v>
      </c>
      <c r="R396" s="54" t="n">
        <f aca="true">RAND()</f>
        <v>0.661730095752662</v>
      </c>
      <c r="S396" s="54" t="n">
        <f aca="true">RAND()</f>
        <v>0.841265530092107</v>
      </c>
      <c r="T396" s="54" t="n">
        <f aca="true">RAND()</f>
        <v>0.58903474667023</v>
      </c>
      <c r="U396" s="54" t="n">
        <f aca="true">RAND()</f>
        <v>0.0188587087505001</v>
      </c>
    </row>
    <row r="397" customFormat="false" ht="15" hidden="false" customHeight="false" outlineLevel="0" collapsed="false">
      <c r="A397" s="50" t="n">
        <v>317</v>
      </c>
      <c r="B397" s="51" t="n">
        <f aca="false">1+IF($G$6=$E$6,$F$6,IF(P397&lt;($F$6-$E$6)/($G$6-$E$6),$E$6+SQRT(P397*($G$6-$E$6)*($F$6-$E$6)),$G$6-SQRT((1-P397)*($G$6-$E$6)*($G$6-$F$6))))</f>
        <v>0.971888233389765</v>
      </c>
      <c r="C397" s="51" t="n">
        <f aca="false">1+IF($G$7=$E$7,$F$7,IF(Q397&lt;($F$7-$E$7)/($G$7-$E$7),$E$7+SQRT(Q397*($G$7-$E$7)*($F$7-$E$7)),$G$7-SQRT((1-Q397)*($G$7-$E$7)*($G$7-$F$7))))</f>
        <v>1.08018175557992</v>
      </c>
      <c r="D397" s="51" t="n">
        <f aca="false">1+IF($G$8=$E$8,$F$8,IF(R397&lt;($F$8-$E$8)/($G$8-$E$8),$E$8+SQRT(R397*($G$8-$E$8)*($F$8-$E$8)),$G$8-SQRT((1-R397)*($G$8-$E$8)*($G$8-$F$8))))</f>
        <v>1.02255330460954</v>
      </c>
      <c r="E397" s="51" t="n">
        <f aca="false">1+IF($G$9=$E$9,$F$9,IF(S397&lt;($F$9-$E$9)/($G$9-$E$9),$E$9+SQRT(S397*($G$9-$E$9)*($F$9-$E$9)),$G$9-SQRT((1-S397)*($G$9-$E$9)*($G$9-$F$9))))</f>
        <v>1.00767842545421</v>
      </c>
      <c r="F397" s="51" t="n">
        <f aca="false">1+IF($G$10=$E$10,$F$10,IF(T397&lt;($F$10-$E$10)/($G$10-$E$10),$E$10+SQRT(T397*($G$10-$E$10)*($F$10-$E$10)),$G$10-SQRT((1-T397)*($G$10-$E$10)*($G$10-$F$10))))</f>
        <v>1.17562908838699</v>
      </c>
      <c r="G397" s="52" t="n">
        <f aca="false">IF($G$11=$E$11,$F$11,IF(U397&lt;($F$11-$E$11)/($G$11-$E$11),$E$11+SQRT(U397*($G$11-$E$11)*($F$11-$E$11)),$G$11-SQRT((1-U397)*($G$11-$E$11)*($G$11-$F$11))))</f>
        <v>0.105991453639588</v>
      </c>
      <c r="H397" s="53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-2351258176.77399</v>
      </c>
      <c r="I397" s="53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-20840268.5485746</v>
      </c>
      <c r="J397" s="53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273596702.075894</v>
      </c>
      <c r="K397" s="53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626815127.119712</v>
      </c>
      <c r="L397" s="53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761242422.817705</v>
      </c>
      <c r="M397" s="53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960791436.345139</v>
      </c>
      <c r="N397" s="53" t="n">
        <f aca="false">IF(COUNT('Business Case'!B11:G11)=0,"",H397+NPV(G397,I397:M397))</f>
        <v>-593753740.343785</v>
      </c>
      <c r="P397" s="54" t="n">
        <f aca="true">RAND()</f>
        <v>0.344527873326759</v>
      </c>
      <c r="Q397" s="54" t="n">
        <f aca="true">RAND()</f>
        <v>0.927783892534782</v>
      </c>
      <c r="R397" s="54" t="n">
        <f aca="true">RAND()</f>
        <v>0.600133958206474</v>
      </c>
      <c r="S397" s="54" t="n">
        <f aca="true">RAND()</f>
        <v>0.459855184501542</v>
      </c>
      <c r="T397" s="54" t="n">
        <f aca="true">RAND()</f>
        <v>0.926252900078006</v>
      </c>
      <c r="U397" s="54" t="n">
        <f aca="true">RAND()</f>
        <v>0.615726467773284</v>
      </c>
    </row>
    <row r="398" customFormat="false" ht="15" hidden="false" customHeight="false" outlineLevel="0" collapsed="false">
      <c r="A398" s="50" t="n">
        <v>318</v>
      </c>
      <c r="B398" s="51" t="n">
        <f aca="false">1+IF($G$6=$E$6,$F$6,IF(P398&lt;($F$6-$E$6)/($G$6-$E$6),$E$6+SQRT(P398*($G$6-$E$6)*($F$6-$E$6)),$G$6-SQRT((1-P398)*($G$6-$E$6)*($G$6-$F$6))))</f>
        <v>0.987279253559312</v>
      </c>
      <c r="C398" s="51" t="n">
        <f aca="false">1+IF($G$7=$E$7,$F$7,IF(Q398&lt;($F$7-$E$7)/($G$7-$E$7),$E$7+SQRT(Q398*($G$7-$E$7)*($F$7-$E$7)),$G$7-SQRT((1-Q398)*($G$7-$E$7)*($G$7-$F$7))))</f>
        <v>1.02870653577082</v>
      </c>
      <c r="D398" s="51" t="n">
        <f aca="false">1+IF($G$8=$E$8,$F$8,IF(R398&lt;($F$8-$E$8)/($G$8-$E$8),$E$8+SQRT(R398*($G$8-$E$8)*($F$8-$E$8)),$G$8-SQRT((1-R398)*($G$8-$E$8)*($G$8-$F$8))))</f>
        <v>1.02728194873365</v>
      </c>
      <c r="E398" s="51" t="n">
        <f aca="false">1+IF($G$9=$E$9,$F$9,IF(S398&lt;($F$9-$E$9)/($G$9-$E$9),$E$9+SQRT(S398*($G$9-$E$9)*($F$9-$E$9)),$G$9-SQRT((1-S398)*($G$9-$E$9)*($G$9-$F$9))))</f>
        <v>0.979181576664696</v>
      </c>
      <c r="F398" s="51" t="n">
        <f aca="false">1+IF($G$10=$E$10,$F$10,IF(T398&lt;($F$10-$E$10)/($G$10-$E$10),$E$10+SQRT(T398*($G$10-$E$10)*($F$10-$E$10)),$G$10-SQRT((1-T398)*($G$10-$E$10)*($G$10-$F$10))))</f>
        <v>1.00816622654104</v>
      </c>
      <c r="G398" s="52" t="n">
        <f aca="false">IF($G$11=$E$11,$F$11,IF(U398&lt;($F$11-$E$11)/($G$11-$E$11),$E$11+SQRT(U398*($G$11-$E$11)*($F$11-$E$11)),$G$11-SQRT((1-U398)*($G$11-$E$11)*($G$11-$F$11))))</f>
        <v>0.119965485106423</v>
      </c>
      <c r="H398" s="53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-2016332453.08209</v>
      </c>
      <c r="I398" s="53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-1822148.23857547</v>
      </c>
      <c r="J398" s="53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289061719.359255</v>
      </c>
      <c r="K398" s="53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630353898.284138</v>
      </c>
      <c r="L398" s="53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762415036.137136</v>
      </c>
      <c r="M398" s="53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955464203.732604</v>
      </c>
      <c r="N398" s="53" t="n">
        <f aca="false">IF(COUNT('Business Case'!B11:G11)=0,"",H398+NPV(G398,I398:M398))</f>
        <v>-311964184.050492</v>
      </c>
      <c r="P398" s="54" t="n">
        <f aca="true">RAND()</f>
        <v>0.507844540124711</v>
      </c>
      <c r="Q398" s="54" t="n">
        <f aca="true">RAND()</f>
        <v>0.782042896819028</v>
      </c>
      <c r="R398" s="54" t="n">
        <f aca="true">RAND()</f>
        <v>0.647472334668294</v>
      </c>
      <c r="S398" s="54" t="n">
        <f aca="true">RAND()</f>
        <v>0.250788883324283</v>
      </c>
      <c r="T398" s="54" t="n">
        <f aca="true">RAND()</f>
        <v>0.220219013528023</v>
      </c>
      <c r="U398" s="54" t="n">
        <f aca="true">RAND()</f>
        <v>0.932872340567055</v>
      </c>
    </row>
    <row r="399" customFormat="false" ht="15" hidden="false" customHeight="false" outlineLevel="0" collapsed="false">
      <c r="A399" s="50" t="n">
        <v>319</v>
      </c>
      <c r="B399" s="51" t="n">
        <f aca="false">1+IF($G$6=$E$6,$F$6,IF(P399&lt;($F$6-$E$6)/($G$6-$E$6),$E$6+SQRT(P399*($G$6-$E$6)*($F$6-$E$6)),$G$6-SQRT((1-P399)*($G$6-$E$6)*($G$6-$F$6))))</f>
        <v>0.934892332543025</v>
      </c>
      <c r="C399" s="51" t="n">
        <f aca="false">1+IF($G$7=$E$7,$F$7,IF(Q399&lt;($F$7-$E$7)/($G$7-$E$7),$E$7+SQRT(Q399*($G$7-$E$7)*($F$7-$E$7)),$G$7-SQRT((1-Q399)*($G$7-$E$7)*($G$7-$F$7))))</f>
        <v>0.861489524430884</v>
      </c>
      <c r="D399" s="51" t="n">
        <f aca="false">1+IF($G$8=$E$8,$F$8,IF(R399&lt;($F$8-$E$8)/($G$8-$E$8),$E$8+SQRT(R399*($G$8-$E$8)*($F$8-$E$8)),$G$8-SQRT((1-R399)*($G$8-$E$8)*($G$8-$F$8))))</f>
        <v>1.0618901903049</v>
      </c>
      <c r="E399" s="51" t="n">
        <f aca="false">1+IF($G$9=$E$9,$F$9,IF(S399&lt;($F$9-$E$9)/($G$9-$E$9),$E$9+SQRT(S399*($G$9-$E$9)*($F$9-$E$9)),$G$9-SQRT((1-S399)*($G$9-$E$9)*($G$9-$F$9))))</f>
        <v>1.03265394302787</v>
      </c>
      <c r="F399" s="51" t="n">
        <f aca="false">1+IF($G$10=$E$10,$F$10,IF(T399&lt;($F$10-$E$10)/($G$10-$E$10),$E$10+SQRT(T399*($G$10-$E$10)*($F$10-$E$10)),$G$10-SQRT((1-T399)*($G$10-$E$10)*($G$10-$F$10))))</f>
        <v>1.13352375292643</v>
      </c>
      <c r="G399" s="52" t="n">
        <f aca="false">IF($G$11=$E$11,$F$11,IF(U399&lt;($F$11-$E$11)/($G$11-$E$11),$E$11+SQRT(U399*($G$11-$E$11)*($F$11-$E$11)),$G$11-SQRT((1-U399)*($G$11-$E$11)*($G$11-$F$11))))</f>
        <v>0.11783043632002</v>
      </c>
      <c r="H399" s="53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-2267047505.85286</v>
      </c>
      <c r="I399" s="53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-110575291.059209</v>
      </c>
      <c r="J399" s="53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80797117.3303755</v>
      </c>
      <c r="K399" s="53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328845713.366282</v>
      </c>
      <c r="L399" s="53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420471138.467869</v>
      </c>
      <c r="M399" s="53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573561561.145695</v>
      </c>
      <c r="N399" s="53" t="n">
        <f aca="false">IF(COUNT('Business Case'!B11:G11)=0,"",H399+NPV(G399,I399:M399))</f>
        <v>-1467951991.05083</v>
      </c>
      <c r="P399" s="54" t="n">
        <f aca="true">RAND()</f>
        <v>0.0811649913528705</v>
      </c>
      <c r="Q399" s="54" t="n">
        <f aca="true">RAND()</f>
        <v>0.193176788895653</v>
      </c>
      <c r="R399" s="54" t="n">
        <f aca="true">RAND()</f>
        <v>0.903176160333563</v>
      </c>
      <c r="S399" s="54" t="n">
        <f aca="true">RAND()</f>
        <v>0.632797411015819</v>
      </c>
      <c r="T399" s="54" t="n">
        <f aca="true">RAND()</f>
        <v>0.819110451568752</v>
      </c>
      <c r="U399" s="54" t="n">
        <f aca="true">RAND()</f>
        <v>0.901267813225949</v>
      </c>
    </row>
    <row r="400" customFormat="false" ht="15" hidden="false" customHeight="false" outlineLevel="0" collapsed="false">
      <c r="A400" s="50" t="n">
        <v>320</v>
      </c>
      <c r="B400" s="51" t="n">
        <f aca="false">1+IF($G$6=$E$6,$F$6,IF(P400&lt;($F$6-$E$6)/($G$6-$E$6),$E$6+SQRT(P400*($G$6-$E$6)*($F$6-$E$6)),$G$6-SQRT((1-P400)*($G$6-$E$6)*($G$6-$F$6))))</f>
        <v>0.977726405899967</v>
      </c>
      <c r="C400" s="51" t="n">
        <f aca="false">1+IF($G$7=$E$7,$F$7,IF(Q400&lt;($F$7-$E$7)/($G$7-$E$7),$E$7+SQRT(Q400*($G$7-$E$7)*($F$7-$E$7)),$G$7-SQRT((1-Q400)*($G$7-$E$7)*($G$7-$F$7))))</f>
        <v>0.985242494232441</v>
      </c>
      <c r="D400" s="51" t="n">
        <f aca="false">1+IF($G$8=$E$8,$F$8,IF(R400&lt;($F$8-$E$8)/($G$8-$E$8),$E$8+SQRT(R400*($G$8-$E$8)*($F$8-$E$8)),$G$8-SQRT((1-R400)*($G$8-$E$8)*($G$8-$F$8))))</f>
        <v>1.01063289472624</v>
      </c>
      <c r="E400" s="51" t="n">
        <f aca="false">1+IF($G$9=$E$9,$F$9,IF(S400&lt;($F$9-$E$9)/($G$9-$E$9),$E$9+SQRT(S400*($G$9-$E$9)*($F$9-$E$9)),$G$9-SQRT((1-S400)*($G$9-$E$9)*($G$9-$F$9))))</f>
        <v>0.949695306104964</v>
      </c>
      <c r="F400" s="51" t="n">
        <f aca="false">1+IF($G$10=$E$10,$F$10,IF(T400&lt;($F$10-$E$10)/($G$10-$E$10),$E$10+SQRT(T400*($G$10-$E$10)*($F$10-$E$10)),$G$10-SQRT((1-T400)*($G$10-$E$10)*($G$10-$F$10))))</f>
        <v>1.0675075968015</v>
      </c>
      <c r="G400" s="52" t="n">
        <f aca="false">IF($G$11=$E$11,$F$11,IF(U400&lt;($F$11-$E$11)/($G$11-$E$11),$E$11+SQRT(U400*($G$11-$E$11)*($F$11-$E$11)),$G$11-SQRT((1-U400)*($G$11-$E$11)*($G$11-$F$11))))</f>
        <v>0.112675105058706</v>
      </c>
      <c r="H400" s="53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-2135015193.60301</v>
      </c>
      <c r="I400" s="53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-12452886.9832704</v>
      </c>
      <c r="J400" s="53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266829005.972225</v>
      </c>
      <c r="K400" s="53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599486278.767796</v>
      </c>
      <c r="L400" s="53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725871808.239954</v>
      </c>
      <c r="M400" s="53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908975416.585083</v>
      </c>
      <c r="N400" s="53" t="n">
        <f aca="false">IF(COUNT('Business Case'!B11:G11)=0,"",H400+NPV(G400,I400:M400))</f>
        <v>-488945804.205023</v>
      </c>
      <c r="P400" s="54" t="n">
        <f aca="true">RAND()</f>
        <v>0.40275961160843</v>
      </c>
      <c r="Q400" s="54" t="n">
        <f aca="true">RAND()</f>
        <v>0.602690966784772</v>
      </c>
      <c r="R400" s="54" t="n">
        <f aca="true">RAND()</f>
        <v>0.467568032999245</v>
      </c>
      <c r="S400" s="54" t="n">
        <f aca="true">RAND()</f>
        <v>0.0987849379546444</v>
      </c>
      <c r="T400" s="54" t="n">
        <f aca="true">RAND()</f>
        <v>0.555953636997826</v>
      </c>
      <c r="U400" s="54" t="n">
        <f aca="true">RAND()</f>
        <v>0.799898676848759</v>
      </c>
    </row>
    <row r="401" customFormat="false" ht="15" hidden="false" customHeight="false" outlineLevel="0" collapsed="false">
      <c r="A401" s="50" t="n">
        <v>321</v>
      </c>
      <c r="B401" s="51" t="n">
        <f aca="false">1+IF($G$6=$E$6,$F$6,IF(P401&lt;($F$6-$E$6)/($G$6-$E$6),$E$6+SQRT(P401*($G$6-$E$6)*($F$6-$E$6)),$G$6-SQRT((1-P401)*($G$6-$E$6)*($G$6-$F$6))))</f>
        <v>0.946965960041722</v>
      </c>
      <c r="C401" s="51" t="n">
        <f aca="false">1+IF($G$7=$E$7,$F$7,IF(Q401&lt;($F$7-$E$7)/($G$7-$E$7),$E$7+SQRT(Q401*($G$7-$E$7)*($F$7-$E$7)),$G$7-SQRT((1-Q401)*($G$7-$E$7)*($G$7-$F$7))))</f>
        <v>1.0272578889197</v>
      </c>
      <c r="D401" s="51" t="n">
        <f aca="false">1+IF($G$8=$E$8,$F$8,IF(R401&lt;($F$8-$E$8)/($G$8-$E$8),$E$8+SQRT(R401*($G$8-$E$8)*($F$8-$E$8)),$G$8-SQRT((1-R401)*($G$8-$E$8)*($G$8-$F$8))))</f>
        <v>0.983669450187598</v>
      </c>
      <c r="E401" s="51" t="n">
        <f aca="false">1+IF($G$9=$E$9,$F$9,IF(S401&lt;($F$9-$E$9)/($G$9-$E$9),$E$9+SQRT(S401*($G$9-$E$9)*($F$9-$E$9)),$G$9-SQRT((1-S401)*($G$9-$E$9)*($G$9-$F$9))))</f>
        <v>0.994180266656433</v>
      </c>
      <c r="F401" s="51" t="n">
        <f aca="false">1+IF($G$10=$E$10,$F$10,IF(T401&lt;($F$10-$E$10)/($G$10-$E$10),$E$10+SQRT(T401*($G$10-$E$10)*($F$10-$E$10)),$G$10-SQRT((1-T401)*($G$10-$E$10)*($G$10-$F$10))))</f>
        <v>1.23412374748852</v>
      </c>
      <c r="G401" s="52" t="n">
        <f aca="false">IF($G$11=$E$11,$F$11,IF(U401&lt;($F$11-$E$11)/($G$11-$E$11),$E$11+SQRT(U401*($G$11-$E$11)*($F$11-$E$11)),$G$11-SQRT((1-U401)*($G$11-$E$11)*($G$11-$F$11))))</f>
        <v>0.100300766280226</v>
      </c>
      <c r="H401" s="53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-2468247494.97703</v>
      </c>
      <c r="I401" s="53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-35724253.3229609</v>
      </c>
      <c r="J401" s="53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243765126.656542</v>
      </c>
      <c r="K401" s="53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584960694.010472</v>
      </c>
      <c r="L401" s="53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711743037.093685</v>
      </c>
      <c r="M401" s="53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896648727.422267</v>
      </c>
      <c r="N401" s="53" t="n">
        <f aca="false">IF(COUNT('Business Case'!B11:G11)=0,"",H401+NPV(G401,I401:M401))</f>
        <v>-818650675.032131</v>
      </c>
      <c r="P401" s="54" t="n">
        <f aca="true">RAND()</f>
        <v>0.147053426842706</v>
      </c>
      <c r="Q401" s="54" t="n">
        <f aca="true">RAND()</f>
        <v>0.776805543222988</v>
      </c>
      <c r="R401" s="54" t="n">
        <f aca="true">RAND()</f>
        <v>0.15115091679135</v>
      </c>
      <c r="S401" s="54" t="n">
        <f aca="true">RAND()</f>
        <v>0.354796905099076</v>
      </c>
      <c r="T401" s="54" t="n">
        <f aca="true">RAND()</f>
        <v>0.996639261415888</v>
      </c>
      <c r="U401" s="54" t="n">
        <f aca="true">RAND()</f>
        <v>0.411970344305511</v>
      </c>
    </row>
    <row r="402" customFormat="false" ht="15" hidden="false" customHeight="false" outlineLevel="0" collapsed="false">
      <c r="A402" s="50" t="n">
        <v>322</v>
      </c>
      <c r="B402" s="51" t="n">
        <f aca="false">1+IF($G$6=$E$6,$F$6,IF(P402&lt;($F$6-$E$6)/($G$6-$E$6),$E$6+SQRT(P402*($G$6-$E$6)*($F$6-$E$6)),$G$6-SQRT((1-P402)*($G$6-$E$6)*($G$6-$F$6))))</f>
        <v>0.963923494093497</v>
      </c>
      <c r="C402" s="51" t="n">
        <f aca="false">1+IF($G$7=$E$7,$F$7,IF(Q402&lt;($F$7-$E$7)/($G$7-$E$7),$E$7+SQRT(Q402*($G$7-$E$7)*($F$7-$E$7)),$G$7-SQRT((1-Q402)*($G$7-$E$7)*($G$7-$F$7))))</f>
        <v>0.874526925403647</v>
      </c>
      <c r="D402" s="51" t="n">
        <f aca="false">1+IF($G$8=$E$8,$F$8,IF(R402&lt;($F$8-$E$8)/($G$8-$E$8),$E$8+SQRT(R402*($G$8-$E$8)*($F$8-$E$8)),$G$8-SQRT((1-R402)*($G$8-$E$8)*($G$8-$F$8))))</f>
        <v>1.03074354609263</v>
      </c>
      <c r="E402" s="51" t="n">
        <f aca="false">1+IF($G$9=$E$9,$F$9,IF(S402&lt;($F$9-$E$9)/($G$9-$E$9),$E$9+SQRT(S402*($G$9-$E$9)*($F$9-$E$9)),$G$9-SQRT((1-S402)*($G$9-$E$9)*($G$9-$F$9))))</f>
        <v>0.964772929589358</v>
      </c>
      <c r="F402" s="51" t="n">
        <f aca="false">1+IF($G$10=$E$10,$F$10,IF(T402&lt;($F$10-$E$10)/($G$10-$E$10),$E$10+SQRT(T402*($G$10-$E$10)*($F$10-$E$10)),$G$10-SQRT((1-T402)*($G$10-$E$10)*($G$10-$F$10))))</f>
        <v>1.03917308066001</v>
      </c>
      <c r="G402" s="52" t="n">
        <f aca="false">IF($G$11=$E$11,$F$11,IF(U402&lt;($F$11-$E$11)/($G$11-$E$11),$E$11+SQRT(U402*($G$11-$E$11)*($F$11-$E$11)),$G$11-SQRT((1-U402)*($G$11-$E$11)*($G$11-$F$11))))</f>
        <v>0.114082232276883</v>
      </c>
      <c r="H402" s="53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-2078346161.32001</v>
      </c>
      <c r="I402" s="53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-55800385.8184249</v>
      </c>
      <c r="J402" s="53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173207177.268743</v>
      </c>
      <c r="K402" s="53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454173394.388913</v>
      </c>
      <c r="L402" s="53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559642535.585959</v>
      </c>
      <c r="M402" s="53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719875613.176574</v>
      </c>
      <c r="N402" s="53" t="n">
        <f aca="false">IF(COUNT('Business Case'!B11:G11)=0,"",H402+NPV(G402,I402:M402))</f>
        <v>-877710040.35733</v>
      </c>
      <c r="P402" s="54" t="n">
        <f aca="true">RAND()</f>
        <v>0.272414206474759</v>
      </c>
      <c r="Q402" s="54" t="n">
        <f aca="true">RAND()</f>
        <v>0.225627019932223</v>
      </c>
      <c r="R402" s="54" t="n">
        <f aca="true">RAND()</f>
        <v>0.680236239478439</v>
      </c>
      <c r="S402" s="54" t="n">
        <f aca="true">RAND()</f>
        <v>0.167821296303517</v>
      </c>
      <c r="T402" s="54" t="n">
        <f aca="true">RAND()</f>
        <v>0.407360134421436</v>
      </c>
      <c r="U402" s="54" t="n">
        <f aca="true">RAND()</f>
        <v>0.831083113808606</v>
      </c>
    </row>
    <row r="403" customFormat="false" ht="15" hidden="false" customHeight="false" outlineLevel="0" collapsed="false">
      <c r="A403" s="50" t="n">
        <v>323</v>
      </c>
      <c r="B403" s="51" t="n">
        <f aca="false">1+IF($G$6=$E$6,$F$6,IF(P403&lt;($F$6-$E$6)/($G$6-$E$6),$E$6+SQRT(P403*($G$6-$E$6)*($F$6-$E$6)),$G$6-SQRT((1-P403)*($G$6-$E$6)*($G$6-$F$6))))</f>
        <v>0.988842731034179</v>
      </c>
      <c r="C403" s="51" t="n">
        <f aca="false">1+IF($G$7=$E$7,$F$7,IF(Q403&lt;($F$7-$E$7)/($G$7-$E$7),$E$7+SQRT(Q403*($G$7-$E$7)*($F$7-$E$7)),$G$7-SQRT((1-Q403)*($G$7-$E$7)*($G$7-$F$7))))</f>
        <v>0.855807031090697</v>
      </c>
      <c r="D403" s="51" t="n">
        <f aca="false">1+IF($G$8=$E$8,$F$8,IF(R403&lt;($F$8-$E$8)/($G$8-$E$8),$E$8+SQRT(R403*($G$8-$E$8)*($F$8-$E$8)),$G$8-SQRT((1-R403)*($G$8-$E$8)*($G$8-$F$8))))</f>
        <v>1.02396863603145</v>
      </c>
      <c r="E403" s="51" t="n">
        <f aca="false">1+IF($G$9=$E$9,$F$9,IF(S403&lt;($F$9-$E$9)/($G$9-$E$9),$E$9+SQRT(S403*($G$9-$E$9)*($F$9-$E$9)),$G$9-SQRT((1-S403)*($G$9-$E$9)*($G$9-$F$9))))</f>
        <v>0.967420286166538</v>
      </c>
      <c r="F403" s="51" t="n">
        <f aca="false">1+IF($G$10=$E$10,$F$10,IF(T403&lt;($F$10-$E$10)/($G$10-$E$10),$E$10+SQRT(T403*($G$10-$E$10)*($F$10-$E$10)),$G$10-SQRT((1-T403)*($G$10-$E$10)*($G$10-$F$10))))</f>
        <v>1.15655883025885</v>
      </c>
      <c r="G403" s="52" t="n">
        <f aca="false">IF($G$11=$E$11,$F$11,IF(U403&lt;($F$11-$E$11)/($G$11-$E$11),$E$11+SQRT(U403*($G$11-$E$11)*($F$11-$E$11)),$G$11-SQRT((1-U403)*($G$11-$E$11)*($G$11-$F$11))))</f>
        <v>0.107984417421718</v>
      </c>
      <c r="H403" s="53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-2313117660.51769</v>
      </c>
      <c r="I403" s="53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-52551907.0856299</v>
      </c>
      <c r="J403" s="53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191989277.394431</v>
      </c>
      <c r="K403" s="53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494358403.387435</v>
      </c>
      <c r="L403" s="53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605118827.445406</v>
      </c>
      <c r="M403" s="53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765975654.88413</v>
      </c>
      <c r="N403" s="53" t="n">
        <f aca="false">IF(COUNT('Business Case'!B11:G11)=0,"",H403+NPV(G403,I403:M403))</f>
        <v>-980472771.824219</v>
      </c>
      <c r="P403" s="54" t="n">
        <f aca="true">RAND()</f>
        <v>0.526202057174099</v>
      </c>
      <c r="Q403" s="54" t="n">
        <f aca="true">RAND()</f>
        <v>0.179820969905907</v>
      </c>
      <c r="R403" s="54" t="n">
        <f aca="true">RAND()</f>
        <v>0.614615446205483</v>
      </c>
      <c r="S403" s="54" t="n">
        <f aca="true">RAND()</f>
        <v>0.181819799471115</v>
      </c>
      <c r="T403" s="54" t="n">
        <f aca="true">RAND()</f>
        <v>0.883583303965401</v>
      </c>
      <c r="U403" s="54" t="n">
        <f aca="true">RAND()</f>
        <v>0.676876082492565</v>
      </c>
    </row>
    <row r="404" customFormat="false" ht="15" hidden="false" customHeight="false" outlineLevel="0" collapsed="false">
      <c r="A404" s="50" t="n">
        <v>324</v>
      </c>
      <c r="B404" s="51" t="n">
        <f aca="false">1+IF($G$6=$E$6,$F$6,IF(P404&lt;($F$6-$E$6)/($G$6-$E$6),$E$6+SQRT(P404*($G$6-$E$6)*($F$6-$E$6)),$G$6-SQRT((1-P404)*($G$6-$E$6)*($G$6-$F$6))))</f>
        <v>0.976967696586872</v>
      </c>
      <c r="C404" s="51" t="n">
        <f aca="false">1+IF($G$7=$E$7,$F$7,IF(Q404&lt;($F$7-$E$7)/($G$7-$E$7),$E$7+SQRT(Q404*($G$7-$E$7)*($F$7-$E$7)),$G$7-SQRT((1-Q404)*($G$7-$E$7)*($G$7-$F$7))))</f>
        <v>0.957667874599091</v>
      </c>
      <c r="D404" s="51" t="n">
        <f aca="false">1+IF($G$8=$E$8,$F$8,IF(R404&lt;($F$8-$E$8)/($G$8-$E$8),$E$8+SQRT(R404*($G$8-$E$8)*($F$8-$E$8)),$G$8-SQRT((1-R404)*($G$8-$E$8)*($G$8-$F$8))))</f>
        <v>1.04278322210765</v>
      </c>
      <c r="E404" s="51" t="n">
        <f aca="false">1+IF($G$9=$E$9,$F$9,IF(S404&lt;($F$9-$E$9)/($G$9-$E$9),$E$9+SQRT(S404*($G$9-$E$9)*($F$9-$E$9)),$G$9-SQRT((1-S404)*($G$9-$E$9)*($G$9-$F$9))))</f>
        <v>1.04180868940971</v>
      </c>
      <c r="F404" s="51" t="n">
        <f aca="false">1+IF($G$10=$E$10,$F$10,IF(T404&lt;($F$10-$E$10)/($G$10-$E$10),$E$10+SQRT(T404*($G$10-$E$10)*($F$10-$E$10)),$G$10-SQRT((1-T404)*($G$10-$E$10)*($G$10-$F$10))))</f>
        <v>0.992674692653376</v>
      </c>
      <c r="G404" s="52" t="n">
        <f aca="false">IF($G$11=$E$11,$F$11,IF(U404&lt;($F$11-$E$11)/($G$11-$E$11),$E$11+SQRT(U404*($G$11-$E$11)*($F$11-$E$11)),$G$11-SQRT((1-U404)*($G$11-$E$11)*($G$11-$F$11))))</f>
        <v>0.0941371308961988</v>
      </c>
      <c r="H404" s="53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-1985349385.30675</v>
      </c>
      <c r="I404" s="53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-40806074.9666034</v>
      </c>
      <c r="J404" s="53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214302567.305986</v>
      </c>
      <c r="K404" s="53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519044944.211244</v>
      </c>
      <c r="L404" s="53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636415859.86197</v>
      </c>
      <c r="M404" s="53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814256718.441214</v>
      </c>
      <c r="N404" s="53" t="n">
        <f aca="false">IF(COUNT('Business Case'!B11:G11)=0,"",H404+NPV(G404,I404:M404))</f>
        <v>-484009505.517914</v>
      </c>
      <c r="P404" s="54" t="n">
        <f aca="true">RAND()</f>
        <v>0.394935087859249</v>
      </c>
      <c r="Q404" s="54" t="n">
        <f aca="true">RAND()</f>
        <v>0.491798026669726</v>
      </c>
      <c r="R404" s="54" t="n">
        <f aca="true">RAND()</f>
        <v>0.78174935517447</v>
      </c>
      <c r="S404" s="54" t="n">
        <f aca="true">RAND()</f>
        <v>0.687857075006832</v>
      </c>
      <c r="T404" s="54" t="n">
        <f aca="true">RAND()</f>
        <v>0.121408626204009</v>
      </c>
      <c r="U404" s="54" t="n">
        <f aca="true">RAND()</f>
        <v>0.199858469976259</v>
      </c>
    </row>
    <row r="405" customFormat="false" ht="15" hidden="false" customHeight="false" outlineLevel="0" collapsed="false">
      <c r="A405" s="50" t="n">
        <v>325</v>
      </c>
      <c r="B405" s="51" t="n">
        <f aca="false">1+IF($G$6=$E$6,$F$6,IF(P405&lt;($F$6-$E$6)/($G$6-$E$6),$E$6+SQRT(P405*($G$6-$E$6)*($F$6-$E$6)),$G$6-SQRT((1-P405)*($G$6-$E$6)*($G$6-$F$6))))</f>
        <v>0.983065099638823</v>
      </c>
      <c r="C405" s="51" t="n">
        <f aca="false">1+IF($G$7=$E$7,$F$7,IF(Q405&lt;($F$7-$E$7)/($G$7-$E$7),$E$7+SQRT(Q405*($G$7-$E$7)*($F$7-$E$7)),$G$7-SQRT((1-Q405)*($G$7-$E$7)*($G$7-$F$7))))</f>
        <v>0.918215285915843</v>
      </c>
      <c r="D405" s="51" t="n">
        <f aca="false">1+IF($G$8=$E$8,$F$8,IF(R405&lt;($F$8-$E$8)/($G$8-$E$8),$E$8+SQRT(R405*($G$8-$E$8)*($F$8-$E$8)),$G$8-SQRT((1-R405)*($G$8-$E$8)*($G$8-$F$8))))</f>
        <v>1.03402308602996</v>
      </c>
      <c r="E405" s="51" t="n">
        <f aca="false">1+IF($G$9=$E$9,$F$9,IF(S405&lt;($F$9-$E$9)/($G$9-$E$9),$E$9+SQRT(S405*($G$9-$E$9)*($F$9-$E$9)),$G$9-SQRT((1-S405)*($G$9-$E$9)*($G$9-$F$9))))</f>
        <v>1.00235236294247</v>
      </c>
      <c r="F405" s="51" t="n">
        <f aca="false">1+IF($G$10=$E$10,$F$10,IF(T405&lt;($F$10-$E$10)/($G$10-$E$10),$E$10+SQRT(T405*($G$10-$E$10)*($F$10-$E$10)),$G$10-SQRT((1-T405)*($G$10-$E$10)*($G$10-$F$10))))</f>
        <v>1.05343774309682</v>
      </c>
      <c r="G405" s="52" t="n">
        <f aca="false">IF($G$11=$E$11,$F$11,IF(U405&lt;($F$11-$E$11)/($G$11-$E$11),$E$11+SQRT(U405*($G$11-$E$11)*($F$11-$E$11)),$G$11-SQRT((1-U405)*($G$11-$E$11)*($G$11-$F$11))))</f>
        <v>0.102275811858163</v>
      </c>
      <c r="H405" s="53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-2106875486.19363</v>
      </c>
      <c r="I405" s="53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-41369913.9367196</v>
      </c>
      <c r="J405" s="53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211932626.86243</v>
      </c>
      <c r="K405" s="53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517907054.816421</v>
      </c>
      <c r="L405" s="53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633537351.359984</v>
      </c>
      <c r="M405" s="53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805115990.884469</v>
      </c>
      <c r="N405" s="53" t="n">
        <f aca="false">IF(COUNT('Business Case'!B11:G11)=0,"",H405+NPV(G405,I405:M405))</f>
        <v>-659346149.626415</v>
      </c>
      <c r="P405" s="54" t="n">
        <f aca="true">RAND()</f>
        <v>0.45998738520051</v>
      </c>
      <c r="Q405" s="54" t="n">
        <f aca="true">RAND()</f>
        <v>0.352725266720986</v>
      </c>
      <c r="R405" s="54" t="n">
        <f aca="true">RAND()</f>
        <v>0.709803121532682</v>
      </c>
      <c r="S405" s="54" t="n">
        <f aca="true">RAND()</f>
        <v>0.418671340568713</v>
      </c>
      <c r="T405" s="54" t="n">
        <f aca="true">RAND()</f>
        <v>0.484843722148363</v>
      </c>
      <c r="U405" s="54" t="n">
        <f aca="true">RAND()</f>
        <v>0.48757959458401</v>
      </c>
    </row>
    <row r="406" customFormat="false" ht="15" hidden="false" customHeight="false" outlineLevel="0" collapsed="false">
      <c r="A406" s="50" t="n">
        <v>326</v>
      </c>
      <c r="B406" s="51" t="n">
        <f aca="false">1+IF($G$6=$E$6,$F$6,IF(P406&lt;($F$6-$E$6)/($G$6-$E$6),$E$6+SQRT(P406*($G$6-$E$6)*($F$6-$E$6)),$G$6-SQRT((1-P406)*($G$6-$E$6)*($G$6-$F$6))))</f>
        <v>0.936064246123566</v>
      </c>
      <c r="C406" s="51" t="n">
        <f aca="false">1+IF($G$7=$E$7,$F$7,IF(Q406&lt;($F$7-$E$7)/($G$7-$E$7),$E$7+SQRT(Q406*($G$7-$E$7)*($F$7-$E$7)),$G$7-SQRT((1-Q406)*($G$7-$E$7)*($G$7-$F$7))))</f>
        <v>0.855975517603887</v>
      </c>
      <c r="D406" s="51" t="n">
        <f aca="false">1+IF($G$8=$E$8,$F$8,IF(R406&lt;($F$8-$E$8)/($G$8-$E$8),$E$8+SQRT(R406*($G$8-$E$8)*($F$8-$E$8)),$G$8-SQRT((1-R406)*($G$8-$E$8)*($G$8-$F$8))))</f>
        <v>1.01559397499672</v>
      </c>
      <c r="E406" s="51" t="n">
        <f aca="false">1+IF($G$9=$E$9,$F$9,IF(S406&lt;($F$9-$E$9)/($G$9-$E$9),$E$9+SQRT(S406*($G$9-$E$9)*($F$9-$E$9)),$G$9-SQRT((1-S406)*($G$9-$E$9)*($G$9-$F$9))))</f>
        <v>0.924163029853414</v>
      </c>
      <c r="F406" s="51" t="n">
        <f aca="false">1+IF($G$10=$E$10,$F$10,IF(T406&lt;($F$10-$E$10)/($G$10-$E$10),$E$10+SQRT(T406*($G$10-$E$10)*($F$10-$E$10)),$G$10-SQRT((1-T406)*($G$10-$E$10)*($G$10-$F$10))))</f>
        <v>1.00137743122244</v>
      </c>
      <c r="G406" s="52" t="n">
        <f aca="false">IF($G$11=$E$11,$F$11,IF(U406&lt;($F$11-$E$11)/($G$11-$E$11),$E$11+SQRT(U406*($G$11-$E$11)*($F$11-$E$11)),$G$11-SQRT((1-U406)*($G$11-$E$11)*($G$11-$F$11))))</f>
        <v>0.0970287861335</v>
      </c>
      <c r="H406" s="53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-2002754862.44488</v>
      </c>
      <c r="I406" s="53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-61834687.1712586</v>
      </c>
      <c r="J406" s="53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149421051.966946</v>
      </c>
      <c r="K406" s="53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410745662.666273</v>
      </c>
      <c r="L406" s="53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508855375.940384</v>
      </c>
      <c r="M406" s="53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661156610.527952</v>
      </c>
      <c r="N406" s="53" t="n">
        <f aca="false">IF(COUNT('Business Case'!B11:G11)=0,"",H406+NPV(G406,I406:M406))</f>
        <v>-856397114.44745</v>
      </c>
      <c r="P406" s="54" t="n">
        <f aca="true">RAND()</f>
        <v>0.0867086565640741</v>
      </c>
      <c r="Q406" s="54" t="n">
        <f aca="true">RAND()</f>
        <v>0.180210089568893</v>
      </c>
      <c r="R406" s="54" t="n">
        <f aca="true">RAND()</f>
        <v>0.525041529543009</v>
      </c>
      <c r="S406" s="54" t="n">
        <f aca="true">RAND()</f>
        <v>0.0233540804678787</v>
      </c>
      <c r="T406" s="54" t="n">
        <f aca="true">RAND()</f>
        <v>0.17582424392597</v>
      </c>
      <c r="U406" s="54" t="n">
        <f aca="true">RAND()</f>
        <v>0.289979557180482</v>
      </c>
    </row>
    <row r="407" customFormat="false" ht="15" hidden="false" customHeight="false" outlineLevel="0" collapsed="false">
      <c r="A407" s="50" t="n">
        <v>327</v>
      </c>
      <c r="B407" s="51" t="n">
        <f aca="false">1+IF($G$6=$E$6,$F$6,IF(P407&lt;($F$6-$E$6)/($G$6-$E$6),$E$6+SQRT(P407*($G$6-$E$6)*($F$6-$E$6)),$G$6-SQRT((1-P407)*($G$6-$E$6)*($G$6-$F$6))))</f>
        <v>0.994285919140163</v>
      </c>
      <c r="C407" s="51" t="n">
        <f aca="false">1+IF($G$7=$E$7,$F$7,IF(Q407&lt;($F$7-$E$7)/($G$7-$E$7),$E$7+SQRT(Q407*($G$7-$E$7)*($F$7-$E$7)),$G$7-SQRT((1-Q407)*($G$7-$E$7)*($G$7-$F$7))))</f>
        <v>1.01825907353827</v>
      </c>
      <c r="D407" s="51" t="n">
        <f aca="false">1+IF($G$8=$E$8,$F$8,IF(R407&lt;($F$8-$E$8)/($G$8-$E$8),$E$8+SQRT(R407*($G$8-$E$8)*($F$8-$E$8)),$G$8-SQRT((1-R407)*($G$8-$E$8)*($G$8-$F$8))))</f>
        <v>1.07493973720841</v>
      </c>
      <c r="E407" s="51" t="n">
        <f aca="false">1+IF($G$9=$E$9,$F$9,IF(S407&lt;($F$9-$E$9)/($G$9-$E$9),$E$9+SQRT(S407*($G$9-$E$9)*($F$9-$E$9)),$G$9-SQRT((1-S407)*($G$9-$E$9)*($G$9-$F$9))))</f>
        <v>0.953923081436774</v>
      </c>
      <c r="F407" s="51" t="n">
        <f aca="false">1+IF($G$10=$E$10,$F$10,IF(T407&lt;($F$10-$E$10)/($G$10-$E$10),$E$10+SQRT(T407*($G$10-$E$10)*($F$10-$E$10)),$G$10-SQRT((1-T407)*($G$10-$E$10)*($G$10-$F$10))))</f>
        <v>1.02601046636398</v>
      </c>
      <c r="G407" s="52" t="n">
        <f aca="false">IF($G$11=$E$11,$F$11,IF(U407&lt;($F$11-$E$11)/($G$11-$E$11),$E$11+SQRT(U407*($G$11-$E$11)*($F$11-$E$11)),$G$11-SQRT((1-U407)*($G$11-$E$11)*($G$11-$F$11))))</f>
        <v>0.10250945906245</v>
      </c>
      <c r="H407" s="53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-2052020932.72796</v>
      </c>
      <c r="I407" s="53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-21802848.0208585</v>
      </c>
      <c r="J407" s="53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247128136.530076</v>
      </c>
      <c r="K407" s="53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567359644.399209</v>
      </c>
      <c r="L407" s="53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691993255.086243</v>
      </c>
      <c r="M407" s="53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884437975.521555</v>
      </c>
      <c r="N407" s="53" t="n">
        <f aca="false">IF(COUNT('Business Case'!B11:G11)=0,"",H407+NPV(G407,I407:M407))</f>
        <v>-433828439.740244</v>
      </c>
      <c r="P407" s="54" t="n">
        <f aca="true">RAND()</f>
        <v>0.592655636540357</v>
      </c>
      <c r="Q407" s="54" t="n">
        <f aca="true">RAND()</f>
        <v>0.742878937703768</v>
      </c>
      <c r="R407" s="54" t="n">
        <f aca="true">RAND()</f>
        <v>0.958132215254425</v>
      </c>
      <c r="S407" s="54" t="n">
        <f aca="true">RAND()</f>
        <v>0.11630794846548</v>
      </c>
      <c r="T407" s="54" t="n">
        <f aca="true">RAND()</f>
        <v>0.331049184286918</v>
      </c>
      <c r="U407" s="54" t="n">
        <f aca="true">RAND()</f>
        <v>0.496180105973913</v>
      </c>
    </row>
    <row r="408" customFormat="false" ht="15" hidden="false" customHeight="false" outlineLevel="0" collapsed="false">
      <c r="A408" s="50" t="n">
        <v>328</v>
      </c>
      <c r="B408" s="51" t="n">
        <f aca="false">1+IF($G$6=$E$6,$F$6,IF(P408&lt;($F$6-$E$6)/($G$6-$E$6),$E$6+SQRT(P408*($G$6-$E$6)*($F$6-$E$6)),$G$6-SQRT((1-P408)*($G$6-$E$6)*($G$6-$F$6))))</f>
        <v>0.996796193340856</v>
      </c>
      <c r="C408" s="51" t="n">
        <f aca="false">1+IF($G$7=$E$7,$F$7,IF(Q408&lt;($F$7-$E$7)/($G$7-$E$7),$E$7+SQRT(Q408*($G$7-$E$7)*($F$7-$E$7)),$G$7-SQRT((1-Q408)*($G$7-$E$7)*($G$7-$F$7))))</f>
        <v>1.05083206915</v>
      </c>
      <c r="D408" s="51" t="n">
        <f aca="false">1+IF($G$8=$E$8,$F$8,IF(R408&lt;($F$8-$E$8)/($G$8-$E$8),$E$8+SQRT(R408*($G$8-$E$8)*($F$8-$E$8)),$G$8-SQRT((1-R408)*($G$8-$E$8)*($G$8-$F$8))))</f>
        <v>0.968335820584427</v>
      </c>
      <c r="E408" s="51" t="n">
        <f aca="false">1+IF($G$9=$E$9,$F$9,IF(S408&lt;($F$9-$E$9)/($G$9-$E$9),$E$9+SQRT(S408*($G$9-$E$9)*($F$9-$E$9)),$G$9-SQRT((1-S408)*($G$9-$E$9)*($G$9-$F$9))))</f>
        <v>1.08986013478434</v>
      </c>
      <c r="F408" s="51" t="n">
        <f aca="false">1+IF($G$10=$E$10,$F$10,IF(T408&lt;($F$10-$E$10)/($G$10-$E$10),$E$10+SQRT(T408*($G$10-$E$10)*($F$10-$E$10)),$G$10-SQRT((1-T408)*($G$10-$E$10)*($G$10-$F$10))))</f>
        <v>1.08243576835436</v>
      </c>
      <c r="G408" s="52" t="n">
        <f aca="false">IF($G$11=$E$11,$F$11,IF(U408&lt;($F$11-$E$11)/($G$11-$E$11),$E$11+SQRT(U408*($G$11-$E$11)*($F$11-$E$11)),$G$11-SQRT((1-U408)*($G$11-$E$11)*($G$11-$F$11))))</f>
        <v>0.109377048412445</v>
      </c>
      <c r="H408" s="53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-2164871536.70872</v>
      </c>
      <c r="I408" s="53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19518828.328295</v>
      </c>
      <c r="J408" s="53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356559951.324539</v>
      </c>
      <c r="K408" s="53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747722862.738501</v>
      </c>
      <c r="L408" s="53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896270308.181369</v>
      </c>
      <c r="M408" s="53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1095372532.62403</v>
      </c>
      <c r="N408" s="53" t="n">
        <f aca="false">IF(COUNT('Business Case'!B11:G11)=0,"",H408+NPV(G408,I408:M408))</f>
        <v>-66304224.9677808</v>
      </c>
      <c r="P408" s="54" t="n">
        <f aca="true">RAND()</f>
        <v>0.624633536352026</v>
      </c>
      <c r="Q408" s="54" t="n">
        <f aca="true">RAND()</f>
        <v>0.854306985050805</v>
      </c>
      <c r="R408" s="54" t="n">
        <f aca="true">RAND()</f>
        <v>0.0448269755339066</v>
      </c>
      <c r="S408" s="54" t="n">
        <f aca="true">RAND()</f>
        <v>0.903551909649112</v>
      </c>
      <c r="T408" s="54" t="n">
        <f aca="true">RAND()</f>
        <v>0.625629710306756</v>
      </c>
      <c r="U408" s="54" t="n">
        <f aca="true">RAND()</f>
        <v>0.716462578544904</v>
      </c>
    </row>
    <row r="409" customFormat="false" ht="15" hidden="false" customHeight="false" outlineLevel="0" collapsed="false">
      <c r="A409" s="50" t="n">
        <v>329</v>
      </c>
      <c r="B409" s="51" t="n">
        <f aca="false">1+IF($G$6=$E$6,$F$6,IF(P409&lt;($F$6-$E$6)/($G$6-$E$6),$E$6+SQRT(P409*($G$6-$E$6)*($F$6-$E$6)),$G$6-SQRT((1-P409)*($G$6-$E$6)*($G$6-$F$6))))</f>
        <v>1.00256720612783</v>
      </c>
      <c r="C409" s="51" t="n">
        <f aca="false">1+IF($G$7=$E$7,$F$7,IF(Q409&lt;($F$7-$E$7)/($G$7-$E$7),$E$7+SQRT(Q409*($G$7-$E$7)*($F$7-$E$7)),$G$7-SQRT((1-Q409)*($G$7-$E$7)*($G$7-$F$7))))</f>
        <v>1.04585943111653</v>
      </c>
      <c r="D409" s="51" t="n">
        <f aca="false">1+IF($G$8=$E$8,$F$8,IF(R409&lt;($F$8-$E$8)/($G$8-$E$8),$E$8+SQRT(R409*($G$8-$E$8)*($F$8-$E$8)),$G$8-SQRT((1-R409)*($G$8-$E$8)*($G$8-$F$8))))</f>
        <v>1.00149378338231</v>
      </c>
      <c r="E409" s="51" t="n">
        <f aca="false">1+IF($G$9=$E$9,$F$9,IF(S409&lt;($F$9-$E$9)/($G$9-$E$9),$E$9+SQRT(S409*($G$9-$E$9)*($F$9-$E$9)),$G$9-SQRT((1-S409)*($G$9-$E$9)*($G$9-$F$9))))</f>
        <v>0.976546413652888</v>
      </c>
      <c r="F409" s="51" t="n">
        <f aca="false">1+IF($G$10=$E$10,$F$10,IF(T409&lt;($F$10-$E$10)/($G$10-$E$10),$E$10+SQRT(T409*($G$10-$E$10)*($F$10-$E$10)),$G$10-SQRT((1-T409)*($G$10-$E$10)*($G$10-$F$10))))</f>
        <v>1.09655383767458</v>
      </c>
      <c r="G409" s="52" t="n">
        <f aca="false">IF($G$11=$E$11,$F$11,IF(U409&lt;($F$11-$E$11)/($G$11-$E$11),$E$11+SQRT(U409*($G$11-$E$11)*($F$11-$E$11)),$G$11-SQRT((1-U409)*($G$11-$E$11)*($G$11-$F$11))))</f>
        <v>0.0951849335981055</v>
      </c>
      <c r="H409" s="53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-2193107675.34917</v>
      </c>
      <c r="I409" s="53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19760382.4880602</v>
      </c>
      <c r="J409" s="53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342397588.794723</v>
      </c>
      <c r="K409" s="53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719862486.985116</v>
      </c>
      <c r="L409" s="53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863645915.773806</v>
      </c>
      <c r="M409" s="53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1062953229.21605</v>
      </c>
      <c r="N409" s="53" t="n">
        <f aca="false">IF(COUNT('Business Case'!B11:G11)=0,"",H409+NPV(G409,I409:M409))</f>
        <v>-66617824.2932832</v>
      </c>
      <c r="P409" s="54" t="n">
        <f aca="true">RAND()</f>
        <v>0.700017342063985</v>
      </c>
      <c r="Q409" s="54" t="n">
        <f aca="true">RAND()</f>
        <v>0.839329509816714</v>
      </c>
      <c r="R409" s="54" t="n">
        <f aca="true">RAND()</f>
        <v>0.353101685844547</v>
      </c>
      <c r="S409" s="54" t="n">
        <f aca="true">RAND()</f>
        <v>0.234374137724762</v>
      </c>
      <c r="T409" s="54" t="n">
        <f aca="true">RAND()</f>
        <v>0.686057003568029</v>
      </c>
      <c r="U409" s="54" t="n">
        <f aca="true">RAND()</f>
        <v>0.230582208378873</v>
      </c>
    </row>
    <row r="410" customFormat="false" ht="15" hidden="false" customHeight="false" outlineLevel="0" collapsed="false">
      <c r="A410" s="50" t="n">
        <v>330</v>
      </c>
      <c r="B410" s="51" t="n">
        <f aca="false">1+IF($G$6=$E$6,$F$6,IF(P410&lt;($F$6-$E$6)/($G$6-$E$6),$E$6+SQRT(P410*($G$6-$E$6)*($F$6-$E$6)),$G$6-SQRT((1-P410)*($G$6-$E$6)*($G$6-$F$6))))</f>
        <v>0.935203289817165</v>
      </c>
      <c r="C410" s="51" t="n">
        <f aca="false">1+IF($G$7=$E$7,$F$7,IF(Q410&lt;($F$7-$E$7)/($G$7-$E$7),$E$7+SQRT(Q410*($G$7-$E$7)*($F$7-$E$7)),$G$7-SQRT((1-Q410)*($G$7-$E$7)*($G$7-$F$7))))</f>
        <v>0.718419047380637</v>
      </c>
      <c r="D410" s="51" t="n">
        <f aca="false">1+IF($G$8=$E$8,$F$8,IF(R410&lt;($F$8-$E$8)/($G$8-$E$8),$E$8+SQRT(R410*($G$8-$E$8)*($F$8-$E$8)),$G$8-SQRT((1-R410)*($G$8-$E$8)*($G$8-$F$8))))</f>
        <v>0.980185568684955</v>
      </c>
      <c r="E410" s="51" t="n">
        <f aca="false">1+IF($G$9=$E$9,$F$9,IF(S410&lt;($F$9-$E$9)/($G$9-$E$9),$E$9+SQRT(S410*($G$9-$E$9)*($F$9-$E$9)),$G$9-SQRT((1-S410)*($G$9-$E$9)*($G$9-$F$9))))</f>
        <v>1.01012204100825</v>
      </c>
      <c r="F410" s="51" t="n">
        <f aca="false">1+IF($G$10=$E$10,$F$10,IF(T410&lt;($F$10-$E$10)/($G$10-$E$10),$E$10+SQRT(T410*($G$10-$E$10)*($F$10-$E$10)),$G$10-SQRT((1-T410)*($G$10-$E$10)*($G$10-$F$10))))</f>
        <v>1.19231936400747</v>
      </c>
      <c r="G410" s="52" t="n">
        <f aca="false">IF($G$11=$E$11,$F$11,IF(U410&lt;($F$11-$E$11)/($G$11-$E$11),$E$11+SQRT(U410*($G$11-$E$11)*($F$11-$E$11)),$G$11-SQRT((1-U410)*($G$11-$E$11)*($G$11-$F$11))))</f>
        <v>0.099210003063368</v>
      </c>
      <c r="H410" s="53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-2384638728.01493</v>
      </c>
      <c r="I410" s="53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-107878635.621285</v>
      </c>
      <c r="J410" s="53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81943649.0745368</v>
      </c>
      <c r="K410" s="53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331381901.970732</v>
      </c>
      <c r="L410" s="53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417875749.992664</v>
      </c>
      <c r="M410" s="53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545584392.17095</v>
      </c>
      <c r="N410" s="53" t="n">
        <f aca="false">IF(COUNT('Business Case'!B11:G11)=0,"",H410+NPV(G410,I410:M410))</f>
        <v>-1539231750.42681</v>
      </c>
      <c r="P410" s="54" t="n">
        <f aca="true">RAND()</f>
        <v>0.0826181075967558</v>
      </c>
      <c r="Q410" s="54" t="n">
        <f aca="true">RAND()</f>
        <v>0.00251304671414914</v>
      </c>
      <c r="R410" s="54" t="n">
        <f aca="true">RAND()</f>
        <v>0.121489140911218</v>
      </c>
      <c r="S410" s="54" t="n">
        <f aca="true">RAND()</f>
        <v>0.478244175688029</v>
      </c>
      <c r="T410" s="54" t="n">
        <f aca="true">RAND()</f>
        <v>0.955639256419959</v>
      </c>
      <c r="U410" s="54" t="n">
        <f aca="true">RAND()</f>
        <v>0.369024217694608</v>
      </c>
    </row>
    <row r="411" customFormat="false" ht="15" hidden="false" customHeight="false" outlineLevel="0" collapsed="false">
      <c r="A411" s="50" t="n">
        <v>331</v>
      </c>
      <c r="B411" s="51" t="n">
        <f aca="false">1+IF($G$6=$E$6,$F$6,IF(P411&lt;($F$6-$E$6)/($G$6-$E$6),$E$6+SQRT(P411*($G$6-$E$6)*($F$6-$E$6)),$G$6-SQRT((1-P411)*($G$6-$E$6)*($G$6-$F$6))))</f>
        <v>0.994813440476577</v>
      </c>
      <c r="C411" s="51" t="n">
        <f aca="false">1+IF($G$7=$E$7,$F$7,IF(Q411&lt;($F$7-$E$7)/($G$7-$E$7),$E$7+SQRT(Q411*($G$7-$E$7)*($F$7-$E$7)),$G$7-SQRT((1-Q411)*($G$7-$E$7)*($G$7-$F$7))))</f>
        <v>0.971928674450455</v>
      </c>
      <c r="D411" s="51" t="n">
        <f aca="false">1+IF($G$8=$E$8,$F$8,IF(R411&lt;($F$8-$E$8)/($G$8-$E$8),$E$8+SQRT(R411*($G$8-$E$8)*($F$8-$E$8)),$G$8-SQRT((1-R411)*($G$8-$E$8)*($G$8-$F$8))))</f>
        <v>0.989782476327759</v>
      </c>
      <c r="E411" s="51" t="n">
        <f aca="false">1+IF($G$9=$E$9,$F$9,IF(S411&lt;($F$9-$E$9)/($G$9-$E$9),$E$9+SQRT(S411*($G$9-$E$9)*($F$9-$E$9)),$G$9-SQRT((1-S411)*($G$9-$E$9)*($G$9-$F$9))))</f>
        <v>1.01016583722865</v>
      </c>
      <c r="F411" s="51" t="n">
        <f aca="false">1+IF($G$10=$E$10,$F$10,IF(T411&lt;($F$10-$E$10)/($G$10-$E$10),$E$10+SQRT(T411*($G$10-$E$10)*($F$10-$E$10)),$G$10-SQRT((1-T411)*($G$10-$E$10)*($G$10-$F$10))))</f>
        <v>1.13019236744715</v>
      </c>
      <c r="G411" s="52" t="n">
        <f aca="false">IF($G$11=$E$11,$F$11,IF(U411&lt;($F$11-$E$11)/($G$11-$E$11),$E$11+SQRT(U411*($G$11-$E$11)*($F$11-$E$11)),$G$11-SQRT((1-U411)*($G$11-$E$11)*($G$11-$F$11))))</f>
        <v>0.0914943544722042</v>
      </c>
      <c r="H411" s="53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-2260384734.89431</v>
      </c>
      <c r="I411" s="53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-7303629.32003935</v>
      </c>
      <c r="J411" s="53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292181018.968636</v>
      </c>
      <c r="K411" s="53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648175285.629669</v>
      </c>
      <c r="L411" s="53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781419140.932618</v>
      </c>
      <c r="M411" s="53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965205156.569601</v>
      </c>
      <c r="N411" s="53" t="n">
        <f aca="false">IF(COUNT('Business Case'!B11:G11)=0,"",H411+NPV(G411,I411:M411))</f>
        <v>-349782560.904848</v>
      </c>
      <c r="P411" s="54" t="n">
        <f aca="true">RAND()</f>
        <v>0.599305899667023</v>
      </c>
      <c r="Q411" s="54" t="n">
        <f aca="true">RAND()</f>
        <v>0.547742251765788</v>
      </c>
      <c r="R411" s="54" t="n">
        <f aca="true">RAND()</f>
        <v>0.211019389702489</v>
      </c>
      <c r="S411" s="54" t="n">
        <f aca="true">RAND()</f>
        <v>0.478570851254256</v>
      </c>
      <c r="T411" s="54" t="n">
        <f aca="true">RAND()</f>
        <v>0.808615082427761</v>
      </c>
      <c r="U411" s="54" t="n">
        <f aca="true">RAND()</f>
        <v>0.132120184732681</v>
      </c>
    </row>
    <row r="412" customFormat="false" ht="15" hidden="false" customHeight="false" outlineLevel="0" collapsed="false">
      <c r="A412" s="50" t="n">
        <v>332</v>
      </c>
      <c r="B412" s="51" t="n">
        <f aca="false">1+IF($G$6=$E$6,$F$6,IF(P412&lt;($F$6-$E$6)/($G$6-$E$6),$E$6+SQRT(P412*($G$6-$E$6)*($F$6-$E$6)),$G$6-SQRT((1-P412)*($G$6-$E$6)*($G$6-$F$6))))</f>
        <v>0.999652436679803</v>
      </c>
      <c r="C412" s="51" t="n">
        <f aca="false">1+IF($G$7=$E$7,$F$7,IF(Q412&lt;($F$7-$E$7)/($G$7-$E$7),$E$7+SQRT(Q412*($G$7-$E$7)*($F$7-$E$7)),$G$7-SQRT((1-Q412)*($G$7-$E$7)*($G$7-$F$7))))</f>
        <v>1.01628176612239</v>
      </c>
      <c r="D412" s="51" t="n">
        <f aca="false">1+IF($G$8=$E$8,$F$8,IF(R412&lt;($F$8-$E$8)/($G$8-$E$8),$E$8+SQRT(R412*($G$8-$E$8)*($F$8-$E$8)),$G$8-SQRT((1-R412)*($G$8-$E$8)*($G$8-$F$8))))</f>
        <v>1.00611303889952</v>
      </c>
      <c r="E412" s="51" t="n">
        <f aca="false">1+IF($G$9=$E$9,$F$9,IF(S412&lt;($F$9-$E$9)/($G$9-$E$9),$E$9+SQRT(S412*($G$9-$E$9)*($F$9-$E$9)),$G$9-SQRT((1-S412)*($G$9-$E$9)*($G$9-$F$9))))</f>
        <v>0.965877011194477</v>
      </c>
      <c r="F412" s="51" t="n">
        <f aca="false">1+IF($G$10=$E$10,$F$10,IF(T412&lt;($F$10-$E$10)/($G$10-$E$10),$E$10+SQRT(T412*($G$10-$E$10)*($F$10-$E$10)),$G$10-SQRT((1-T412)*($G$10-$E$10)*($G$10-$F$10))))</f>
        <v>1.07358784075093</v>
      </c>
      <c r="G412" s="52" t="n">
        <f aca="false">IF($G$11=$E$11,$F$11,IF(U412&lt;($F$11-$E$11)/($G$11-$E$11),$E$11+SQRT(U412*($G$11-$E$11)*($F$11-$E$11)),$G$11-SQRT((1-U412)*($G$11-$E$11)*($G$11-$F$11))))</f>
        <v>0.0997258901768997</v>
      </c>
      <c r="H412" s="53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-2147175681.50185</v>
      </c>
      <c r="I412" s="53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11311092.961934</v>
      </c>
      <c r="J412" s="53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319994416.704388</v>
      </c>
      <c r="K412" s="53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682357132.484388</v>
      </c>
      <c r="L412" s="53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820362064.207588</v>
      </c>
      <c r="M412" s="53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1013469761.82402</v>
      </c>
      <c r="N412" s="53" t="n">
        <f aca="false">IF(COUNT('Business Case'!B11:G11)=0,"",H412+NPV(G412,I412:M412))</f>
        <v>-168304989.700165</v>
      </c>
      <c r="P412" s="54" t="n">
        <f aca="true">RAND()</f>
        <v>0.662040542414813</v>
      </c>
      <c r="Q412" s="54" t="n">
        <f aca="true">RAND()</f>
        <v>0.735102724868924</v>
      </c>
      <c r="R412" s="54" t="n">
        <f aca="true">RAND()</f>
        <v>0.412349235687812</v>
      </c>
      <c r="S412" s="54" t="n">
        <f aca="true">RAND()</f>
        <v>0.173591224156689</v>
      </c>
      <c r="T412" s="54" t="n">
        <f aca="true">RAND()</f>
        <v>0.585050000921063</v>
      </c>
      <c r="U412" s="54" t="n">
        <f aca="true">RAND()</f>
        <v>0.389110743271107</v>
      </c>
    </row>
    <row r="413" customFormat="false" ht="15" hidden="false" customHeight="false" outlineLevel="0" collapsed="false">
      <c r="A413" s="50" t="n">
        <v>333</v>
      </c>
      <c r="B413" s="51" t="n">
        <f aca="false">1+IF($G$6=$E$6,$F$6,IF(P413&lt;($F$6-$E$6)/($G$6-$E$6),$E$6+SQRT(P413*($G$6-$E$6)*($F$6-$E$6)),$G$6-SQRT((1-P413)*($G$6-$E$6)*($G$6-$F$6))))</f>
        <v>0.965203422461996</v>
      </c>
      <c r="C413" s="51" t="n">
        <f aca="false">1+IF($G$7=$E$7,$F$7,IF(Q413&lt;($F$7-$E$7)/($G$7-$E$7),$E$7+SQRT(Q413*($G$7-$E$7)*($F$7-$E$7)),$G$7-SQRT((1-Q413)*($G$7-$E$7)*($G$7-$F$7))))</f>
        <v>1.02501228193054</v>
      </c>
      <c r="D413" s="51" t="n">
        <f aca="false">1+IF($G$8=$E$8,$F$8,IF(R413&lt;($F$8-$E$8)/($G$8-$E$8),$E$8+SQRT(R413*($G$8-$E$8)*($F$8-$E$8)),$G$8-SQRT((1-R413)*($G$8-$E$8)*($G$8-$F$8))))</f>
        <v>1.04455270334785</v>
      </c>
      <c r="E413" s="51" t="n">
        <f aca="false">1+IF($G$9=$E$9,$F$9,IF(S413&lt;($F$9-$E$9)/($G$9-$E$9),$E$9+SQRT(S413*($G$9-$E$9)*($F$9-$E$9)),$G$9-SQRT((1-S413)*($G$9-$E$9)*($G$9-$F$9))))</f>
        <v>1.01374979579538</v>
      </c>
      <c r="F413" s="51" t="n">
        <f aca="false">1+IF($G$10=$E$10,$F$10,IF(T413&lt;($F$10-$E$10)/($G$10-$E$10),$E$10+SQRT(T413*($G$10-$E$10)*($F$10-$E$10)),$G$10-SQRT((1-T413)*($G$10-$E$10)*($G$10-$F$10))))</f>
        <v>0.988200464884097</v>
      </c>
      <c r="G413" s="52" t="n">
        <f aca="false">IF($G$11=$E$11,$F$11,IF(U413&lt;($F$11-$E$11)/($G$11-$E$11),$E$11+SQRT(U413*($G$11-$E$11)*($F$11-$E$11)),$G$11-SQRT((1-U413)*($G$11-$E$11)*($G$11-$F$11))))</f>
        <v>0.113340511027928</v>
      </c>
      <c r="H413" s="53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-1976400929.76819</v>
      </c>
      <c r="I413" s="53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-32020019.1040529</v>
      </c>
      <c r="J413" s="53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230222892.83881</v>
      </c>
      <c r="K413" s="53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541875828.025879</v>
      </c>
      <c r="L413" s="53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663481907.737769</v>
      </c>
      <c r="M413" s="53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851536674.257914</v>
      </c>
      <c r="N413" s="53" t="n">
        <f aca="false">IF(COUNT('Business Case'!B11:G11)=0,"",H413+NPV(G413,I413:M413))</f>
        <v>-497123777.744184</v>
      </c>
      <c r="P413" s="54" t="n">
        <f aca="true">RAND()</f>
        <v>0.283432420050497</v>
      </c>
      <c r="Q413" s="54" t="n">
        <f aca="true">RAND()</f>
        <v>0.768564004915401</v>
      </c>
      <c r="R413" s="54" t="n">
        <f aca="true">RAND()</f>
        <v>0.795039819597906</v>
      </c>
      <c r="S413" s="54" t="n">
        <f aca="true">RAND()</f>
        <v>0.504956849445331</v>
      </c>
      <c r="T413" s="54" t="n">
        <f aca="true">RAND()</f>
        <v>0.0972850344907398</v>
      </c>
      <c r="U413" s="54" t="n">
        <f aca="true">RAND()</f>
        <v>0.814974284792933</v>
      </c>
    </row>
    <row r="414" customFormat="false" ht="15" hidden="false" customHeight="false" outlineLevel="0" collapsed="false">
      <c r="A414" s="50" t="n">
        <v>334</v>
      </c>
      <c r="B414" s="51" t="n">
        <f aca="false">1+IF($G$6=$E$6,$F$6,IF(P414&lt;($F$6-$E$6)/($G$6-$E$6),$E$6+SQRT(P414*($G$6-$E$6)*($F$6-$E$6)),$G$6-SQRT((1-P414)*($G$6-$E$6)*($G$6-$F$6))))</f>
        <v>1.00919759478661</v>
      </c>
      <c r="C414" s="51" t="n">
        <f aca="false">1+IF($G$7=$E$7,$F$7,IF(Q414&lt;($F$7-$E$7)/($G$7-$E$7),$E$7+SQRT(Q414*($G$7-$E$7)*($F$7-$E$7)),$G$7-SQRT((1-Q414)*($G$7-$E$7)*($G$7-$F$7))))</f>
        <v>0.952394395035738</v>
      </c>
      <c r="D414" s="51" t="n">
        <f aca="false">1+IF($G$8=$E$8,$F$8,IF(R414&lt;($F$8-$E$8)/($G$8-$E$8),$E$8+SQRT(R414*($G$8-$E$8)*($F$8-$E$8)),$G$8-SQRT((1-R414)*($G$8-$E$8)*($G$8-$F$8))))</f>
        <v>1.01844627394909</v>
      </c>
      <c r="E414" s="51" t="n">
        <f aca="false">1+IF($G$9=$E$9,$F$9,IF(S414&lt;($F$9-$E$9)/($G$9-$E$9),$E$9+SQRT(S414*($G$9-$E$9)*($F$9-$E$9)),$G$9-SQRT((1-S414)*($G$9-$E$9)*($G$9-$F$9))))</f>
        <v>1.12017959078656</v>
      </c>
      <c r="F414" s="51" t="n">
        <f aca="false">1+IF($G$10=$E$10,$F$10,IF(T414&lt;($F$10-$E$10)/($G$10-$E$10),$E$10+SQRT(T414*($G$10-$E$10)*($F$10-$E$10)),$G$10-SQRT((1-T414)*($G$10-$E$10)*($G$10-$F$10))))</f>
        <v>1.1264049975124</v>
      </c>
      <c r="G414" s="52" t="n">
        <f aca="false">IF($G$11=$E$11,$F$11,IF(U414&lt;($F$11-$E$11)/($G$11-$E$11),$E$11+SQRT(U414*($G$11-$E$11)*($F$11-$E$11)),$G$11-SQRT((1-U414)*($G$11-$E$11)*($G$11-$F$11))))</f>
        <v>0.0948586007946944</v>
      </c>
      <c r="H414" s="53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-2252809995.02479</v>
      </c>
      <c r="I414" s="53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-31045044.7273405</v>
      </c>
      <c r="J414" s="53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259666178.348598</v>
      </c>
      <c r="K414" s="53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606697651.300157</v>
      </c>
      <c r="L414" s="53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736818879.153597</v>
      </c>
      <c r="M414" s="53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919515056.708299</v>
      </c>
      <c r="N414" s="53" t="n">
        <f aca="false">IF(COUNT('Business Case'!B11:G11)=0,"",H414+NPV(G414,I414:M414))</f>
        <v>-505016489.874038</v>
      </c>
      <c r="P414" s="54" t="n">
        <f aca="true">RAND()</f>
        <v>0.778021830507025</v>
      </c>
      <c r="Q414" s="54" t="n">
        <f aca="true">RAND()</f>
        <v>0.471873560336714</v>
      </c>
      <c r="R414" s="54" t="n">
        <f aca="true">RAND()</f>
        <v>0.556599317814157</v>
      </c>
      <c r="S414" s="54" t="n">
        <f aca="true">RAND()</f>
        <v>0.976286485182475</v>
      </c>
      <c r="T414" s="54" t="n">
        <f aca="true">RAND()</f>
        <v>0.796323671467854</v>
      </c>
      <c r="U414" s="54" t="n">
        <f aca="true">RAND()</f>
        <v>0.220778017576093</v>
      </c>
    </row>
    <row r="415" customFormat="false" ht="15" hidden="false" customHeight="false" outlineLevel="0" collapsed="false">
      <c r="A415" s="50" t="n">
        <v>335</v>
      </c>
      <c r="B415" s="51" t="n">
        <f aca="false">1+IF($G$6=$E$6,$F$6,IF(P415&lt;($F$6-$E$6)/($G$6-$E$6),$E$6+SQRT(P415*($G$6-$E$6)*($F$6-$E$6)),$G$6-SQRT((1-P415)*($G$6-$E$6)*($G$6-$F$6))))</f>
        <v>0.976499304547503</v>
      </c>
      <c r="C415" s="51" t="n">
        <f aca="false">1+IF($G$7=$E$7,$F$7,IF(Q415&lt;($F$7-$E$7)/($G$7-$E$7),$E$7+SQRT(Q415*($G$7-$E$7)*($F$7-$E$7)),$G$7-SQRT((1-Q415)*($G$7-$E$7)*($G$7-$F$7))))</f>
        <v>1.02494001429664</v>
      </c>
      <c r="D415" s="51" t="n">
        <f aca="false">1+IF($G$8=$E$8,$F$8,IF(R415&lt;($F$8-$E$8)/($G$8-$E$8),$E$8+SQRT(R415*($G$8-$E$8)*($F$8-$E$8)),$G$8-SQRT((1-R415)*($G$8-$E$8)*($G$8-$F$8))))</f>
        <v>1.03242898089076</v>
      </c>
      <c r="E415" s="51" t="n">
        <f aca="false">1+IF($G$9=$E$9,$F$9,IF(S415&lt;($F$9-$E$9)/($G$9-$E$9),$E$9+SQRT(S415*($G$9-$E$9)*($F$9-$E$9)),$G$9-SQRT((1-S415)*($G$9-$E$9)*($G$9-$F$9))))</f>
        <v>1.09038317571918</v>
      </c>
      <c r="F415" s="51" t="n">
        <f aca="false">1+IF($G$10=$E$10,$F$10,IF(T415&lt;($F$10-$E$10)/($G$10-$E$10),$E$10+SQRT(T415*($G$10-$E$10)*($F$10-$E$10)),$G$10-SQRT((1-T415)*($G$10-$E$10)*($G$10-$F$10))))</f>
        <v>1.03772883081623</v>
      </c>
      <c r="G415" s="52" t="n">
        <f aca="false">IF($G$11=$E$11,$F$11,IF(U415&lt;($F$11-$E$11)/($G$11-$E$11),$E$11+SQRT(U415*($G$11-$E$11)*($F$11-$E$11)),$G$11-SQRT((1-U415)*($G$11-$E$11)*($G$11-$F$11))))</f>
        <v>0.0960652470010909</v>
      </c>
      <c r="H415" s="53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-2075457661.63245</v>
      </c>
      <c r="I415" s="53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-32641126.0499145</v>
      </c>
      <c r="J415" s="53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245427349.035781</v>
      </c>
      <c r="K415" s="53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575382265.662287</v>
      </c>
      <c r="L415" s="53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702661244.335332</v>
      </c>
      <c r="M415" s="53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892903422.713304</v>
      </c>
      <c r="N415" s="53" t="n">
        <f aca="false">IF(COUNT('Business Case'!B11:G11)=0,"",H415+NPV(G415,I415:M415))</f>
        <v>-412679023.90262</v>
      </c>
      <c r="P415" s="54" t="n">
        <f aca="true">RAND()</f>
        <v>0.390142906416779</v>
      </c>
      <c r="Q415" s="54" t="n">
        <f aca="true">RAND()</f>
        <v>0.768296295938882</v>
      </c>
      <c r="R415" s="54" t="n">
        <f aca="true">RAND()</f>
        <v>0.695610491769223</v>
      </c>
      <c r="S415" s="54" t="n">
        <f aca="true">RAND()</f>
        <v>0.905222247004526</v>
      </c>
      <c r="T415" s="54" t="n">
        <f aca="true">RAND()</f>
        <v>0.399212676444717</v>
      </c>
      <c r="U415" s="54" t="n">
        <f aca="true">RAND()</f>
        <v>0.258092161206059</v>
      </c>
    </row>
    <row r="416" customFormat="false" ht="15" hidden="false" customHeight="false" outlineLevel="0" collapsed="false">
      <c r="A416" s="50" t="n">
        <v>336</v>
      </c>
      <c r="B416" s="51" t="n">
        <f aca="false">1+IF($G$6=$E$6,$F$6,IF(P416&lt;($F$6-$E$6)/($G$6-$E$6),$E$6+SQRT(P416*($G$6-$E$6)*($F$6-$E$6)),$G$6-SQRT((1-P416)*($G$6-$E$6)*($G$6-$F$6))))</f>
        <v>0.998927610497315</v>
      </c>
      <c r="C416" s="51" t="n">
        <f aca="false">1+IF($G$7=$E$7,$F$7,IF(Q416&lt;($F$7-$E$7)/($G$7-$E$7),$E$7+SQRT(Q416*($G$7-$E$7)*($F$7-$E$7)),$G$7-SQRT((1-Q416)*($G$7-$E$7)*($G$7-$F$7))))</f>
        <v>0.886012896081725</v>
      </c>
      <c r="D416" s="51" t="n">
        <f aca="false">1+IF($G$8=$E$8,$F$8,IF(R416&lt;($F$8-$E$8)/($G$8-$E$8),$E$8+SQRT(R416*($G$8-$E$8)*($F$8-$E$8)),$G$8-SQRT((1-R416)*($G$8-$E$8)*($G$8-$F$8))))</f>
        <v>1.03708640135125</v>
      </c>
      <c r="E416" s="51" t="n">
        <f aca="false">1+IF($G$9=$E$9,$F$9,IF(S416&lt;($F$9-$E$9)/($G$9-$E$9),$E$9+SQRT(S416*($G$9-$E$9)*($F$9-$E$9)),$G$9-SQRT((1-S416)*($G$9-$E$9)*($G$9-$F$9))))</f>
        <v>0.924044986355199</v>
      </c>
      <c r="F416" s="51" t="n">
        <f aca="false">1+IF($G$10=$E$10,$F$10,IF(T416&lt;($F$10-$E$10)/($G$10-$E$10),$E$10+SQRT(T416*($G$10-$E$10)*($F$10-$E$10)),$G$10-SQRT((1-T416)*($G$10-$E$10)*($G$10-$F$10))))</f>
        <v>1.0205519107978</v>
      </c>
      <c r="G416" s="52" t="n">
        <f aca="false">IF($G$11=$E$11,$F$11,IF(U416&lt;($F$11-$E$11)/($G$11-$E$11),$E$11+SQRT(U416*($G$11-$E$11)*($F$11-$E$11)),$G$11-SQRT((1-U416)*($G$11-$E$11)*($G$11-$F$11))))</f>
        <v>0.105204825342487</v>
      </c>
      <c r="H416" s="53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-2041103821.5956</v>
      </c>
      <c r="I416" s="53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-24794844.3818749</v>
      </c>
      <c r="J416" s="53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229746352.084457</v>
      </c>
      <c r="K416" s="53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535315144.090678</v>
      </c>
      <c r="L416" s="53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650749978.051934</v>
      </c>
      <c r="M416" s="53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818982704.650563</v>
      </c>
      <c r="N416" s="53" t="n">
        <f aca="false">IF(COUNT('Business Case'!B11:G11)=0,"",H416+NPV(G416,I416:M416))</f>
        <v>-546095707.505156</v>
      </c>
      <c r="P416" s="54" t="n">
        <f aca="true">RAND()</f>
        <v>0.652444807913893</v>
      </c>
      <c r="Q416" s="54" t="n">
        <f aca="true">RAND()</f>
        <v>0.256302203768226</v>
      </c>
      <c r="R416" s="54" t="n">
        <f aca="true">RAND()</f>
        <v>0.736125273670922</v>
      </c>
      <c r="S416" s="54" t="n">
        <f aca="true">RAND()</f>
        <v>0.023126454752868</v>
      </c>
      <c r="T416" s="54" t="n">
        <f aca="true">RAND()</f>
        <v>0.298047658152797</v>
      </c>
      <c r="U416" s="54" t="n">
        <f aca="true">RAND()</f>
        <v>0.590132875802289</v>
      </c>
    </row>
    <row r="417" customFormat="false" ht="15" hidden="false" customHeight="false" outlineLevel="0" collapsed="false">
      <c r="A417" s="50" t="n">
        <v>337</v>
      </c>
      <c r="B417" s="51" t="n">
        <f aca="false">1+IF($G$6=$E$6,$F$6,IF(P417&lt;($F$6-$E$6)/($G$6-$E$6),$E$6+SQRT(P417*($G$6-$E$6)*($F$6-$E$6)),$G$6-SQRT((1-P417)*($G$6-$E$6)*($G$6-$F$6))))</f>
        <v>0.974324592505608</v>
      </c>
      <c r="C417" s="51" t="n">
        <f aca="false">1+IF($G$7=$E$7,$F$7,IF(Q417&lt;($F$7-$E$7)/($G$7-$E$7),$E$7+SQRT(Q417*($G$7-$E$7)*($F$7-$E$7)),$G$7-SQRT((1-Q417)*($G$7-$E$7)*($G$7-$F$7))))</f>
        <v>0.936182349020353</v>
      </c>
      <c r="D417" s="51" t="n">
        <f aca="false">1+IF($G$8=$E$8,$F$8,IF(R417&lt;($F$8-$E$8)/($G$8-$E$8),$E$8+SQRT(R417*($G$8-$E$8)*($F$8-$E$8)),$G$8-SQRT((1-R417)*($G$8-$E$8)*($G$8-$F$8))))</f>
        <v>1.03074638846425</v>
      </c>
      <c r="E417" s="51" t="n">
        <f aca="false">1+IF($G$9=$E$9,$F$9,IF(S417&lt;($F$9-$E$9)/($G$9-$E$9),$E$9+SQRT(S417*($G$9-$E$9)*($F$9-$E$9)),$G$9-SQRT((1-S417)*($G$9-$E$9)*($G$9-$F$9))))</f>
        <v>1.01908588373984</v>
      </c>
      <c r="F417" s="51" t="n">
        <f aca="false">1+IF($G$10=$E$10,$F$10,IF(T417&lt;($F$10-$E$10)/($G$10-$E$10),$E$10+SQRT(T417*($G$10-$E$10)*($F$10-$E$10)),$G$10-SQRT((1-T417)*($G$10-$E$10)*($G$10-$F$10))))</f>
        <v>0.995217236275166</v>
      </c>
      <c r="G417" s="52" t="n">
        <f aca="false">IF($G$11=$E$11,$F$11,IF(U417&lt;($F$11-$E$11)/($G$11-$E$11),$E$11+SQRT(U417*($G$11-$E$11)*($F$11-$E$11)),$G$11-SQRT((1-U417)*($G$11-$E$11)*($G$11-$F$11))))</f>
        <v>0.121176002684973</v>
      </c>
      <c r="H417" s="53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-1990434472.55033</v>
      </c>
      <c r="I417" s="53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-38594220.1699417</v>
      </c>
      <c r="J417" s="53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214532917.935174</v>
      </c>
      <c r="K417" s="53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517420917.854047</v>
      </c>
      <c r="L417" s="53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633320378.542242</v>
      </c>
      <c r="M417" s="53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806700992.467938</v>
      </c>
      <c r="N417" s="53" t="n">
        <f aca="false">IF(COUNT('Business Case'!B11:G11)=0,"",H417+NPV(G417,I417:M417))</f>
        <v>-630910677.403287</v>
      </c>
      <c r="P417" s="54" t="n">
        <f aca="true">RAND()</f>
        <v>0.368276336741642</v>
      </c>
      <c r="Q417" s="54" t="n">
        <f aca="true">RAND()</f>
        <v>0.413200755472383</v>
      </c>
      <c r="R417" s="54" t="n">
        <f aca="true">RAND()</f>
        <v>0.680262485950373</v>
      </c>
      <c r="S417" s="54" t="n">
        <f aca="true">RAND()</f>
        <v>0.542973177701904</v>
      </c>
      <c r="T417" s="54" t="n">
        <f aca="true">RAND()</f>
        <v>0.136306563757611</v>
      </c>
      <c r="U417" s="54" t="n">
        <f aca="true">RAND()</f>
        <v>0.948091380922931</v>
      </c>
    </row>
    <row r="418" customFormat="false" ht="15" hidden="false" customHeight="false" outlineLevel="0" collapsed="false">
      <c r="A418" s="50" t="n">
        <v>338</v>
      </c>
      <c r="B418" s="51" t="n">
        <f aca="false">1+IF($G$6=$E$6,$F$6,IF(P418&lt;($F$6-$E$6)/($G$6-$E$6),$E$6+SQRT(P418*($G$6-$E$6)*($F$6-$E$6)),$G$6-SQRT((1-P418)*($G$6-$E$6)*($G$6-$F$6))))</f>
        <v>0.905195269115392</v>
      </c>
      <c r="C418" s="51" t="n">
        <f aca="false">1+IF($G$7=$E$7,$F$7,IF(Q418&lt;($F$7-$E$7)/($G$7-$E$7),$E$7+SQRT(Q418*($G$7-$E$7)*($F$7-$E$7)),$G$7-SQRT((1-Q418)*($G$7-$E$7)*($G$7-$F$7))))</f>
        <v>0.867755700547968</v>
      </c>
      <c r="D418" s="51" t="n">
        <f aca="false">1+IF($G$8=$E$8,$F$8,IF(R418&lt;($F$8-$E$8)/($G$8-$E$8),$E$8+SQRT(R418*($G$8-$E$8)*($F$8-$E$8)),$G$8-SQRT((1-R418)*($G$8-$E$8)*($G$8-$F$8))))</f>
        <v>0.955311608291708</v>
      </c>
      <c r="E418" s="51" t="n">
        <f aca="false">1+IF($G$9=$E$9,$F$9,IF(S418&lt;($F$9-$E$9)/($G$9-$E$9),$E$9+SQRT(S418*($G$9-$E$9)*($F$9-$E$9)),$G$9-SQRT((1-S418)*($G$9-$E$9)*($G$9-$F$9))))</f>
        <v>1.0855493418122</v>
      </c>
      <c r="F418" s="51" t="n">
        <f aca="false">1+IF($G$10=$E$10,$F$10,IF(T418&lt;($F$10-$E$10)/($G$10-$E$10),$E$10+SQRT(T418*($G$10-$E$10)*($F$10-$E$10)),$G$10-SQRT((1-T418)*($G$10-$E$10)*($G$10-$F$10))))</f>
        <v>1.12559217638117</v>
      </c>
      <c r="G418" s="52" t="n">
        <f aca="false">IF($G$11=$E$11,$F$11,IF(U418&lt;($F$11-$E$11)/($G$11-$E$11),$E$11+SQRT(U418*($G$11-$E$11)*($F$11-$E$11)),$G$11-SQRT((1-U418)*($G$11-$E$11)*($G$11-$F$11))))</f>
        <v>0.106315440063236</v>
      </c>
      <c r="H418" s="53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-2251184352.76234</v>
      </c>
      <c r="I418" s="53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-88642486.456116</v>
      </c>
      <c r="J418" s="53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130359077.448763</v>
      </c>
      <c r="K418" s="53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405640250.172701</v>
      </c>
      <c r="L418" s="53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505787249.019116</v>
      </c>
      <c r="M418" s="53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655092875.515454</v>
      </c>
      <c r="N418" s="53" t="n">
        <f aca="false">IF(COUNT('Business Case'!B11:G11)=0,"",H418+NPV(G418,I418:M418))</f>
        <v>-1192304743.68285</v>
      </c>
      <c r="P418" s="54" t="n">
        <f aca="true">RAND()</f>
        <v>0.00179938807875666</v>
      </c>
      <c r="Q418" s="54" t="n">
        <f aca="true">RAND()</f>
        <v>0.208459074565478</v>
      </c>
      <c r="R418" s="54" t="n">
        <f aca="true">RAND()</f>
        <v>0.00376175768593896</v>
      </c>
      <c r="S418" s="54" t="n">
        <f aca="true">RAND()</f>
        <v>0.889229670910923</v>
      </c>
      <c r="T418" s="54" t="n">
        <f aca="true">RAND()</f>
        <v>0.79363591229901</v>
      </c>
      <c r="U418" s="54" t="n">
        <f aca="true">RAND()</f>
        <v>0.626027747067894</v>
      </c>
    </row>
    <row r="419" customFormat="false" ht="15" hidden="false" customHeight="false" outlineLevel="0" collapsed="false">
      <c r="A419" s="50" t="n">
        <v>339</v>
      </c>
      <c r="B419" s="51" t="n">
        <f aca="false">1+IF($G$6=$E$6,$F$6,IF(P419&lt;($F$6-$E$6)/($G$6-$E$6),$E$6+SQRT(P419*($G$6-$E$6)*($F$6-$E$6)),$G$6-SQRT((1-P419)*($G$6-$E$6)*($G$6-$F$6))))</f>
        <v>0.980349030935171</v>
      </c>
      <c r="C419" s="51" t="n">
        <f aca="false">1+IF($G$7=$E$7,$F$7,IF(Q419&lt;($F$7-$E$7)/($G$7-$E$7),$E$7+SQRT(Q419*($G$7-$E$7)*($F$7-$E$7)),$G$7-SQRT((1-Q419)*($G$7-$E$7)*($G$7-$F$7))))</f>
        <v>1.12202651444499</v>
      </c>
      <c r="D419" s="51" t="n">
        <f aca="false">1+IF($G$8=$E$8,$F$8,IF(R419&lt;($F$8-$E$8)/($G$8-$E$8),$E$8+SQRT(R419*($G$8-$E$8)*($F$8-$E$8)),$G$8-SQRT((1-R419)*($G$8-$E$8)*($G$8-$F$8))))</f>
        <v>0.993049150895385</v>
      </c>
      <c r="E419" s="51" t="n">
        <f aca="false">1+IF($G$9=$E$9,$F$9,IF(S419&lt;($F$9-$E$9)/($G$9-$E$9),$E$9+SQRT(S419*($G$9-$E$9)*($F$9-$E$9)),$G$9-SQRT((1-S419)*($G$9-$E$9)*($G$9-$F$9))))</f>
        <v>0.975993278612379</v>
      </c>
      <c r="F419" s="51" t="n">
        <f aca="false">1+IF($G$10=$E$10,$F$10,IF(T419&lt;($F$10-$E$10)/($G$10-$E$10),$E$10+SQRT(T419*($G$10-$E$10)*($F$10-$E$10)),$G$10-SQRT((1-T419)*($G$10-$E$10)*($G$10-$F$10))))</f>
        <v>1.07452348849114</v>
      </c>
      <c r="G419" s="52" t="n">
        <f aca="false">IF($G$11=$E$11,$F$11,IF(U419&lt;($F$11-$E$11)/($G$11-$E$11),$E$11+SQRT(U419*($G$11-$E$11)*($F$11-$E$11)),$G$11-SQRT((1-U419)*($G$11-$E$11)*($G$11-$F$11))))</f>
        <v>0.080833890078937</v>
      </c>
      <c r="H419" s="53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-2149046976.98227</v>
      </c>
      <c r="I419" s="53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27304095.3735679</v>
      </c>
      <c r="J419" s="53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357869622.916175</v>
      </c>
      <c r="K419" s="53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742161324.883339</v>
      </c>
      <c r="L419" s="53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890365060.131706</v>
      </c>
      <c r="M419" s="53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1099448803.50294</v>
      </c>
      <c r="N419" s="53" t="n">
        <f aca="false">IF(COUNT('Business Case'!B11:G11)=0,"",H419+NPV(G419,I419:M419))</f>
        <v>168158219.07605</v>
      </c>
      <c r="P419" s="54" t="n">
        <f aca="true">RAND()</f>
        <v>0.43039778481474</v>
      </c>
      <c r="Q419" s="54" t="n">
        <f aca="true">RAND()</f>
        <v>0.98840717193931</v>
      </c>
      <c r="R419" s="54" t="n">
        <f aca="true">RAND()</f>
        <v>0.247097252375155</v>
      </c>
      <c r="S419" s="54" t="n">
        <f aca="true">RAND()</f>
        <v>0.230999135770346</v>
      </c>
      <c r="T419" s="54" t="n">
        <f aca="true">RAND()</f>
        <v>0.589439918782391</v>
      </c>
      <c r="U419" s="54" t="n">
        <f aca="true">RAND()</f>
        <v>0.000695372663749556</v>
      </c>
    </row>
    <row r="420" customFormat="false" ht="15" hidden="false" customHeight="false" outlineLevel="0" collapsed="false">
      <c r="A420" s="50" t="n">
        <v>340</v>
      </c>
      <c r="B420" s="51" t="n">
        <f aca="false">1+IF($G$6=$E$6,$F$6,IF(P420&lt;($F$6-$E$6)/($G$6-$E$6),$E$6+SQRT(P420*($G$6-$E$6)*($F$6-$E$6)),$G$6-SQRT((1-P420)*($G$6-$E$6)*($G$6-$F$6))))</f>
        <v>0.952372529044103</v>
      </c>
      <c r="C420" s="51" t="n">
        <f aca="false">1+IF($G$7=$E$7,$F$7,IF(Q420&lt;($F$7-$E$7)/($G$7-$E$7),$E$7+SQRT(Q420*($G$7-$E$7)*($F$7-$E$7)),$G$7-SQRT((1-Q420)*($G$7-$E$7)*($G$7-$F$7))))</f>
        <v>0.89714605340088</v>
      </c>
      <c r="D420" s="51" t="n">
        <f aca="false">1+IF($G$8=$E$8,$F$8,IF(R420&lt;($F$8-$E$8)/($G$8-$E$8),$E$8+SQRT(R420*($G$8-$E$8)*($F$8-$E$8)),$G$8-SQRT((1-R420)*($G$8-$E$8)*($G$8-$F$8))))</f>
        <v>1.04136208495814</v>
      </c>
      <c r="E420" s="51" t="n">
        <f aca="false">1+IF($G$9=$E$9,$F$9,IF(S420&lt;($F$9-$E$9)/($G$9-$E$9),$E$9+SQRT(S420*($G$9-$E$9)*($F$9-$E$9)),$G$9-SQRT((1-S420)*($G$9-$E$9)*($G$9-$F$9))))</f>
        <v>0.965931655885616</v>
      </c>
      <c r="F420" s="51" t="n">
        <f aca="false">1+IF($G$10=$E$10,$F$10,IF(T420&lt;($F$10-$E$10)/($G$10-$E$10),$E$10+SQRT(T420*($G$10-$E$10)*($F$10-$E$10)),$G$10-SQRT((1-T420)*($G$10-$E$10)*($G$10-$F$10))))</f>
        <v>1.02045895548559</v>
      </c>
      <c r="G420" s="52" t="n">
        <f aca="false">IF($G$11=$E$11,$F$11,IF(U420&lt;($F$11-$E$11)/($G$11-$E$11),$E$11+SQRT(U420*($G$11-$E$11)*($F$11-$E$11)),$G$11-SQRT((1-U420)*($G$11-$E$11)*($G$11-$F$11))))</f>
        <v>0.12979890734072</v>
      </c>
      <c r="H420" s="53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-2040917910.97118</v>
      </c>
      <c r="I420" s="53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-62128365.6602155</v>
      </c>
      <c r="J420" s="53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159437636.2357</v>
      </c>
      <c r="K420" s="53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432026585.905895</v>
      </c>
      <c r="L420" s="53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535410580.231625</v>
      </c>
      <c r="M420" s="53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697818212.213962</v>
      </c>
      <c r="N420" s="53" t="n">
        <f aca="false">IF(COUNT('Business Case'!B11:G11)=0,"",H420+NPV(G420,I420:M420))</f>
        <v>-963728896.05949</v>
      </c>
      <c r="P420" s="54" t="n">
        <f aca="true">RAND()</f>
        <v>0.182858786565031</v>
      </c>
      <c r="Q420" s="54" t="n">
        <f aca="true">RAND()</f>
        <v>0.287900491641056</v>
      </c>
      <c r="R420" s="54" t="n">
        <f aca="true">RAND()</f>
        <v>0.77077299463621</v>
      </c>
      <c r="S420" s="54" t="n">
        <f aca="true">RAND()</f>
        <v>0.173879329912768</v>
      </c>
      <c r="T420" s="54" t="n">
        <f aca="true">RAND()</f>
        <v>0.297478785109787</v>
      </c>
      <c r="U420" s="54" t="n">
        <f aca="true">RAND()</f>
        <v>0.999973041161589</v>
      </c>
    </row>
    <row r="421" customFormat="false" ht="15" hidden="false" customHeight="false" outlineLevel="0" collapsed="false">
      <c r="A421" s="50" t="n">
        <v>341</v>
      </c>
      <c r="B421" s="51" t="n">
        <f aca="false">1+IF($G$6=$E$6,$F$6,IF(P421&lt;($F$6-$E$6)/($G$6-$E$6),$E$6+SQRT(P421*($G$6-$E$6)*($F$6-$E$6)),$G$6-SQRT((1-P421)*($G$6-$E$6)*($G$6-$F$6))))</f>
        <v>0.953082099276597</v>
      </c>
      <c r="C421" s="51" t="n">
        <f aca="false">1+IF($G$7=$E$7,$F$7,IF(Q421&lt;($F$7-$E$7)/($G$7-$E$7),$E$7+SQRT(Q421*($G$7-$E$7)*($F$7-$E$7)),$G$7-SQRT((1-Q421)*($G$7-$E$7)*($G$7-$F$7))))</f>
        <v>0.920828093680905</v>
      </c>
      <c r="D421" s="51" t="n">
        <f aca="false">1+IF($G$8=$E$8,$F$8,IF(R421&lt;($F$8-$E$8)/($G$8-$E$8),$E$8+SQRT(R421*($G$8-$E$8)*($F$8-$E$8)),$G$8-SQRT((1-R421)*($G$8-$E$8)*($G$8-$F$8))))</f>
        <v>0.984762914466432</v>
      </c>
      <c r="E421" s="51" t="n">
        <f aca="false">1+IF($G$9=$E$9,$F$9,IF(S421&lt;($F$9-$E$9)/($G$9-$E$9),$E$9+SQRT(S421*($G$9-$E$9)*($F$9-$E$9)),$G$9-SQRT((1-S421)*($G$9-$E$9)*($G$9-$F$9))))</f>
        <v>0.978255584527719</v>
      </c>
      <c r="F421" s="51" t="n">
        <f aca="false">1+IF($G$10=$E$10,$F$10,IF(T421&lt;($F$10-$E$10)/($G$10-$E$10),$E$10+SQRT(T421*($G$10-$E$10)*($F$10-$E$10)),$G$10-SQRT((1-T421)*($G$10-$E$10)*($G$10-$F$10))))</f>
        <v>1.0016842086047</v>
      </c>
      <c r="G421" s="52" t="n">
        <f aca="false">IF($G$11=$E$11,$F$11,IF(U421&lt;($F$11-$E$11)/($G$11-$E$11),$E$11+SQRT(U421*($G$11-$E$11)*($F$11-$E$11)),$G$11-SQRT((1-U421)*($G$11-$E$11)*($G$11-$F$11))))</f>
        <v>0.12396314372543</v>
      </c>
      <c r="H421" s="53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-2003368417.20939</v>
      </c>
      <c r="I421" s="53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-30142258.5765773</v>
      </c>
      <c r="J421" s="53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224487916.038651</v>
      </c>
      <c r="K421" s="53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529202301.084114</v>
      </c>
      <c r="L421" s="53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644409738.096853</v>
      </c>
      <c r="M421" s="53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811228654.872331</v>
      </c>
      <c r="N421" s="53" t="n">
        <f aca="false">IF(COUNT('Business Case'!B11:G11)=0,"",H421+NPV(G421,I421:M421))</f>
        <v>-623737515.590683</v>
      </c>
      <c r="P421" s="54" t="n">
        <f aca="true">RAND()</f>
        <v>0.187847284240699</v>
      </c>
      <c r="Q421" s="54" t="n">
        <f aca="true">RAND()</f>
        <v>0.361222570064761</v>
      </c>
      <c r="R421" s="54" t="n">
        <f aca="true">RAND()</f>
        <v>0.161128029626726</v>
      </c>
      <c r="S421" s="54" t="n">
        <f aca="true">RAND()</f>
        <v>0.244957460391</v>
      </c>
      <c r="T421" s="54" t="n">
        <f aca="true">RAND()</f>
        <v>0.177856903249657</v>
      </c>
      <c r="U421" s="54" t="n">
        <f aca="true">RAND()</f>
        <v>0.975704244213457</v>
      </c>
    </row>
    <row r="422" customFormat="false" ht="15" hidden="false" customHeight="false" outlineLevel="0" collapsed="false">
      <c r="A422" s="50" t="n">
        <v>342</v>
      </c>
      <c r="B422" s="51" t="n">
        <f aca="false">1+IF($G$6=$E$6,$F$6,IF(P422&lt;($F$6-$E$6)/($G$6-$E$6),$E$6+SQRT(P422*($G$6-$E$6)*($F$6-$E$6)),$G$6-SQRT((1-P422)*($G$6-$E$6)*($G$6-$F$6))))</f>
        <v>1.02855340068871</v>
      </c>
      <c r="C422" s="51" t="n">
        <f aca="false">1+IF($G$7=$E$7,$F$7,IF(Q422&lt;($F$7-$E$7)/($G$7-$E$7),$E$7+SQRT(Q422*($G$7-$E$7)*($F$7-$E$7)),$G$7-SQRT((1-Q422)*($G$7-$E$7)*($G$7-$F$7))))</f>
        <v>0.927485440514655</v>
      </c>
      <c r="D422" s="51" t="n">
        <f aca="false">1+IF($G$8=$E$8,$F$8,IF(R422&lt;($F$8-$E$8)/($G$8-$E$8),$E$8+SQRT(R422*($G$8-$E$8)*($F$8-$E$8)),$G$8-SQRT((1-R422)*($G$8-$E$8)*($G$8-$F$8))))</f>
        <v>1.01626102738575</v>
      </c>
      <c r="E422" s="51" t="n">
        <f aca="false">1+IF($G$9=$E$9,$F$9,IF(S422&lt;($F$9-$E$9)/($G$9-$E$9),$E$9+SQRT(S422*($G$9-$E$9)*($F$9-$E$9)),$G$9-SQRT((1-S422)*($G$9-$E$9)*($G$9-$F$9))))</f>
        <v>0.968654315282575</v>
      </c>
      <c r="F422" s="51" t="n">
        <f aca="false">1+IF($G$10=$E$10,$F$10,IF(T422&lt;($F$10-$E$10)/($G$10-$E$10),$E$10+SQRT(T422*($G$10-$E$10)*($F$10-$E$10)),$G$10-SQRT((1-T422)*($G$10-$E$10)*($G$10-$F$10))))</f>
        <v>1.19429978049851</v>
      </c>
      <c r="G422" s="52" t="n">
        <f aca="false">IF($G$11=$E$11,$F$11,IF(U422&lt;($F$11-$E$11)/($G$11-$E$11),$E$11+SQRT(U422*($G$11-$E$11)*($F$11-$E$11)),$G$11-SQRT((1-U422)*($G$11-$E$11)*($G$11-$F$11))))</f>
        <v>0.110360882538542</v>
      </c>
      <c r="H422" s="53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-2388599560.99702</v>
      </c>
      <c r="I422" s="53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-7776667.5485293</v>
      </c>
      <c r="J422" s="53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291073003.461738</v>
      </c>
      <c r="K422" s="53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649637663.496931</v>
      </c>
      <c r="L422" s="53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782223365.084196</v>
      </c>
      <c r="M422" s="53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963553660.295327</v>
      </c>
      <c r="N422" s="53" t="n">
        <f aca="false">IF(COUNT('Business Case'!B11:G11)=0,"",H422+NPV(G422,I422:M422))</f>
        <v>-599470239.475747</v>
      </c>
      <c r="P422" s="54" t="n">
        <f aca="true">RAND()</f>
        <v>0.938672450397484</v>
      </c>
      <c r="Q422" s="54" t="n">
        <f aca="true">RAND()</f>
        <v>0.383330560341828</v>
      </c>
      <c r="R422" s="54" t="n">
        <f aca="true">RAND()</f>
        <v>0.532518964367276</v>
      </c>
      <c r="S422" s="54" t="n">
        <f aca="true">RAND()</f>
        <v>0.18853660027677</v>
      </c>
      <c r="T422" s="54" t="n">
        <f aca="true">RAND()</f>
        <v>0.958633140633146</v>
      </c>
      <c r="U422" s="54" t="n">
        <f aca="true">RAND()</f>
        <v>0.742870043556716</v>
      </c>
    </row>
    <row r="423" customFormat="false" ht="15" hidden="false" customHeight="false" outlineLevel="0" collapsed="false">
      <c r="A423" s="50" t="n">
        <v>343</v>
      </c>
      <c r="B423" s="51" t="n">
        <f aca="false">1+IF($G$6=$E$6,$F$6,IF(P423&lt;($F$6-$E$6)/($G$6-$E$6),$E$6+SQRT(P423*($G$6-$E$6)*($F$6-$E$6)),$G$6-SQRT((1-P423)*($G$6-$E$6)*($G$6-$F$6))))</f>
        <v>0.965440084508463</v>
      </c>
      <c r="C423" s="51" t="n">
        <f aca="false">1+IF($G$7=$E$7,$F$7,IF(Q423&lt;($F$7-$E$7)/($G$7-$E$7),$E$7+SQRT(Q423*($G$7-$E$7)*($F$7-$E$7)),$G$7-SQRT((1-Q423)*($G$7-$E$7)*($G$7-$F$7))))</f>
        <v>0.929727564044404</v>
      </c>
      <c r="D423" s="51" t="n">
        <f aca="false">1+IF($G$8=$E$8,$F$8,IF(R423&lt;($F$8-$E$8)/($G$8-$E$8),$E$8+SQRT(R423*($G$8-$E$8)*($F$8-$E$8)),$G$8-SQRT((1-R423)*($G$8-$E$8)*($G$8-$F$8))))</f>
        <v>1.02294959394973</v>
      </c>
      <c r="E423" s="51" t="n">
        <f aca="false">1+IF($G$9=$E$9,$F$9,IF(S423&lt;($F$9-$E$9)/($G$9-$E$9),$E$9+SQRT(S423*($G$9-$E$9)*($F$9-$E$9)),$G$9-SQRT((1-S423)*($G$9-$E$9)*($G$9-$F$9))))</f>
        <v>0.967557852266811</v>
      </c>
      <c r="F423" s="51" t="n">
        <f aca="false">1+IF($G$10=$E$10,$F$10,IF(T423&lt;($F$10-$E$10)/($G$10-$E$10),$E$10+SQRT(T423*($G$10-$E$10)*($F$10-$E$10)),$G$10-SQRT((1-T423)*($G$10-$E$10)*($G$10-$F$10))))</f>
        <v>1.01601707371475</v>
      </c>
      <c r="G423" s="52" t="n">
        <f aca="false">IF($G$11=$E$11,$F$11,IF(U423&lt;($F$11-$E$11)/($G$11-$E$11),$E$11+SQRT(U423*($G$11-$E$11)*($F$11-$E$11)),$G$11-SQRT((1-U423)*($G$11-$E$11)*($G$11-$F$11))))</f>
        <v>0.103811882119678</v>
      </c>
      <c r="H423" s="53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-2032034147.4295</v>
      </c>
      <c r="I423" s="53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-37392766.8615817</v>
      </c>
      <c r="J423" s="53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210934290.255418</v>
      </c>
      <c r="K423" s="53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510062201.058154</v>
      </c>
      <c r="L423" s="53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623858813.440331</v>
      </c>
      <c r="M423" s="53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794473910.161138</v>
      </c>
      <c r="N423" s="53" t="n">
        <f aca="false">IF(COUNT('Business Case'!B11:G11)=0,"",H423+NPV(G423,I423:M423))</f>
        <v>-608430532.300064</v>
      </c>
      <c r="P423" s="54" t="n">
        <f aca="true">RAND()</f>
        <v>0.285493644031655</v>
      </c>
      <c r="Q423" s="54" t="n">
        <f aca="true">RAND()</f>
        <v>0.390924101346485</v>
      </c>
      <c r="R423" s="54" t="n">
        <f aca="true">RAND()</f>
        <v>0.604215661832579</v>
      </c>
      <c r="S423" s="54" t="n">
        <f aca="true">RAND()</f>
        <v>0.182562536116168</v>
      </c>
      <c r="T423" s="54" t="n">
        <f aca="true">RAND()</f>
        <v>0.270026536093219</v>
      </c>
      <c r="U423" s="54" t="n">
        <f aca="true">RAND()</f>
        <v>0.542788321257582</v>
      </c>
    </row>
    <row r="424" customFormat="false" ht="15" hidden="false" customHeight="false" outlineLevel="0" collapsed="false">
      <c r="A424" s="50" t="n">
        <v>344</v>
      </c>
      <c r="B424" s="51" t="n">
        <f aca="false">1+IF($G$6=$E$6,$F$6,IF(P424&lt;($F$6-$E$6)/($G$6-$E$6),$E$6+SQRT(P424*($G$6-$E$6)*($F$6-$E$6)),$G$6-SQRT((1-P424)*($G$6-$E$6)*($G$6-$F$6))))</f>
        <v>0.942595563974879</v>
      </c>
      <c r="C424" s="51" t="n">
        <f aca="false">1+IF($G$7=$E$7,$F$7,IF(Q424&lt;($F$7-$E$7)/($G$7-$E$7),$E$7+SQRT(Q424*($G$7-$E$7)*($F$7-$E$7)),$G$7-SQRT((1-Q424)*($G$7-$E$7)*($G$7-$F$7))))</f>
        <v>1.04243175465355</v>
      </c>
      <c r="D424" s="51" t="n">
        <f aca="false">1+IF($G$8=$E$8,$F$8,IF(R424&lt;($F$8-$E$8)/($G$8-$E$8),$E$8+SQRT(R424*($G$8-$E$8)*($F$8-$E$8)),$G$8-SQRT((1-R424)*($G$8-$E$8)*($G$8-$F$8))))</f>
        <v>1.00825780891306</v>
      </c>
      <c r="E424" s="51" t="n">
        <f aca="false">1+IF($G$9=$E$9,$F$9,IF(S424&lt;($F$9-$E$9)/($G$9-$E$9),$E$9+SQRT(S424*($G$9-$E$9)*($F$9-$E$9)),$G$9-SQRT((1-S424)*($G$9-$E$9)*($G$9-$F$9))))</f>
        <v>1.02537729810916</v>
      </c>
      <c r="F424" s="51" t="n">
        <f aca="false">1+IF($G$10=$E$10,$F$10,IF(T424&lt;($F$10-$E$10)/($G$10-$E$10),$E$10+SQRT(T424*($G$10-$E$10)*($F$10-$E$10)),$G$10-SQRT((1-T424)*($G$10-$E$10)*($G$10-$F$10))))</f>
        <v>1.22778827036394</v>
      </c>
      <c r="G424" s="52" t="n">
        <f aca="false">IF($G$11=$E$11,$F$11,IF(U424&lt;($F$11-$E$11)/($G$11-$E$11),$E$11+SQRT(U424*($G$11-$E$11)*($F$11-$E$11)),$G$11-SQRT((1-U424)*($G$11-$E$11)*($G$11-$F$11))))</f>
        <v>0.1208331637008</v>
      </c>
      <c r="H424" s="53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-2455576540.72789</v>
      </c>
      <c r="I424" s="53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-52760175.245909</v>
      </c>
      <c r="J424" s="53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214004674.167584</v>
      </c>
      <c r="K424" s="53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542158937.099273</v>
      </c>
      <c r="L424" s="53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665038917.458362</v>
      </c>
      <c r="M424" s="53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851809918.841943</v>
      </c>
      <c r="N424" s="53" t="n">
        <f aca="false">IF(COUNT('Business Case'!B11:G11)=0,"",H424+NPV(G424,I424:M424))</f>
        <v>-1044326015.89644</v>
      </c>
      <c r="P424" s="54" t="n">
        <f aca="true">RAND()</f>
        <v>0.120958804689198</v>
      </c>
      <c r="Q424" s="54" t="n">
        <f aca="true">RAND()</f>
        <v>0.82857885323089</v>
      </c>
      <c r="R424" s="54" t="n">
        <f aca="true">RAND()</f>
        <v>0.438891358304543</v>
      </c>
      <c r="S424" s="54" t="n">
        <f aca="true">RAND()</f>
        <v>0.585844857958015</v>
      </c>
      <c r="T424" s="54" t="n">
        <f aca="true">RAND()</f>
        <v>0.993421854220996</v>
      </c>
      <c r="U424" s="54" t="n">
        <f aca="true">RAND()</f>
        <v>0.943979408175777</v>
      </c>
    </row>
    <row r="425" customFormat="false" ht="15" hidden="false" customHeight="false" outlineLevel="0" collapsed="false">
      <c r="A425" s="50" t="n">
        <v>345</v>
      </c>
      <c r="B425" s="51" t="n">
        <f aca="false">1+IF($G$6=$E$6,$F$6,IF(P425&lt;($F$6-$E$6)/($G$6-$E$6),$E$6+SQRT(P425*($G$6-$E$6)*($F$6-$E$6)),$G$6-SQRT((1-P425)*($G$6-$E$6)*($G$6-$F$6))))</f>
        <v>0.929842114065206</v>
      </c>
      <c r="C425" s="51" t="n">
        <f aca="false">1+IF($G$7=$E$7,$F$7,IF(Q425&lt;($F$7-$E$7)/($G$7-$E$7),$E$7+SQRT(Q425*($G$7-$E$7)*($F$7-$E$7)),$G$7-SQRT((1-Q425)*($G$7-$E$7)*($G$7-$F$7))))</f>
        <v>0.87642132512384</v>
      </c>
      <c r="D425" s="51" t="n">
        <f aca="false">1+IF($G$8=$E$8,$F$8,IF(R425&lt;($F$8-$E$8)/($G$8-$E$8),$E$8+SQRT(R425*($G$8-$E$8)*($F$8-$E$8)),$G$8-SQRT((1-R425)*($G$8-$E$8)*($G$8-$F$8))))</f>
        <v>0.96965006279029</v>
      </c>
      <c r="E425" s="51" t="n">
        <f aca="false">1+IF($G$9=$E$9,$F$9,IF(S425&lt;($F$9-$E$9)/($G$9-$E$9),$E$9+SQRT(S425*($G$9-$E$9)*($F$9-$E$9)),$G$9-SQRT((1-S425)*($G$9-$E$9)*($G$9-$F$9))))</f>
        <v>1.01741556757802</v>
      </c>
      <c r="F425" s="51" t="n">
        <f aca="false">1+IF($G$10=$E$10,$F$10,IF(T425&lt;($F$10-$E$10)/($G$10-$E$10),$E$10+SQRT(T425*($G$10-$E$10)*($F$10-$E$10)),$G$10-SQRT((1-T425)*($G$10-$E$10)*($G$10-$F$10))))</f>
        <v>1.02076149908676</v>
      </c>
      <c r="G425" s="52" t="n">
        <f aca="false">IF($G$11=$E$11,$F$11,IF(U425&lt;($F$11-$E$11)/($G$11-$E$11),$E$11+SQRT(U425*($G$11-$E$11)*($F$11-$E$11)),$G$11-SQRT((1-U425)*($G$11-$E$11)*($G$11-$F$11))))</f>
        <v>0.0967695660467085</v>
      </c>
      <c r="H425" s="53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-2041522998.17351</v>
      </c>
      <c r="I425" s="53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-56550491.5746795</v>
      </c>
      <c r="J425" s="53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175897810.919448</v>
      </c>
      <c r="K425" s="53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459384188.367914</v>
      </c>
      <c r="L425" s="53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565031056.166315</v>
      </c>
      <c r="M425" s="53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719933607.818282</v>
      </c>
      <c r="N425" s="53" t="n">
        <f aca="false">IF(COUNT('Business Case'!B11:G11)=0,"",H425+NPV(G425,I425:M425))</f>
        <v>-754520280.680252</v>
      </c>
      <c r="P425" s="54" t="n">
        <f aca="true">RAND()</f>
        <v>0.0593701181253831</v>
      </c>
      <c r="Q425" s="54" t="n">
        <f aca="true">RAND()</f>
        <v>0.230551733025569</v>
      </c>
      <c r="R425" s="54" t="n">
        <f aca="true">RAND()</f>
        <v>0.0514833290216438</v>
      </c>
      <c r="S425" s="54" t="n">
        <f aca="true">RAND()</f>
        <v>0.531236487449138</v>
      </c>
      <c r="T425" s="54" t="n">
        <f aca="true">RAND()</f>
        <v>0.299329462653982</v>
      </c>
      <c r="U425" s="54" t="n">
        <f aca="true">RAND()</f>
        <v>0.28121834539492</v>
      </c>
    </row>
    <row r="426" customFormat="false" ht="15" hidden="false" customHeight="false" outlineLevel="0" collapsed="false">
      <c r="A426" s="50" t="n">
        <v>346</v>
      </c>
      <c r="B426" s="51" t="n">
        <f aca="false">1+IF($G$6=$E$6,$F$6,IF(P426&lt;($F$6-$E$6)/($G$6-$E$6),$E$6+SQRT(P426*($G$6-$E$6)*($F$6-$E$6)),$G$6-SQRT((1-P426)*($G$6-$E$6)*($G$6-$F$6))))</f>
        <v>0.981583189728331</v>
      </c>
      <c r="C426" s="51" t="n">
        <f aca="false">1+IF($G$7=$E$7,$F$7,IF(Q426&lt;($F$7-$E$7)/($G$7-$E$7),$E$7+SQRT(Q426*($G$7-$E$7)*($F$7-$E$7)),$G$7-SQRT((1-Q426)*($G$7-$E$7)*($G$7-$F$7))))</f>
        <v>0.937814045250679</v>
      </c>
      <c r="D426" s="51" t="n">
        <f aca="false">1+IF($G$8=$E$8,$F$8,IF(R426&lt;($F$8-$E$8)/($G$8-$E$8),$E$8+SQRT(R426*($G$8-$E$8)*($F$8-$E$8)),$G$8-SQRT((1-R426)*($G$8-$E$8)*($G$8-$F$8))))</f>
        <v>0.987549587267653</v>
      </c>
      <c r="E426" s="51" t="n">
        <f aca="false">1+IF($G$9=$E$9,$F$9,IF(S426&lt;($F$9-$E$9)/($G$9-$E$9),$E$9+SQRT(S426*($G$9-$E$9)*($F$9-$E$9)),$G$9-SQRT((1-S426)*($G$9-$E$9)*($G$9-$F$9))))</f>
        <v>1.13241279285822</v>
      </c>
      <c r="F426" s="51" t="n">
        <f aca="false">1+IF($G$10=$E$10,$F$10,IF(T426&lt;($F$10-$E$10)/($G$10-$E$10),$E$10+SQRT(T426*($G$10-$E$10)*($F$10-$E$10)),$G$10-SQRT((1-T426)*($G$10-$E$10)*($G$10-$F$10))))</f>
        <v>1.09261020255981</v>
      </c>
      <c r="G426" s="52" t="n">
        <f aca="false">IF($G$11=$E$11,$F$11,IF(U426&lt;($F$11-$E$11)/($G$11-$E$11),$E$11+SQRT(U426*($G$11-$E$11)*($F$11-$E$11)),$G$11-SQRT((1-U426)*($G$11-$E$11)*($G$11-$F$11))))</f>
        <v>0.103883530186145</v>
      </c>
      <c r="H426" s="53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-2185220405.11963</v>
      </c>
      <c r="I426" s="53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-38128954.6861736</v>
      </c>
      <c r="J426" s="53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241753133.327045</v>
      </c>
      <c r="K426" s="53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576265731.468255</v>
      </c>
      <c r="L426" s="53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701373709.671976</v>
      </c>
      <c r="M426" s="53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876350428.434875</v>
      </c>
      <c r="N426" s="53" t="n">
        <f aca="false">IF(COUNT('Business Case'!B11:G11)=0,"",H426+NPV(G426,I426:M426))</f>
        <v>-585982960.241516</v>
      </c>
      <c r="P426" s="54" t="n">
        <f aca="true">RAND()</f>
        <v>0.443721123083257</v>
      </c>
      <c r="Q426" s="54" t="n">
        <f aca="true">RAND()</f>
        <v>0.418929778655496</v>
      </c>
      <c r="R426" s="54" t="n">
        <f aca="true">RAND()</f>
        <v>0.187996200529482</v>
      </c>
      <c r="S426" s="54" t="n">
        <f aca="true">RAND()</f>
        <v>0.991751737198721</v>
      </c>
      <c r="T426" s="54" t="n">
        <f aca="true">RAND()</f>
        <v>0.669712688823161</v>
      </c>
      <c r="U426" s="54" t="n">
        <f aca="true">RAND()</f>
        <v>0.545286669641335</v>
      </c>
    </row>
    <row r="427" customFormat="false" ht="15" hidden="false" customHeight="false" outlineLevel="0" collapsed="false">
      <c r="A427" s="50" t="n">
        <v>347</v>
      </c>
      <c r="B427" s="51" t="n">
        <f aca="false">1+IF($G$6=$E$6,$F$6,IF(P427&lt;($F$6-$E$6)/($G$6-$E$6),$E$6+SQRT(P427*($G$6-$E$6)*($F$6-$E$6)),$G$6-SQRT((1-P427)*($G$6-$E$6)*($G$6-$F$6))))</f>
        <v>1.01107706715726</v>
      </c>
      <c r="C427" s="51" t="n">
        <f aca="false">1+IF($G$7=$E$7,$F$7,IF(Q427&lt;($F$7-$E$7)/($G$7-$E$7),$E$7+SQRT(Q427*($G$7-$E$7)*($F$7-$E$7)),$G$7-SQRT((1-Q427)*($G$7-$E$7)*($G$7-$F$7))))</f>
        <v>0.88272585910633</v>
      </c>
      <c r="D427" s="51" t="n">
        <f aca="false">1+IF($G$8=$E$8,$F$8,IF(R427&lt;($F$8-$E$8)/($G$8-$E$8),$E$8+SQRT(R427*($G$8-$E$8)*($F$8-$E$8)),$G$8-SQRT((1-R427)*($G$8-$E$8)*($G$8-$F$8))))</f>
        <v>1.0454604156146</v>
      </c>
      <c r="E427" s="51" t="n">
        <f aca="false">1+IF($G$9=$E$9,$F$9,IF(S427&lt;($F$9-$E$9)/($G$9-$E$9),$E$9+SQRT(S427*($G$9-$E$9)*($F$9-$E$9)),$G$9-SQRT((1-S427)*($G$9-$E$9)*($G$9-$F$9))))</f>
        <v>0.966759034551795</v>
      </c>
      <c r="F427" s="51" t="n">
        <f aca="false">1+IF($G$10=$E$10,$F$10,IF(T427&lt;($F$10-$E$10)/($G$10-$E$10),$E$10+SQRT(T427*($G$10-$E$10)*($F$10-$E$10)),$G$10-SQRT((1-T427)*($G$10-$E$10)*($G$10-$F$10))))</f>
        <v>1.0259976798471</v>
      </c>
      <c r="G427" s="52" t="n">
        <f aca="false">IF($G$11=$E$11,$F$11,IF(U427&lt;($F$11-$E$11)/($G$11-$E$11),$E$11+SQRT(U427*($G$11-$E$11)*($F$11-$E$11)),$G$11-SQRT((1-U427)*($G$11-$E$11)*($G$11-$F$11))))</f>
        <v>0.105423210045922</v>
      </c>
      <c r="H427" s="53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-2051995359.6942</v>
      </c>
      <c r="I427" s="53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-27743274.1107485</v>
      </c>
      <c r="J427" s="53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230853755.238755</v>
      </c>
      <c r="K427" s="53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540750668.580614</v>
      </c>
      <c r="L427" s="53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657794612.205299</v>
      </c>
      <c r="M427" s="53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827441748.333647</v>
      </c>
      <c r="N427" s="53" t="n">
        <f aca="false">IF(COUNT('Business Case'!B11:G11)=0,"",H427+NPV(G427,I427:M427))</f>
        <v>-546021400.204533</v>
      </c>
      <c r="P427" s="54" t="n">
        <f aca="true">RAND()</f>
        <v>0.798000706522632</v>
      </c>
      <c r="Q427" s="54" t="n">
        <f aca="true">RAND()</f>
        <v>0.247323996934417</v>
      </c>
      <c r="R427" s="54" t="n">
        <f aca="true">RAND()</f>
        <v>0.801695582337873</v>
      </c>
      <c r="S427" s="54" t="n">
        <f aca="true">RAND()</f>
        <v>0.178270747771509</v>
      </c>
      <c r="T427" s="54" t="n">
        <f aca="true">RAND()</f>
        <v>0.330972807548241</v>
      </c>
      <c r="U427" s="54" t="n">
        <f aca="true">RAND()</f>
        <v>0.597320930368751</v>
      </c>
    </row>
    <row r="428" customFormat="false" ht="15" hidden="false" customHeight="false" outlineLevel="0" collapsed="false">
      <c r="A428" s="50" t="n">
        <v>348</v>
      </c>
      <c r="B428" s="51" t="n">
        <f aca="false">1+IF($G$6=$E$6,$F$6,IF(P428&lt;($F$6-$E$6)/($G$6-$E$6),$E$6+SQRT(P428*($G$6-$E$6)*($F$6-$E$6)),$G$6-SQRT((1-P428)*($G$6-$E$6)*($G$6-$F$6))))</f>
        <v>1.01352173983827</v>
      </c>
      <c r="C428" s="51" t="n">
        <f aca="false">1+IF($G$7=$E$7,$F$7,IF(Q428&lt;($F$7-$E$7)/($G$7-$E$7),$E$7+SQRT(Q428*($G$7-$E$7)*($F$7-$E$7)),$G$7-SQRT((1-Q428)*($G$7-$E$7)*($G$7-$F$7))))</f>
        <v>0.935332885542276</v>
      </c>
      <c r="D428" s="51" t="n">
        <f aca="false">1+IF($G$8=$E$8,$F$8,IF(R428&lt;($F$8-$E$8)/($G$8-$E$8),$E$8+SQRT(R428*($G$8-$E$8)*($F$8-$E$8)),$G$8-SQRT((1-R428)*($G$8-$E$8)*($G$8-$F$8))))</f>
        <v>0.972916222331619</v>
      </c>
      <c r="E428" s="51" t="n">
        <f aca="false">1+IF($G$9=$E$9,$F$9,IF(S428&lt;($F$9-$E$9)/($G$9-$E$9),$E$9+SQRT(S428*($G$9-$E$9)*($F$9-$E$9)),$G$9-SQRT((1-S428)*($G$9-$E$9)*($G$9-$F$9))))</f>
        <v>0.965524363451225</v>
      </c>
      <c r="F428" s="51" t="n">
        <f aca="false">1+IF($G$10=$E$10,$F$10,IF(T428&lt;($F$10-$E$10)/($G$10-$E$10),$E$10+SQRT(T428*($G$10-$E$10)*($F$10-$E$10)),$G$10-SQRT((1-T428)*($G$10-$E$10)*($G$10-$F$10))))</f>
        <v>1.05156169239663</v>
      </c>
      <c r="G428" s="52" t="n">
        <f aca="false">IF($G$11=$E$11,$F$11,IF(U428&lt;($F$11-$E$11)/($G$11-$E$11),$E$11+SQRT(U428*($G$11-$E$11)*($F$11-$E$11)),$G$11-SQRT((1-U428)*($G$11-$E$11)*($G$11-$F$11))))</f>
        <v>0.089158474749183</v>
      </c>
      <c r="H428" s="53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-2103123384.79326</v>
      </c>
      <c r="I428" s="53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19019546.2077331</v>
      </c>
      <c r="J428" s="53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329636120.40484</v>
      </c>
      <c r="K428" s="53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692830779.221777</v>
      </c>
      <c r="L428" s="53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829131833.465444</v>
      </c>
      <c r="M428" s="53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1009323912.44425</v>
      </c>
      <c r="N428" s="53" t="n">
        <f aca="false">IF(COUNT('Business Case'!B11:G11)=0,"",H428+NPV(G428,I428:M428))</f>
        <v>-23825494.7668576</v>
      </c>
      <c r="P428" s="54" t="n">
        <f aca="true">RAND()</f>
        <v>0.822578204743103</v>
      </c>
      <c r="Q428" s="54" t="n">
        <f aca="true">RAND()</f>
        <v>0.410233829760401</v>
      </c>
      <c r="R428" s="54" t="n">
        <f aca="true">RAND()</f>
        <v>0.0700204327936247</v>
      </c>
      <c r="S428" s="54" t="n">
        <f aca="true">RAND()</f>
        <v>0.171737688227528</v>
      </c>
      <c r="T428" s="54" t="n">
        <f aca="true">RAND()</f>
        <v>0.474963174340139</v>
      </c>
      <c r="U428" s="54" t="n">
        <f aca="true">RAND()</f>
        <v>0.0838776597314223</v>
      </c>
    </row>
    <row r="429" customFormat="false" ht="15" hidden="false" customHeight="false" outlineLevel="0" collapsed="false">
      <c r="A429" s="50" t="n">
        <v>349</v>
      </c>
      <c r="B429" s="51" t="n">
        <f aca="false">1+IF($G$6=$E$6,$F$6,IF(P429&lt;($F$6-$E$6)/($G$6-$E$6),$E$6+SQRT(P429*($G$6-$E$6)*($F$6-$E$6)),$G$6-SQRT((1-P429)*($G$6-$E$6)*($G$6-$F$6))))</f>
        <v>0.948676183006784</v>
      </c>
      <c r="C429" s="51" t="n">
        <f aca="false">1+IF($G$7=$E$7,$F$7,IF(Q429&lt;($F$7-$E$7)/($G$7-$E$7),$E$7+SQRT(Q429*($G$7-$E$7)*($F$7-$E$7)),$G$7-SQRT((1-Q429)*($G$7-$E$7)*($G$7-$F$7))))</f>
        <v>0.922927400742302</v>
      </c>
      <c r="D429" s="51" t="n">
        <f aca="false">1+IF($G$8=$E$8,$F$8,IF(R429&lt;($F$8-$E$8)/($G$8-$E$8),$E$8+SQRT(R429*($G$8-$E$8)*($F$8-$E$8)),$G$8-SQRT((1-R429)*($G$8-$E$8)*($G$8-$F$8))))</f>
        <v>1.00858843277241</v>
      </c>
      <c r="E429" s="51" t="n">
        <f aca="false">1+IF($G$9=$E$9,$F$9,IF(S429&lt;($F$9-$E$9)/($G$9-$E$9),$E$9+SQRT(S429*($G$9-$E$9)*($F$9-$E$9)),$G$9-SQRT((1-S429)*($G$9-$E$9)*($G$9-$F$9))))</f>
        <v>1.01074908468702</v>
      </c>
      <c r="F429" s="51" t="n">
        <f aca="false">1+IF($G$10=$E$10,$F$10,IF(T429&lt;($F$10-$E$10)/($G$10-$E$10),$E$10+SQRT(T429*($G$10-$E$10)*($F$10-$E$10)),$G$10-SQRT((1-T429)*($G$10-$E$10)*($G$10-$F$10))))</f>
        <v>1.08480808568216</v>
      </c>
      <c r="G429" s="52" t="n">
        <f aca="false">IF($G$11=$E$11,$F$11,IF(U429&lt;($F$11-$E$11)/($G$11-$E$11),$E$11+SQRT(U429*($G$11-$E$11)*($F$11-$E$11)),$G$11-SQRT((1-U429)*($G$11-$E$11)*($G$11-$F$11))))</f>
        <v>0.100129993509966</v>
      </c>
      <c r="H429" s="53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-2169616171.36432</v>
      </c>
      <c r="I429" s="53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-56974987.5611172</v>
      </c>
      <c r="J429" s="53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183648344.483365</v>
      </c>
      <c r="K429" s="53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478512080.811956</v>
      </c>
      <c r="L429" s="53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588979185.623377</v>
      </c>
      <c r="M429" s="53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755405486.671305</v>
      </c>
      <c r="N429" s="53" t="n">
        <f aca="false">IF(COUNT('Business Case'!B11:G11)=0,"",H429+NPV(G429,I429:M429))</f>
        <v>-839419160.418262</v>
      </c>
      <c r="P429" s="54" t="n">
        <f aca="true">RAND()</f>
        <v>0.157958052807328</v>
      </c>
      <c r="Q429" s="54" t="n">
        <f aca="true">RAND()</f>
        <v>0.368123155568288</v>
      </c>
      <c r="R429" s="54" t="n">
        <f aca="true">RAND()</f>
        <v>0.442928358466436</v>
      </c>
      <c r="S429" s="54" t="n">
        <f aca="true">RAND()</f>
        <v>0.482911535586594</v>
      </c>
      <c r="T429" s="54" t="n">
        <f aca="true">RAND()</f>
        <v>0.636155085920091</v>
      </c>
      <c r="U429" s="54" t="n">
        <f aca="true">RAND()</f>
        <v>0.40518847485688</v>
      </c>
    </row>
    <row r="430" customFormat="false" ht="15" hidden="false" customHeight="false" outlineLevel="0" collapsed="false">
      <c r="A430" s="50" t="n">
        <v>350</v>
      </c>
      <c r="B430" s="51" t="n">
        <f aca="false">1+IF($G$6=$E$6,$F$6,IF(P430&lt;($F$6-$E$6)/($G$6-$E$6),$E$6+SQRT(P430*($G$6-$E$6)*($F$6-$E$6)),$G$6-SQRT((1-P430)*($G$6-$E$6)*($G$6-$F$6))))</f>
        <v>0.993680337983158</v>
      </c>
      <c r="C430" s="51" t="n">
        <f aca="false">1+IF($G$7=$E$7,$F$7,IF(Q430&lt;($F$7-$E$7)/($G$7-$E$7),$E$7+SQRT(Q430*($G$7-$E$7)*($F$7-$E$7)),$G$7-SQRT((1-Q430)*($G$7-$E$7)*($G$7-$F$7))))</f>
        <v>1.09170700222118</v>
      </c>
      <c r="D430" s="51" t="n">
        <f aca="false">1+IF($G$8=$E$8,$F$8,IF(R430&lt;($F$8-$E$8)/($G$8-$E$8),$E$8+SQRT(R430*($G$8-$E$8)*($F$8-$E$8)),$G$8-SQRT((1-R430)*($G$8-$E$8)*($G$8-$F$8))))</f>
        <v>0.977528545053286</v>
      </c>
      <c r="E430" s="51" t="n">
        <f aca="false">1+IF($G$9=$E$9,$F$9,IF(S430&lt;($F$9-$E$9)/($G$9-$E$9),$E$9+SQRT(S430*($G$9-$E$9)*($F$9-$E$9)),$G$9-SQRT((1-S430)*($G$9-$E$9)*($G$9-$F$9))))</f>
        <v>1.01086695529052</v>
      </c>
      <c r="F430" s="51" t="n">
        <f aca="false">1+IF($G$10=$E$10,$F$10,IF(T430&lt;($F$10-$E$10)/($G$10-$E$10),$E$10+SQRT(T430*($G$10-$E$10)*($F$10-$E$10)),$G$10-SQRT((1-T430)*($G$10-$E$10)*($G$10-$F$10))))</f>
        <v>1.02922503889737</v>
      </c>
      <c r="G430" s="52" t="n">
        <f aca="false">IF($G$11=$E$11,$F$11,IF(U430&lt;($F$11-$E$11)/($G$11-$E$11),$E$11+SQRT(U430*($G$11-$E$11)*($F$11-$E$11)),$G$11-SQRT((1-U430)*($G$11-$E$11)*($G$11-$F$11))))</f>
        <v>0.0984939637688321</v>
      </c>
      <c r="H430" s="53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-2058450077.79474</v>
      </c>
      <c r="I430" s="53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39323358.1306184</v>
      </c>
      <c r="J430" s="53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381550936.661193</v>
      </c>
      <c r="K430" s="53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775239767.136636</v>
      </c>
      <c r="L430" s="53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926806583.625432</v>
      </c>
      <c r="M430" s="53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1133006847.00776</v>
      </c>
      <c r="N430" s="53" t="n">
        <f aca="false">IF(COUNT('Business Case'!B11:G11)=0,"",H430+NPV(G430,I430:M430))</f>
        <v>223235944.964364</v>
      </c>
      <c r="P430" s="54" t="n">
        <f aca="true">RAND()</f>
        <v>0.585067048309253</v>
      </c>
      <c r="Q430" s="54" t="n">
        <f aca="true">RAND()</f>
        <v>0.949658169036428</v>
      </c>
      <c r="R430" s="54" t="n">
        <f aca="true">RAND()</f>
        <v>0.101042772366771</v>
      </c>
      <c r="S430" s="54" t="n">
        <f aca="true">RAND()</f>
        <v>0.483786556529896</v>
      </c>
      <c r="T430" s="54" t="n">
        <f aca="true">RAND()</f>
        <v>0.350112220668426</v>
      </c>
      <c r="U430" s="54" t="n">
        <f aca="true">RAND()</f>
        <v>0.342026695882875</v>
      </c>
    </row>
    <row r="431" customFormat="false" ht="15" hidden="false" customHeight="false" outlineLevel="0" collapsed="false">
      <c r="A431" s="50" t="n">
        <v>351</v>
      </c>
      <c r="B431" s="51" t="n">
        <f aca="false">1+IF($G$6=$E$6,$F$6,IF(P431&lt;($F$6-$E$6)/($G$6-$E$6),$E$6+SQRT(P431*($G$6-$E$6)*($F$6-$E$6)),$G$6-SQRT((1-P431)*($G$6-$E$6)*($G$6-$F$6))))</f>
        <v>0.970711313067861</v>
      </c>
      <c r="C431" s="51" t="n">
        <f aca="false">1+IF($G$7=$E$7,$F$7,IF(Q431&lt;($F$7-$E$7)/($G$7-$E$7),$E$7+SQRT(Q431*($G$7-$E$7)*($F$7-$E$7)),$G$7-SQRT((1-Q431)*($G$7-$E$7)*($G$7-$F$7))))</f>
        <v>1.04803067523691</v>
      </c>
      <c r="D431" s="51" t="n">
        <f aca="false">1+IF($G$8=$E$8,$F$8,IF(R431&lt;($F$8-$E$8)/($G$8-$E$8),$E$8+SQRT(R431*($G$8-$E$8)*($F$8-$E$8)),$G$8-SQRT((1-R431)*($G$8-$E$8)*($G$8-$F$8))))</f>
        <v>1.05898463208905</v>
      </c>
      <c r="E431" s="51" t="n">
        <f aca="false">1+IF($G$9=$E$9,$F$9,IF(S431&lt;($F$9-$E$9)/($G$9-$E$9),$E$9+SQRT(S431*($G$9-$E$9)*($F$9-$E$9)),$G$9-SQRT((1-S431)*($G$9-$E$9)*($G$9-$F$9))))</f>
        <v>0.975159280400013</v>
      </c>
      <c r="F431" s="51" t="n">
        <f aca="false">1+IF($G$10=$E$10,$F$10,IF(T431&lt;($F$10-$E$10)/($G$10-$E$10),$E$10+SQRT(T431*($G$10-$E$10)*($F$10-$E$10)),$G$10-SQRT((1-T431)*($G$10-$E$10)*($G$10-$F$10))))</f>
        <v>1.10557195067156</v>
      </c>
      <c r="G431" s="52" t="n">
        <f aca="false">IF($G$11=$E$11,$F$11,IF(U431&lt;($F$11-$E$11)/($G$11-$E$11),$E$11+SQRT(U431*($G$11-$E$11)*($F$11-$E$11)),$G$11-SQRT((1-U431)*($G$11-$E$11)*($G$11-$F$11))))</f>
        <v>0.0964168527546252</v>
      </c>
      <c r="H431" s="53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-2211143901.34312</v>
      </c>
      <c r="I431" s="53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-36846281.5308158</v>
      </c>
      <c r="J431" s="53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228270940.151663</v>
      </c>
      <c r="K431" s="53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548666759.36772</v>
      </c>
      <c r="L431" s="53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672198272.244051</v>
      </c>
      <c r="M431" s="53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865573353.31266</v>
      </c>
      <c r="N431" s="53" t="n">
        <f aca="false">IF(COUNT('Business Case'!B11:G11)=0,"",H431+NPV(G431,I431:M431))</f>
        <v>-627140753.403639</v>
      </c>
      <c r="P431" s="54" t="n">
        <f aca="true">RAND()</f>
        <v>0.333339319718732</v>
      </c>
      <c r="Q431" s="54" t="n">
        <f aca="true">RAND()</f>
        <v>0.845959360109033</v>
      </c>
      <c r="R431" s="54" t="n">
        <f aca="true">RAND()</f>
        <v>0.887849306341958</v>
      </c>
      <c r="S431" s="54" t="n">
        <f aca="true">RAND()</f>
        <v>0.225956697209913</v>
      </c>
      <c r="T431" s="54" t="n">
        <f aca="true">RAND()</f>
        <v>0.721873847562417</v>
      </c>
      <c r="U431" s="54" t="n">
        <f aca="true">RAND()</f>
        <v>0.269513054367045</v>
      </c>
    </row>
    <row r="432" customFormat="false" ht="15" hidden="false" customHeight="false" outlineLevel="0" collapsed="false">
      <c r="A432" s="50" t="n">
        <v>352</v>
      </c>
      <c r="B432" s="51" t="n">
        <f aca="false">1+IF($G$6=$E$6,$F$6,IF(P432&lt;($F$6-$E$6)/($G$6-$E$6),$E$6+SQRT(P432*($G$6-$E$6)*($F$6-$E$6)),$G$6-SQRT((1-P432)*($G$6-$E$6)*($G$6-$F$6))))</f>
        <v>0.952823705451569</v>
      </c>
      <c r="C432" s="51" t="n">
        <f aca="false">1+IF($G$7=$E$7,$F$7,IF(Q432&lt;($F$7-$E$7)/($G$7-$E$7),$E$7+SQRT(Q432*($G$7-$E$7)*($F$7-$E$7)),$G$7-SQRT((1-Q432)*($G$7-$E$7)*($G$7-$F$7))))</f>
        <v>0.91537285429885</v>
      </c>
      <c r="D432" s="51" t="n">
        <f aca="false">1+IF($G$8=$E$8,$F$8,IF(R432&lt;($F$8-$E$8)/($G$8-$E$8),$E$8+SQRT(R432*($G$8-$E$8)*($F$8-$E$8)),$G$8-SQRT((1-R432)*($G$8-$E$8)*($G$8-$F$8))))</f>
        <v>1.04849356823535</v>
      </c>
      <c r="E432" s="51" t="n">
        <f aca="false">1+IF($G$9=$E$9,$F$9,IF(S432&lt;($F$9-$E$9)/($G$9-$E$9),$E$9+SQRT(S432*($G$9-$E$9)*($F$9-$E$9)),$G$9-SQRT((1-S432)*($G$9-$E$9)*($G$9-$F$9))))</f>
        <v>0.980489386273209</v>
      </c>
      <c r="F432" s="51" t="n">
        <f aca="false">1+IF($G$10=$E$10,$F$10,IF(T432&lt;($F$10-$E$10)/($G$10-$E$10),$E$10+SQRT(T432*($G$10-$E$10)*($F$10-$E$10)),$G$10-SQRT((1-T432)*($G$10-$E$10)*($G$10-$F$10))))</f>
        <v>0.983048652591818</v>
      </c>
      <c r="G432" s="52" t="n">
        <f aca="false">IF($G$11=$E$11,$F$11,IF(U432&lt;($F$11-$E$11)/($G$11-$E$11),$E$11+SQRT(U432*($G$11-$E$11)*($F$11-$E$11)),$G$11-SQRT((1-U432)*($G$11-$E$11)*($G$11-$F$11))))</f>
        <v>0.104269133729662</v>
      </c>
      <c r="H432" s="53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-1966097305.18364</v>
      </c>
      <c r="I432" s="53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-59880824.4732437</v>
      </c>
      <c r="J432" s="53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163183082.462906</v>
      </c>
      <c r="K432" s="53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435399422.028647</v>
      </c>
      <c r="L432" s="53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539896907.955472</v>
      </c>
      <c r="M432" s="53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705682584.503398</v>
      </c>
      <c r="N432" s="53" t="n">
        <f aca="false">IF(COUNT('Business Case'!B11:G11)=0,"",H432+NPV(G432,I432:M432))</f>
        <v>-770303971.044428</v>
      </c>
      <c r="P432" s="54" t="n">
        <f aca="true">RAND()</f>
        <v>0.186022923842277</v>
      </c>
      <c r="Q432" s="54" t="n">
        <f aca="true">RAND()</f>
        <v>0.343596047176545</v>
      </c>
      <c r="R432" s="54" t="n">
        <f aca="true">RAND()</f>
        <v>0.823139165791586</v>
      </c>
      <c r="S432" s="54" t="n">
        <f aca="true">RAND()</f>
        <v>0.259141652105512</v>
      </c>
      <c r="T432" s="54" t="n">
        <f aca="true">RAND()</f>
        <v>0.0728142292089802</v>
      </c>
      <c r="U432" s="54" t="n">
        <f aca="true">RAND()</f>
        <v>0.558615013985336</v>
      </c>
    </row>
    <row r="433" customFormat="false" ht="15" hidden="false" customHeight="false" outlineLevel="0" collapsed="false">
      <c r="A433" s="50" t="n">
        <v>353</v>
      </c>
      <c r="B433" s="51" t="n">
        <f aca="false">1+IF($G$6=$E$6,$F$6,IF(P433&lt;($F$6-$E$6)/($G$6-$E$6),$E$6+SQRT(P433*($G$6-$E$6)*($F$6-$E$6)),$G$6-SQRT((1-P433)*($G$6-$E$6)*($G$6-$F$6))))</f>
        <v>1.00967656877306</v>
      </c>
      <c r="C433" s="51" t="n">
        <f aca="false">1+IF($G$7=$E$7,$F$7,IF(Q433&lt;($F$7-$E$7)/($G$7-$E$7),$E$7+SQRT(Q433*($G$7-$E$7)*($F$7-$E$7)),$G$7-SQRT((1-Q433)*($G$7-$E$7)*($G$7-$F$7))))</f>
        <v>1.09143653420953</v>
      </c>
      <c r="D433" s="51" t="n">
        <f aca="false">1+IF($G$8=$E$8,$F$8,IF(R433&lt;($F$8-$E$8)/($G$8-$E$8),$E$8+SQRT(R433*($G$8-$E$8)*($F$8-$E$8)),$G$8-SQRT((1-R433)*($G$8-$E$8)*($G$8-$F$8))))</f>
        <v>1.06380741747229</v>
      </c>
      <c r="E433" s="51" t="n">
        <f aca="false">1+IF($G$9=$E$9,$F$9,IF(S433&lt;($F$9-$E$9)/($G$9-$E$9),$E$9+SQRT(S433*($G$9-$E$9)*($F$9-$E$9)),$G$9-SQRT((1-S433)*($G$9-$E$9)*($G$9-$F$9))))</f>
        <v>1.07036743514293</v>
      </c>
      <c r="F433" s="51" t="n">
        <f aca="false">1+IF($G$10=$E$10,$F$10,IF(T433&lt;($F$10-$E$10)/($G$10-$E$10),$E$10+SQRT(T433*($G$10-$E$10)*($F$10-$E$10)),$G$10-SQRT((1-T433)*($G$10-$E$10)*($G$10-$F$10))))</f>
        <v>1.06189186031976</v>
      </c>
      <c r="G433" s="52" t="n">
        <f aca="false">IF($G$11=$E$11,$F$11,IF(U433&lt;($F$11-$E$11)/($G$11-$E$11),$E$11+SQRT(U433*($G$11-$E$11)*($F$11-$E$11)),$G$11-SQRT((1-U433)*($G$11-$E$11)*($G$11-$F$11))))</f>
        <v>0.106989904212097</v>
      </c>
      <c r="H433" s="53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-2123783720.63953</v>
      </c>
      <c r="I433" s="53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-7286579.91702814</v>
      </c>
      <c r="J433" s="53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300949846.346562</v>
      </c>
      <c r="K433" s="53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662280865.62614</v>
      </c>
      <c r="L433" s="53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803111388.294881</v>
      </c>
      <c r="M433" s="53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1012579148.15638</v>
      </c>
      <c r="N433" s="53" t="n">
        <f aca="false">IF(COUNT('Business Case'!B11:G11)=0,"",H433+NPV(G433,I433:M433))</f>
        <v>-252620156.69897</v>
      </c>
      <c r="P433" s="54" t="n">
        <f aca="true">RAND()</f>
        <v>0.783202785878133</v>
      </c>
      <c r="Q433" s="54" t="n">
        <f aca="true">RAND()</f>
        <v>0.949189932957157</v>
      </c>
      <c r="R433" s="54" t="n">
        <f aca="true">RAND()</f>
        <v>0.912673131331681</v>
      </c>
      <c r="S433" s="54" t="n">
        <f aca="true">RAND()</f>
        <v>0.830897456380917</v>
      </c>
      <c r="T433" s="54" t="n">
        <f aca="true">RAND()</f>
        <v>0.528204370480546</v>
      </c>
      <c r="U433" s="54" t="n">
        <f aca="true">RAND()</f>
        <v>0.64702366122103</v>
      </c>
    </row>
    <row r="434" customFormat="false" ht="15" hidden="false" customHeight="false" outlineLevel="0" collapsed="false">
      <c r="A434" s="50" t="n">
        <v>354</v>
      </c>
      <c r="B434" s="51" t="n">
        <f aca="false">1+IF($G$6=$E$6,$F$6,IF(P434&lt;($F$6-$E$6)/($G$6-$E$6),$E$6+SQRT(P434*($G$6-$E$6)*($F$6-$E$6)),$G$6-SQRT((1-P434)*($G$6-$E$6)*($G$6-$F$6))))</f>
        <v>0.980054713715024</v>
      </c>
      <c r="C434" s="51" t="n">
        <f aca="false">1+IF($G$7=$E$7,$F$7,IF(Q434&lt;($F$7-$E$7)/($G$7-$E$7),$E$7+SQRT(Q434*($G$7-$E$7)*($F$7-$E$7)),$G$7-SQRT((1-Q434)*($G$7-$E$7)*($G$7-$F$7))))</f>
        <v>0.968030163238044</v>
      </c>
      <c r="D434" s="51" t="n">
        <f aca="false">1+IF($G$8=$E$8,$F$8,IF(R434&lt;($F$8-$E$8)/($G$8-$E$8),$E$8+SQRT(R434*($G$8-$E$8)*($F$8-$E$8)),$G$8-SQRT((1-R434)*($G$8-$E$8)*($G$8-$F$8))))</f>
        <v>1.06992238658143</v>
      </c>
      <c r="E434" s="51" t="n">
        <f aca="false">1+IF($G$9=$E$9,$F$9,IF(S434&lt;($F$9-$E$9)/($G$9-$E$9),$E$9+SQRT(S434*($G$9-$E$9)*($F$9-$E$9)),$G$9-SQRT((1-S434)*($G$9-$E$9)*($G$9-$F$9))))</f>
        <v>1.02666121123363</v>
      </c>
      <c r="F434" s="51" t="n">
        <f aca="false">1+IF($G$10=$E$10,$F$10,IF(T434&lt;($F$10-$E$10)/($G$10-$E$10),$E$10+SQRT(T434*($G$10-$E$10)*($F$10-$E$10)),$G$10-SQRT((1-T434)*($G$10-$E$10)*($G$10-$F$10))))</f>
        <v>1.05970123328453</v>
      </c>
      <c r="G434" s="52" t="n">
        <f aca="false">IF($G$11=$E$11,$F$11,IF(U434&lt;($F$11-$E$11)/($G$11-$E$11),$E$11+SQRT(U434*($G$11-$E$11)*($F$11-$E$11)),$G$11-SQRT((1-U434)*($G$11-$E$11)*($G$11-$F$11))))</f>
        <v>0.0989051962978534</v>
      </c>
      <c r="H434" s="53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-2119402466.56906</v>
      </c>
      <c r="I434" s="53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-54275387.2551117</v>
      </c>
      <c r="J434" s="53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192592348.72572</v>
      </c>
      <c r="K434" s="53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492445146.370779</v>
      </c>
      <c r="L434" s="53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607522242.144435</v>
      </c>
      <c r="M434" s="53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787855419.601351</v>
      </c>
      <c r="N434" s="53" t="n">
        <f aca="false">IF(COUNT('Business Case'!B11:G11)=0,"",H434+NPV(G434,I434:M434))</f>
        <v>-729980250.791705</v>
      </c>
      <c r="P434" s="54" t="n">
        <f aca="true">RAND()</f>
        <v>0.427250479199627</v>
      </c>
      <c r="Q434" s="54" t="n">
        <f aca="true">RAND()</f>
        <v>0.532149395595648</v>
      </c>
      <c r="R434" s="54" t="n">
        <f aca="true">RAND()</f>
        <v>0.939689144736223</v>
      </c>
      <c r="S434" s="54" t="n">
        <f aca="true">RAND()</f>
        <v>0.59433448495055</v>
      </c>
      <c r="T434" s="54" t="n">
        <f aca="true">RAND()</f>
        <v>0.517151725154276</v>
      </c>
      <c r="U434" s="54" t="n">
        <f aca="true">RAND()</f>
        <v>0.357406447060371</v>
      </c>
    </row>
    <row r="435" customFormat="false" ht="15" hidden="false" customHeight="false" outlineLevel="0" collapsed="false">
      <c r="A435" s="50" t="n">
        <v>355</v>
      </c>
      <c r="B435" s="51" t="n">
        <f aca="false">1+IF($G$6=$E$6,$F$6,IF(P435&lt;($F$6-$E$6)/($G$6-$E$6),$E$6+SQRT(P435*($G$6-$E$6)*($F$6-$E$6)),$G$6-SQRT((1-P435)*($G$6-$E$6)*($G$6-$F$6))))</f>
        <v>0.966999733590985</v>
      </c>
      <c r="C435" s="51" t="n">
        <f aca="false">1+IF($G$7=$E$7,$F$7,IF(Q435&lt;($F$7-$E$7)/($G$7-$E$7),$E$7+SQRT(Q435*($G$7-$E$7)*($F$7-$E$7)),$G$7-SQRT((1-Q435)*($G$7-$E$7)*($G$7-$F$7))))</f>
        <v>0.986786979589874</v>
      </c>
      <c r="D435" s="51" t="n">
        <f aca="false">1+IF($G$8=$E$8,$F$8,IF(R435&lt;($F$8-$E$8)/($G$8-$E$8),$E$8+SQRT(R435*($G$8-$E$8)*($F$8-$E$8)),$G$8-SQRT((1-R435)*($G$8-$E$8)*($G$8-$F$8))))</f>
        <v>1.05505620956394</v>
      </c>
      <c r="E435" s="51" t="n">
        <f aca="false">1+IF($G$9=$E$9,$F$9,IF(S435&lt;($F$9-$E$9)/($G$9-$E$9),$E$9+SQRT(S435*($G$9-$E$9)*($F$9-$E$9)),$G$9-SQRT((1-S435)*($G$9-$E$9)*($G$9-$F$9))))</f>
        <v>1.05169127719536</v>
      </c>
      <c r="F435" s="51" t="n">
        <f aca="false">1+IF($G$10=$E$10,$F$10,IF(T435&lt;($F$10-$E$10)/($G$10-$E$10),$E$10+SQRT(T435*($G$10-$E$10)*($F$10-$E$10)),$G$10-SQRT((1-T435)*($G$10-$E$10)*($G$10-$F$10))))</f>
        <v>1.11063412870274</v>
      </c>
      <c r="G435" s="52" t="n">
        <f aca="false">IF($G$11=$E$11,$F$11,IF(U435&lt;($F$11-$E$11)/($G$11-$E$11),$E$11+SQRT(U435*($G$11-$E$11)*($F$11-$E$11)),$G$11-SQRT((1-U435)*($G$11-$E$11)*($G$11-$F$11))))</f>
        <v>0.119784637323313</v>
      </c>
      <c r="H435" s="53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-2221268257.40548</v>
      </c>
      <c r="I435" s="53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-61471651.013223</v>
      </c>
      <c r="J435" s="53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187137517.63306</v>
      </c>
      <c r="K435" s="53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491278392.71448</v>
      </c>
      <c r="L435" s="53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607126053.711275</v>
      </c>
      <c r="M435" s="53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788504713.342133</v>
      </c>
      <c r="N435" s="53" t="n">
        <f aca="false">IF(COUNT('Business Case'!B11:G11)=0,"",H435+NPV(G435,I435:M435))</f>
        <v>-943052230.025807</v>
      </c>
      <c r="P435" s="54" t="n">
        <f aca="true">RAND()</f>
        <v>0.299264286750863</v>
      </c>
      <c r="Q435" s="54" t="n">
        <f aca="true">RAND()</f>
        <v>0.609235345646539</v>
      </c>
      <c r="R435" s="54" t="n">
        <f aca="true">RAND()</f>
        <v>0.865337046749272</v>
      </c>
      <c r="S435" s="54" t="n">
        <f aca="true">RAND()</f>
        <v>0.742277200547216</v>
      </c>
      <c r="T435" s="54" t="n">
        <f aca="true">RAND()</f>
        <v>0.741028718900731</v>
      </c>
      <c r="U435" s="54" t="n">
        <f aca="true">RAND()</f>
        <v>0.930430910255839</v>
      </c>
    </row>
    <row r="436" customFormat="false" ht="15" hidden="false" customHeight="false" outlineLevel="0" collapsed="false">
      <c r="A436" s="50" t="n">
        <v>356</v>
      </c>
      <c r="B436" s="51" t="n">
        <f aca="false">1+IF($G$6=$E$6,$F$6,IF(P436&lt;($F$6-$E$6)/($G$6-$E$6),$E$6+SQRT(P436*($G$6-$E$6)*($F$6-$E$6)),$G$6-SQRT((1-P436)*($G$6-$E$6)*($G$6-$F$6))))</f>
        <v>1.00800141846238</v>
      </c>
      <c r="C436" s="51" t="n">
        <f aca="false">1+IF($G$7=$E$7,$F$7,IF(Q436&lt;($F$7-$E$7)/($G$7-$E$7),$E$7+SQRT(Q436*($G$7-$E$7)*($F$7-$E$7)),$G$7-SQRT((1-Q436)*($G$7-$E$7)*($G$7-$F$7))))</f>
        <v>0.949782591516766</v>
      </c>
      <c r="D436" s="51" t="n">
        <f aca="false">1+IF($G$8=$E$8,$F$8,IF(R436&lt;($F$8-$E$8)/($G$8-$E$8),$E$8+SQRT(R436*($G$8-$E$8)*($F$8-$E$8)),$G$8-SQRT((1-R436)*($G$8-$E$8)*($G$8-$F$8))))</f>
        <v>1.03469669435998</v>
      </c>
      <c r="E436" s="51" t="n">
        <f aca="false">1+IF($G$9=$E$9,$F$9,IF(S436&lt;($F$9-$E$9)/($G$9-$E$9),$E$9+SQRT(S436*($G$9-$E$9)*($F$9-$E$9)),$G$9-SQRT((1-S436)*($G$9-$E$9)*($G$9-$F$9))))</f>
        <v>1.03783369300247</v>
      </c>
      <c r="F436" s="51" t="n">
        <f aca="false">1+IF($G$10=$E$10,$F$10,IF(T436&lt;($F$10-$E$10)/($G$10-$E$10),$E$10+SQRT(T436*($G$10-$E$10)*($F$10-$E$10)),$G$10-SQRT((1-T436)*($G$10-$E$10)*($G$10-$F$10))))</f>
        <v>1.00290321628416</v>
      </c>
      <c r="G436" s="52" t="n">
        <f aca="false">IF($G$11=$E$11,$F$11,IF(U436&lt;($F$11-$E$11)/($G$11-$E$11),$E$11+SQRT(U436*($G$11-$E$11)*($F$11-$E$11)),$G$11-SQRT((1-U436)*($G$11-$E$11)*($G$11-$F$11))))</f>
        <v>0.115931146835174</v>
      </c>
      <c r="H436" s="53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-2005806432.56832</v>
      </c>
      <c r="I436" s="53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-16418690.944638</v>
      </c>
      <c r="J436" s="53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264663584.105122</v>
      </c>
      <c r="K436" s="53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595891019.969091</v>
      </c>
      <c r="L436" s="53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722672240.466365</v>
      </c>
      <c r="M436" s="53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904651448.943481</v>
      </c>
      <c r="N436" s="53" t="n">
        <f aca="false">IF(COUNT('Business Case'!B11:G11)=0,"",H436+NPV(G436,I436:M436))</f>
        <v>-390433397.167032</v>
      </c>
      <c r="P436" s="54" t="n">
        <f aca="true">RAND()</f>
        <v>0.764815886510421</v>
      </c>
      <c r="Q436" s="54" t="n">
        <f aca="true">RAND()</f>
        <v>0.462158096480233</v>
      </c>
      <c r="R436" s="54" t="n">
        <f aca="true">RAND()</f>
        <v>0.715698551499109</v>
      </c>
      <c r="S436" s="54" t="n">
        <f aca="true">RAND()</f>
        <v>0.664499188654279</v>
      </c>
      <c r="T436" s="54" t="n">
        <f aca="true">RAND()</f>
        <v>0.185909059697149</v>
      </c>
      <c r="U436" s="54" t="n">
        <f aca="true">RAND()</f>
        <v>0.868044913751048</v>
      </c>
    </row>
    <row r="437" customFormat="false" ht="15" hidden="false" customHeight="false" outlineLevel="0" collapsed="false">
      <c r="A437" s="50" t="n">
        <v>357</v>
      </c>
      <c r="B437" s="51" t="n">
        <f aca="false">1+IF($G$6=$E$6,$F$6,IF(P437&lt;($F$6-$E$6)/($G$6-$E$6),$E$6+SQRT(P437*($G$6-$E$6)*($F$6-$E$6)),$G$6-SQRT((1-P437)*($G$6-$E$6)*($G$6-$F$6))))</f>
        <v>1.01755583985225</v>
      </c>
      <c r="C437" s="51" t="n">
        <f aca="false">1+IF($G$7=$E$7,$F$7,IF(Q437&lt;($F$7-$E$7)/($G$7-$E$7),$E$7+SQRT(Q437*($G$7-$E$7)*($F$7-$E$7)),$G$7-SQRT((1-Q437)*($G$7-$E$7)*($G$7-$F$7))))</f>
        <v>0.835905439826353</v>
      </c>
      <c r="D437" s="51" t="n">
        <f aca="false">1+IF($G$8=$E$8,$F$8,IF(R437&lt;($F$8-$E$8)/($G$8-$E$8),$E$8+SQRT(R437*($G$8-$E$8)*($F$8-$E$8)),$G$8-SQRT((1-R437)*($G$8-$E$8)*($G$8-$F$8))))</f>
        <v>1.02523368009436</v>
      </c>
      <c r="E437" s="51" t="n">
        <f aca="false">1+IF($G$9=$E$9,$F$9,IF(S437&lt;($F$9-$E$9)/($G$9-$E$9),$E$9+SQRT(S437*($G$9-$E$9)*($F$9-$E$9)),$G$9-SQRT((1-S437)*($G$9-$E$9)*($G$9-$F$9))))</f>
        <v>1.06654884068228</v>
      </c>
      <c r="F437" s="51" t="n">
        <f aca="false">1+IF($G$10=$E$10,$F$10,IF(T437&lt;($F$10-$E$10)/($G$10-$E$10),$E$10+SQRT(T437*($G$10-$E$10)*($F$10-$E$10)),$G$10-SQRT((1-T437)*($G$10-$E$10)*($G$10-$F$10))))</f>
        <v>1.09214183339161</v>
      </c>
      <c r="G437" s="52" t="n">
        <f aca="false">IF($G$11=$E$11,$F$11,IF(U437&lt;($F$11-$E$11)/($G$11-$E$11),$E$11+SQRT(U437*($G$11-$E$11)*($F$11-$E$11)),$G$11-SQRT((1-U437)*($G$11-$E$11)*($G$11-$F$11))))</f>
        <v>0.0961286221972126</v>
      </c>
      <c r="H437" s="53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-2184283666.78321</v>
      </c>
      <c r="I437" s="53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-46999505.7633577</v>
      </c>
      <c r="J437" s="53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210972508.100266</v>
      </c>
      <c r="K437" s="53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523551613.63347</v>
      </c>
      <c r="L437" s="53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638938345.683211</v>
      </c>
      <c r="M437" s="53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800616679.873478</v>
      </c>
      <c r="N437" s="53" t="n">
        <f aca="false">IF(COUNT('Business Case'!B11:G11)=0,"",H437+NPV(G437,I437:M437))</f>
        <v>-705473050.51786</v>
      </c>
      <c r="P437" s="54" t="n">
        <f aca="true">RAND()</f>
        <v>0.859650196307653</v>
      </c>
      <c r="Q437" s="54" t="n">
        <f aca="true">RAND()</f>
        <v>0.136816952402921</v>
      </c>
      <c r="R437" s="54" t="n">
        <f aca="true">RAND()</f>
        <v>0.627333160517842</v>
      </c>
      <c r="S437" s="54" t="n">
        <f aca="true">RAND()</f>
        <v>0.814290773560768</v>
      </c>
      <c r="T437" s="54" t="n">
        <f aca="true">RAND()</f>
        <v>0.667743989800488</v>
      </c>
      <c r="U437" s="54" t="n">
        <f aca="true">RAND()</f>
        <v>0.26013245398042</v>
      </c>
    </row>
    <row r="438" customFormat="false" ht="15" hidden="false" customHeight="false" outlineLevel="0" collapsed="false">
      <c r="A438" s="50" t="n">
        <v>358</v>
      </c>
      <c r="B438" s="51" t="n">
        <f aca="false">1+IF($G$6=$E$6,$F$6,IF(P438&lt;($F$6-$E$6)/($G$6-$E$6),$E$6+SQRT(P438*($G$6-$E$6)*($F$6-$E$6)),$G$6-SQRT((1-P438)*($G$6-$E$6)*($G$6-$F$6))))</f>
        <v>1.01667789220454</v>
      </c>
      <c r="C438" s="51" t="n">
        <f aca="false">1+IF($G$7=$E$7,$F$7,IF(Q438&lt;($F$7-$E$7)/($G$7-$E$7),$E$7+SQRT(Q438*($G$7-$E$7)*($F$7-$E$7)),$G$7-SQRT((1-Q438)*($G$7-$E$7)*($G$7-$F$7))))</f>
        <v>0.86891276625069</v>
      </c>
      <c r="D438" s="51" t="n">
        <f aca="false">1+IF($G$8=$E$8,$F$8,IF(R438&lt;($F$8-$E$8)/($G$8-$E$8),$E$8+SQRT(R438*($G$8-$E$8)*($F$8-$E$8)),$G$8-SQRT((1-R438)*($G$8-$E$8)*($G$8-$F$8))))</f>
        <v>1.07094523398128</v>
      </c>
      <c r="E438" s="51" t="n">
        <f aca="false">1+IF($G$9=$E$9,$F$9,IF(S438&lt;($F$9-$E$9)/($G$9-$E$9),$E$9+SQRT(S438*($G$9-$E$9)*($F$9-$E$9)),$G$9-SQRT((1-S438)*($G$9-$E$9)*($G$9-$F$9))))</f>
        <v>1.00454392026701</v>
      </c>
      <c r="F438" s="51" t="n">
        <f aca="false">1+IF($G$10=$E$10,$F$10,IF(T438&lt;($F$10-$E$10)/($G$10-$E$10),$E$10+SQRT(T438*($G$10-$E$10)*($F$10-$E$10)),$G$10-SQRT((1-T438)*($G$10-$E$10)*($G$10-$F$10))))</f>
        <v>1.09992033182411</v>
      </c>
      <c r="G438" s="52" t="n">
        <f aca="false">IF($G$11=$E$11,$F$11,IF(U438&lt;($F$11-$E$11)/($G$11-$E$11),$E$11+SQRT(U438*($G$11-$E$11)*($F$11-$E$11)),$G$11-SQRT((1-U438)*($G$11-$E$11)*($G$11-$F$11))))</f>
        <v>0.0847310558969118</v>
      </c>
      <c r="H438" s="53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-2199840663.64822</v>
      </c>
      <c r="I438" s="53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-51433298.3238165</v>
      </c>
      <c r="J438" s="53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195767266.077266</v>
      </c>
      <c r="K438" s="53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497963847.069554</v>
      </c>
      <c r="L438" s="53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610894491.256927</v>
      </c>
      <c r="M438" s="53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778811999.552162</v>
      </c>
      <c r="N438" s="53" t="n">
        <f aca="false">IF(COUNT('Business Case'!B11:G11)=0,"",H438+NPV(G438,I438:M438))</f>
        <v>-730897539.836532</v>
      </c>
      <c r="P438" s="54" t="n">
        <f aca="true">RAND()</f>
        <v>0.851951617608994</v>
      </c>
      <c r="Q438" s="54" t="n">
        <f aca="true">RAND()</f>
        <v>0.211344611870077</v>
      </c>
      <c r="R438" s="54" t="n">
        <f aca="true">RAND()</f>
        <v>0.943721371439837</v>
      </c>
      <c r="S438" s="54" t="n">
        <f aca="true">RAND()</f>
        <v>0.435800769832282</v>
      </c>
      <c r="T438" s="54" t="n">
        <f aca="true">RAND()</f>
        <v>0.699681242669534</v>
      </c>
      <c r="U438" s="54" t="n">
        <f aca="true">RAND()</f>
        <v>0.0223828898997038</v>
      </c>
    </row>
    <row r="439" customFormat="false" ht="15" hidden="false" customHeight="false" outlineLevel="0" collapsed="false">
      <c r="A439" s="50" t="n">
        <v>359</v>
      </c>
      <c r="B439" s="51" t="n">
        <f aca="false">1+IF($G$6=$E$6,$F$6,IF(P439&lt;($F$6-$E$6)/($G$6-$E$6),$E$6+SQRT(P439*($G$6-$E$6)*($F$6-$E$6)),$G$6-SQRT((1-P439)*($G$6-$E$6)*($G$6-$F$6))))</f>
        <v>1.00155516524152</v>
      </c>
      <c r="C439" s="51" t="n">
        <f aca="false">1+IF($G$7=$E$7,$F$7,IF(Q439&lt;($F$7-$E$7)/($G$7-$E$7),$E$7+SQRT(Q439*($G$7-$E$7)*($F$7-$E$7)),$G$7-SQRT((1-Q439)*($G$7-$E$7)*($G$7-$F$7))))</f>
        <v>0.785106357989762</v>
      </c>
      <c r="D439" s="51" t="n">
        <f aca="false">1+IF($G$8=$E$8,$F$8,IF(R439&lt;($F$8-$E$8)/($G$8-$E$8),$E$8+SQRT(R439*($G$8-$E$8)*($F$8-$E$8)),$G$8-SQRT((1-R439)*($G$8-$E$8)*($G$8-$F$8))))</f>
        <v>1.02423340835782</v>
      </c>
      <c r="E439" s="51" t="n">
        <f aca="false">1+IF($G$9=$E$9,$F$9,IF(S439&lt;($F$9-$E$9)/($G$9-$E$9),$E$9+SQRT(S439*($G$9-$E$9)*($F$9-$E$9)),$G$9-SQRT((1-S439)*($G$9-$E$9)*($G$9-$F$9))))</f>
        <v>1.01430600300369</v>
      </c>
      <c r="F439" s="51" t="n">
        <f aca="false">1+IF($G$10=$E$10,$F$10,IF(T439&lt;($F$10-$E$10)/($G$10-$E$10),$E$10+SQRT(T439*($G$10-$E$10)*($F$10-$E$10)),$G$10-SQRT((1-T439)*($G$10-$E$10)*($G$10-$F$10))))</f>
        <v>1.05536425132608</v>
      </c>
      <c r="G439" s="52" t="n">
        <f aca="false">IF($G$11=$E$11,$F$11,IF(U439&lt;($F$11-$E$11)/($G$11-$E$11),$E$11+SQRT(U439*($G$11-$E$11)*($F$11-$E$11)),$G$11-SQRT((1-U439)*($G$11-$E$11)*($G$11-$F$11))))</f>
        <v>0.0980080809515616</v>
      </c>
      <c r="H439" s="53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-2110728502.65215</v>
      </c>
      <c r="I439" s="53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-58126586.0026661</v>
      </c>
      <c r="J439" s="53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174280775.44355</v>
      </c>
      <c r="K439" s="53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459456349.456069</v>
      </c>
      <c r="L439" s="53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564100942.397574</v>
      </c>
      <c r="M439" s="53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713566040.924458</v>
      </c>
      <c r="N439" s="53" t="n">
        <f aca="false">IF(COUNT('Business Case'!B11:G11)=0,"",H439+NPV(G439,I439:M439))</f>
        <v>-836837638.961891</v>
      </c>
      <c r="P439" s="54" t="n">
        <f aca="true">RAND()</f>
        <v>0.687079731363119</v>
      </c>
      <c r="Q439" s="54" t="n">
        <f aca="true">RAND()</f>
        <v>0.0536525345946783</v>
      </c>
      <c r="R439" s="54" t="n">
        <f aca="true">RAND()</f>
        <v>0.617294906061804</v>
      </c>
      <c r="S439" s="54" t="n">
        <f aca="true">RAND()</f>
        <v>0.508990378111053</v>
      </c>
      <c r="T439" s="54" t="n">
        <f aca="true">RAND()</f>
        <v>0.49489233784188</v>
      </c>
      <c r="U439" s="54" t="n">
        <f aca="true">RAND()</f>
        <v>0.324290979557997</v>
      </c>
    </row>
    <row r="440" customFormat="false" ht="15" hidden="false" customHeight="false" outlineLevel="0" collapsed="false">
      <c r="A440" s="50" t="n">
        <v>360</v>
      </c>
      <c r="B440" s="51" t="n">
        <f aca="false">1+IF($G$6=$E$6,$F$6,IF(P440&lt;($F$6-$E$6)/($G$6-$E$6),$E$6+SQRT(P440*($G$6-$E$6)*($F$6-$E$6)),$G$6-SQRT((1-P440)*($G$6-$E$6)*($G$6-$F$6))))</f>
        <v>0.995184947990818</v>
      </c>
      <c r="C440" s="51" t="n">
        <f aca="false">1+IF($G$7=$E$7,$F$7,IF(Q440&lt;($F$7-$E$7)/($G$7-$E$7),$E$7+SQRT(Q440*($G$7-$E$7)*($F$7-$E$7)),$G$7-SQRT((1-Q440)*($G$7-$E$7)*($G$7-$F$7))))</f>
        <v>0.919372820797858</v>
      </c>
      <c r="D440" s="51" t="n">
        <f aca="false">1+IF($G$8=$E$8,$F$8,IF(R440&lt;($F$8-$E$8)/($G$8-$E$8),$E$8+SQRT(R440*($G$8-$E$8)*($F$8-$E$8)),$G$8-SQRT((1-R440)*($G$8-$E$8)*($G$8-$F$8))))</f>
        <v>0.976518154184213</v>
      </c>
      <c r="E440" s="51" t="n">
        <f aca="false">1+IF($G$9=$E$9,$F$9,IF(S440&lt;($F$9-$E$9)/($G$9-$E$9),$E$9+SQRT(S440*($G$9-$E$9)*($F$9-$E$9)),$G$9-SQRT((1-S440)*($G$9-$E$9)*($G$9-$F$9))))</f>
        <v>1.05316059559874</v>
      </c>
      <c r="F440" s="51" t="n">
        <f aca="false">1+IF($G$10=$E$10,$F$10,IF(T440&lt;($F$10-$E$10)/($G$10-$E$10),$E$10+SQRT(T440*($G$10-$E$10)*($F$10-$E$10)),$G$10-SQRT((1-T440)*($G$10-$E$10)*($G$10-$F$10))))</f>
        <v>1.17366480601702</v>
      </c>
      <c r="G440" s="52" t="n">
        <f aca="false">IF($G$11=$E$11,$F$11,IF(U440&lt;($F$11-$E$11)/($G$11-$E$11),$E$11+SQRT(U440*($G$11-$E$11)*($F$11-$E$11)),$G$11-SQRT((1-U440)*($G$11-$E$11)*($G$11-$F$11))))</f>
        <v>0.124007285110057</v>
      </c>
      <c r="H440" s="53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-2347329612.03403</v>
      </c>
      <c r="I440" s="53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-24743786.5556403</v>
      </c>
      <c r="J440" s="53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265069144.4539</v>
      </c>
      <c r="K440" s="53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613565315.764291</v>
      </c>
      <c r="L440" s="53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741790159.613697</v>
      </c>
      <c r="M440" s="53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915703093.934603</v>
      </c>
      <c r="N440" s="53" t="n">
        <f aca="false">IF(COUNT('Business Case'!B11:G11)=0,"",H440+NPV(G440,I440:M440))</f>
        <v>-752334513.767284</v>
      </c>
      <c r="P440" s="54" t="n">
        <f aca="true">RAND()</f>
        <v>0.604011621600979</v>
      </c>
      <c r="Q440" s="54" t="n">
        <f aca="true">RAND()</f>
        <v>0.356477292628215</v>
      </c>
      <c r="R440" s="54" t="n">
        <f aca="true">RAND()</f>
        <v>0.0937616668450277</v>
      </c>
      <c r="S440" s="54" t="n">
        <f aca="true">RAND()</f>
        <v>0.749923460138913</v>
      </c>
      <c r="T440" s="54" t="n">
        <f aca="true">RAND()</f>
        <v>0.922305842127735</v>
      </c>
      <c r="U440" s="54" t="n">
        <f aca="true">RAND()</f>
        <v>0.976058245498568</v>
      </c>
    </row>
    <row r="441" customFormat="false" ht="15" hidden="false" customHeight="false" outlineLevel="0" collapsed="false">
      <c r="A441" s="50" t="n">
        <v>361</v>
      </c>
      <c r="B441" s="51" t="n">
        <f aca="false">1+IF($G$6=$E$6,$F$6,IF(P441&lt;($F$6-$E$6)/($G$6-$E$6),$E$6+SQRT(P441*($G$6-$E$6)*($F$6-$E$6)),$G$6-SQRT((1-P441)*($G$6-$E$6)*($G$6-$F$6))))</f>
        <v>0.949294059982083</v>
      </c>
      <c r="C441" s="51" t="n">
        <f aca="false">1+IF($G$7=$E$7,$F$7,IF(Q441&lt;($F$7-$E$7)/($G$7-$E$7),$E$7+SQRT(Q441*($G$7-$E$7)*($F$7-$E$7)),$G$7-SQRT((1-Q441)*($G$7-$E$7)*($G$7-$F$7))))</f>
        <v>0.917674920975709</v>
      </c>
      <c r="D441" s="51" t="n">
        <f aca="false">1+IF($G$8=$E$8,$F$8,IF(R441&lt;($F$8-$E$8)/($G$8-$E$8),$E$8+SQRT(R441*($G$8-$E$8)*($F$8-$E$8)),$G$8-SQRT((1-R441)*($G$8-$E$8)*($G$8-$F$8))))</f>
        <v>0.994153968684545</v>
      </c>
      <c r="E441" s="51" t="n">
        <f aca="false">1+IF($G$9=$E$9,$F$9,IF(S441&lt;($F$9-$E$9)/($G$9-$E$9),$E$9+SQRT(S441*($G$9-$E$9)*($F$9-$E$9)),$G$9-SQRT((1-S441)*($G$9-$E$9)*($G$9-$F$9))))</f>
        <v>1.02023821406318</v>
      </c>
      <c r="F441" s="51" t="n">
        <f aca="false">1+IF($G$10=$E$10,$F$10,IF(T441&lt;($F$10-$E$10)/($G$10-$E$10),$E$10+SQRT(T441*($G$10-$E$10)*($F$10-$E$10)),$G$10-SQRT((1-T441)*($G$10-$E$10)*($G$10-$F$10))))</f>
        <v>1.0169397413382</v>
      </c>
      <c r="G441" s="52" t="n">
        <f aca="false">IF($G$11=$E$11,$F$11,IF(U441&lt;($F$11-$E$11)/($G$11-$E$11),$E$11+SQRT(U441*($G$11-$E$11)*($F$11-$E$11)),$G$11-SQRT((1-U441)*($G$11-$E$11)*($G$11-$F$11))))</f>
        <v>0.111872984433403</v>
      </c>
      <c r="H441" s="53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-2033879482.6764</v>
      </c>
      <c r="I441" s="53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-45432611.8211503</v>
      </c>
      <c r="J441" s="53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201066695.871859</v>
      </c>
      <c r="K441" s="53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498412990.631778</v>
      </c>
      <c r="L441" s="53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610686140.756484</v>
      </c>
      <c r="M441" s="53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776273069.005188</v>
      </c>
      <c r="N441" s="53" t="n">
        <f aca="false">IF(COUNT('Business Case'!B11:G11)=0,"",H441+NPV(G441,I441:M441))</f>
        <v>-693115930.031966</v>
      </c>
      <c r="P441" s="54" t="n">
        <f aca="true">RAND()</f>
        <v>0.161993623301145</v>
      </c>
      <c r="Q441" s="54" t="n">
        <f aca="true">RAND()</f>
        <v>0.350980527568748</v>
      </c>
      <c r="R441" s="54" t="n">
        <f aca="true">RAND()</f>
        <v>0.259943060079442</v>
      </c>
      <c r="S441" s="54" t="n">
        <f aca="true">RAND()</f>
        <v>0.550983437612955</v>
      </c>
      <c r="T441" s="54" t="n">
        <f aca="true">RAND()</f>
        <v>0.275772211099922</v>
      </c>
      <c r="U441" s="54" t="n">
        <f aca="true">RAND()</f>
        <v>0.780940871098889</v>
      </c>
    </row>
    <row r="442" customFormat="false" ht="15" hidden="false" customHeight="false" outlineLevel="0" collapsed="false">
      <c r="A442" s="50" t="n">
        <v>362</v>
      </c>
      <c r="B442" s="51" t="n">
        <f aca="false">1+IF($G$6=$E$6,$F$6,IF(P442&lt;($F$6-$E$6)/($G$6-$E$6),$E$6+SQRT(P442*($G$6-$E$6)*($F$6-$E$6)),$G$6-SQRT((1-P442)*($G$6-$E$6)*($G$6-$F$6))))</f>
        <v>0.989889068786443</v>
      </c>
      <c r="C442" s="51" t="n">
        <f aca="false">1+IF($G$7=$E$7,$F$7,IF(Q442&lt;($F$7-$E$7)/($G$7-$E$7),$E$7+SQRT(Q442*($G$7-$E$7)*($F$7-$E$7)),$G$7-SQRT((1-Q442)*($G$7-$E$7)*($G$7-$F$7))))</f>
        <v>1.0308680388357</v>
      </c>
      <c r="D442" s="51" t="n">
        <f aca="false">1+IF($G$8=$E$8,$F$8,IF(R442&lt;($F$8-$E$8)/($G$8-$E$8),$E$8+SQRT(R442*($G$8-$E$8)*($F$8-$E$8)),$G$8-SQRT((1-R442)*($G$8-$E$8)*($G$8-$F$8))))</f>
        <v>1.01008795130845</v>
      </c>
      <c r="E442" s="51" t="n">
        <f aca="false">1+IF($G$9=$E$9,$F$9,IF(S442&lt;($F$9-$E$9)/($G$9-$E$9),$E$9+SQRT(S442*($G$9-$E$9)*($F$9-$E$9)),$G$9-SQRT((1-S442)*($G$9-$E$9)*($G$9-$F$9))))</f>
        <v>0.983718277835695</v>
      </c>
      <c r="F442" s="51" t="n">
        <f aca="false">1+IF($G$10=$E$10,$F$10,IF(T442&lt;($F$10-$E$10)/($G$10-$E$10),$E$10+SQRT(T442*($G$10-$E$10)*($F$10-$E$10)),$G$10-SQRT((1-T442)*($G$10-$E$10)*($G$10-$F$10))))</f>
        <v>0.997384975998377</v>
      </c>
      <c r="G442" s="52" t="n">
        <f aca="false">IF($G$11=$E$11,$F$11,IF(U442&lt;($F$11-$E$11)/($G$11-$E$11),$E$11+SQRT(U442*($G$11-$E$11)*($F$11-$E$11)),$G$11-SQRT((1-U442)*($G$11-$E$11)*($G$11-$F$11))))</f>
        <v>0.0951515965839464</v>
      </c>
      <c r="H442" s="53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-1994769951.99675</v>
      </c>
      <c r="I442" s="53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10249223.8946629</v>
      </c>
      <c r="J442" s="53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313021553.453167</v>
      </c>
      <c r="K442" s="53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665663131.811591</v>
      </c>
      <c r="L442" s="53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801853820.96827</v>
      </c>
      <c r="M442" s="53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995820007.139419</v>
      </c>
      <c r="N442" s="53" t="n">
        <f aca="false">IF(COUNT('Business Case'!B11:G11)=0,"",H442+NPV(G442,I442:M442))</f>
        <v>-28050854.7230418</v>
      </c>
      <c r="P442" s="54" t="n">
        <f aca="true">RAND()</f>
        <v>0.538669645819595</v>
      </c>
      <c r="Q442" s="54" t="n">
        <f aca="true">RAND()</f>
        <v>0.78974186413553</v>
      </c>
      <c r="R442" s="54" t="n">
        <f aca="true">RAND()</f>
        <v>0.4610549000059</v>
      </c>
      <c r="S442" s="54" t="n">
        <f aca="true">RAND()</f>
        <v>0.280350001750986</v>
      </c>
      <c r="T442" s="54" t="n">
        <f aca="true">RAND()</f>
        <v>0.149689063357781</v>
      </c>
      <c r="U442" s="54" t="n">
        <f aca="true">RAND()</f>
        <v>0.229570879042655</v>
      </c>
    </row>
    <row r="443" customFormat="false" ht="15" hidden="false" customHeight="false" outlineLevel="0" collapsed="false">
      <c r="A443" s="50" t="n">
        <v>363</v>
      </c>
      <c r="B443" s="51" t="n">
        <f aca="false">1+IF($G$6=$E$6,$F$6,IF(P443&lt;($F$6-$E$6)/($G$6-$E$6),$E$6+SQRT(P443*($G$6-$E$6)*($F$6-$E$6)),$G$6-SQRT((1-P443)*($G$6-$E$6)*($G$6-$F$6))))</f>
        <v>1.01715828713413</v>
      </c>
      <c r="C443" s="51" t="n">
        <f aca="false">1+IF($G$7=$E$7,$F$7,IF(Q443&lt;($F$7-$E$7)/($G$7-$E$7),$E$7+SQRT(Q443*($G$7-$E$7)*($F$7-$E$7)),$G$7-SQRT((1-Q443)*($G$7-$E$7)*($G$7-$F$7))))</f>
        <v>0.989316791533199</v>
      </c>
      <c r="D443" s="51" t="n">
        <f aca="false">1+IF($G$8=$E$8,$F$8,IF(R443&lt;($F$8-$E$8)/($G$8-$E$8),$E$8+SQRT(R443*($G$8-$E$8)*($F$8-$E$8)),$G$8-SQRT((1-R443)*($G$8-$E$8)*($G$8-$F$8))))</f>
        <v>1.01653362091179</v>
      </c>
      <c r="E443" s="51" t="n">
        <f aca="false">1+IF($G$9=$E$9,$F$9,IF(S443&lt;($F$9-$E$9)/($G$9-$E$9),$E$9+SQRT(S443*($G$9-$E$9)*($F$9-$E$9)),$G$9-SQRT((1-S443)*($G$9-$E$9)*($G$9-$F$9))))</f>
        <v>0.92566795212635</v>
      </c>
      <c r="F443" s="51" t="n">
        <f aca="false">1+IF($G$10=$E$10,$F$10,IF(T443&lt;($F$10-$E$10)/($G$10-$E$10),$E$10+SQRT(T443*($G$10-$E$10)*($F$10-$E$10)),$G$10-SQRT((1-T443)*($G$10-$E$10)*($G$10-$F$10))))</f>
        <v>0.987018379673706</v>
      </c>
      <c r="G443" s="52" t="n">
        <f aca="false">IF($G$11=$E$11,$F$11,IF(U443&lt;($F$11-$E$11)/($G$11-$E$11),$E$11+SQRT(U443*($G$11-$E$11)*($F$11-$E$11)),$G$11-SQRT((1-U443)*($G$11-$E$11)*($G$11-$F$11))))</f>
        <v>0.0856649683753061</v>
      </c>
      <c r="H443" s="53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-1974036759.34741</v>
      </c>
      <c r="I443" s="53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26902907.2816549</v>
      </c>
      <c r="J443" s="53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336303800.841015</v>
      </c>
      <c r="K443" s="53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695055613.38406</v>
      </c>
      <c r="L443" s="53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832966688.249158</v>
      </c>
      <c r="M443" s="53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1024242628.48171</v>
      </c>
      <c r="N443" s="53" t="n">
        <f aca="false">IF(COUNT('Business Case'!B11:G11)=0,"",H443+NPV(G443,I443:M443))</f>
        <v>157894423.363398</v>
      </c>
      <c r="P443" s="54" t="n">
        <f aca="true">RAND()</f>
        <v>0.85618958613808</v>
      </c>
      <c r="Q443" s="54" t="n">
        <f aca="true">RAND()</f>
        <v>0.62003115454122</v>
      </c>
      <c r="R443" s="54" t="n">
        <f aca="true">RAND()</f>
        <v>0.535557570793552</v>
      </c>
      <c r="S443" s="54" t="n">
        <f aca="true">RAND()</f>
        <v>0.0263537506544237</v>
      </c>
      <c r="T443" s="54" t="n">
        <f aca="true">RAND()</f>
        <v>0.0913573622444446</v>
      </c>
      <c r="U443" s="54" t="n">
        <f aca="true">RAND()</f>
        <v>0.032091866693218</v>
      </c>
    </row>
    <row r="444" customFormat="false" ht="15" hidden="false" customHeight="false" outlineLevel="0" collapsed="false">
      <c r="A444" s="50" t="n">
        <v>364</v>
      </c>
      <c r="B444" s="51" t="n">
        <f aca="false">1+IF($G$6=$E$6,$F$6,IF(P444&lt;($F$6-$E$6)/($G$6-$E$6),$E$6+SQRT(P444*($G$6-$E$6)*($F$6-$E$6)),$G$6-SQRT((1-P444)*($G$6-$E$6)*($G$6-$F$6))))</f>
        <v>0.971870075319143</v>
      </c>
      <c r="C444" s="51" t="n">
        <f aca="false">1+IF($G$7=$E$7,$F$7,IF(Q444&lt;($F$7-$E$7)/($G$7-$E$7),$E$7+SQRT(Q444*($G$7-$E$7)*($F$7-$E$7)),$G$7-SQRT((1-Q444)*($G$7-$E$7)*($G$7-$F$7))))</f>
        <v>1.09800322073158</v>
      </c>
      <c r="D444" s="51" t="n">
        <f aca="false">1+IF($G$8=$E$8,$F$8,IF(R444&lt;($F$8-$E$8)/($G$8-$E$8),$E$8+SQRT(R444*($G$8-$E$8)*($F$8-$E$8)),$G$8-SQRT((1-R444)*($G$8-$E$8)*($G$8-$F$8))))</f>
        <v>1.03462198659312</v>
      </c>
      <c r="E444" s="51" t="n">
        <f aca="false">1+IF($G$9=$E$9,$F$9,IF(S444&lt;($F$9-$E$9)/($G$9-$E$9),$E$9+SQRT(S444*($G$9-$E$9)*($F$9-$E$9)),$G$9-SQRT((1-S444)*($G$9-$E$9)*($G$9-$F$9))))</f>
        <v>1.09414116533552</v>
      </c>
      <c r="F444" s="51" t="n">
        <f aca="false">1+IF($G$10=$E$10,$F$10,IF(T444&lt;($F$10-$E$10)/($G$10-$E$10),$E$10+SQRT(T444*($G$10-$E$10)*($F$10-$E$10)),$G$10-SQRT((1-T444)*($G$10-$E$10)*($G$10-$F$10))))</f>
        <v>1.02298989420214</v>
      </c>
      <c r="G444" s="52" t="n">
        <f aca="false">IF($G$11=$E$11,$F$11,IF(U444&lt;($F$11-$E$11)/($G$11-$E$11),$E$11+SQRT(U444*($G$11-$E$11)*($F$11-$E$11)),$G$11-SQRT((1-U444)*($G$11-$E$11)*($G$11-$F$11))))</f>
        <v>0.111413095464654</v>
      </c>
      <c r="H444" s="53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-2045979788.40428</v>
      </c>
      <c r="I444" s="53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-20710432.0260901</v>
      </c>
      <c r="J444" s="53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271784317.03041</v>
      </c>
      <c r="K444" s="53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615428560.797016</v>
      </c>
      <c r="L444" s="53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749806355.783626</v>
      </c>
      <c r="M444" s="53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952643854.939734</v>
      </c>
      <c r="N444" s="53" t="n">
        <f aca="false">IF(COUNT('Business Case'!B11:G11)=0,"",H444+NPV(G444,I444:M444))</f>
        <v>-343130266.70268</v>
      </c>
      <c r="P444" s="54" t="n">
        <f aca="true">RAND()</f>
        <v>0.344353848425288</v>
      </c>
      <c r="Q444" s="54" t="n">
        <f aca="true">RAND()</f>
        <v>0.959945702899419</v>
      </c>
      <c r="R444" s="54" t="n">
        <f aca="true">RAND()</f>
        <v>0.715047690864647</v>
      </c>
      <c r="S444" s="54" t="n">
        <f aca="true">RAND()</f>
        <v>0.916794415731358</v>
      </c>
      <c r="T444" s="54" t="n">
        <f aca="true">RAND()</f>
        <v>0.312885491541914</v>
      </c>
      <c r="U444" s="54" t="n">
        <f aca="true">RAND()</f>
        <v>0.769684653195957</v>
      </c>
    </row>
    <row r="445" customFormat="false" ht="15" hidden="false" customHeight="false" outlineLevel="0" collapsed="false">
      <c r="A445" s="50" t="n">
        <v>365</v>
      </c>
      <c r="B445" s="51" t="n">
        <f aca="false">1+IF($G$6=$E$6,$F$6,IF(P445&lt;($F$6-$E$6)/($G$6-$E$6),$E$6+SQRT(P445*($G$6-$E$6)*($F$6-$E$6)),$G$6-SQRT((1-P445)*($G$6-$E$6)*($G$6-$F$6))))</f>
        <v>0.942404226009928</v>
      </c>
      <c r="C445" s="51" t="n">
        <f aca="false">1+IF($G$7=$E$7,$F$7,IF(Q445&lt;($F$7-$E$7)/($G$7-$E$7),$E$7+SQRT(Q445*($G$7-$E$7)*($F$7-$E$7)),$G$7-SQRT((1-Q445)*($G$7-$E$7)*($G$7-$F$7))))</f>
        <v>0.913017415115929</v>
      </c>
      <c r="D445" s="51" t="n">
        <f aca="false">1+IF($G$8=$E$8,$F$8,IF(R445&lt;($F$8-$E$8)/($G$8-$E$8),$E$8+SQRT(R445*($G$8-$E$8)*($F$8-$E$8)),$G$8-SQRT((1-R445)*($G$8-$E$8)*($G$8-$F$8))))</f>
        <v>1.02311050006927</v>
      </c>
      <c r="E445" s="51" t="n">
        <f aca="false">1+IF($G$9=$E$9,$F$9,IF(S445&lt;($F$9-$E$9)/($G$9-$E$9),$E$9+SQRT(S445*($G$9-$E$9)*($F$9-$E$9)),$G$9-SQRT((1-S445)*($G$9-$E$9)*($G$9-$F$9))))</f>
        <v>0.991101055451684</v>
      </c>
      <c r="F445" s="51" t="n">
        <f aca="false">1+IF($G$10=$E$10,$F$10,IF(T445&lt;($F$10-$E$10)/($G$10-$E$10),$E$10+SQRT(T445*($G$10-$E$10)*($F$10-$E$10)),$G$10-SQRT((1-T445)*($G$10-$E$10)*($G$10-$F$10))))</f>
        <v>1.13491280947871</v>
      </c>
      <c r="G445" s="52" t="n">
        <f aca="false">IF($G$11=$E$11,$F$11,IF(U445&lt;($F$11-$E$11)/($G$11-$E$11),$E$11+SQRT(U445*($G$11-$E$11)*($F$11-$E$11)),$G$11-SQRT((1-U445)*($G$11-$E$11)*($G$11-$F$11))))</f>
        <v>0.116698590962983</v>
      </c>
      <c r="H445" s="53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-2269825618.95742</v>
      </c>
      <c r="I445" s="53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-72468828.2243743</v>
      </c>
      <c r="J445" s="53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154092962.011231</v>
      </c>
      <c r="K445" s="53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437400392.720772</v>
      </c>
      <c r="L445" s="53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542657501.083894</v>
      </c>
      <c r="M445" s="53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706208314.982451</v>
      </c>
      <c r="N445" s="53" t="n">
        <f aca="false">IF(COUNT('Business Case'!B11:G11)=0,"",H445+NPV(G445,I445:M445))</f>
        <v>-1141404221.05082</v>
      </c>
      <c r="P445" s="54" t="n">
        <f aca="true">RAND()</f>
        <v>0.11987455890007</v>
      </c>
      <c r="Q445" s="54" t="n">
        <f aca="true">RAND()</f>
        <v>0.336121623279053</v>
      </c>
      <c r="R445" s="54" t="n">
        <f aca="true">RAND()</f>
        <v>0.605866986693475</v>
      </c>
      <c r="S445" s="54" t="n">
        <f aca="true">RAND()</f>
        <v>0.331976092176429</v>
      </c>
      <c r="T445" s="54" t="n">
        <f aca="true">RAND()</f>
        <v>0.823399181038887</v>
      </c>
      <c r="U445" s="54" t="n">
        <f aca="true">RAND()</f>
        <v>0.882048345086638</v>
      </c>
    </row>
    <row r="446" customFormat="false" ht="15" hidden="false" customHeight="false" outlineLevel="0" collapsed="false">
      <c r="A446" s="50" t="n">
        <v>366</v>
      </c>
      <c r="B446" s="51" t="n">
        <f aca="false">1+IF($G$6=$E$6,$F$6,IF(P446&lt;($F$6-$E$6)/($G$6-$E$6),$E$6+SQRT(P446*($G$6-$E$6)*($F$6-$E$6)),$G$6-SQRT((1-P446)*($G$6-$E$6)*($G$6-$F$6))))</f>
        <v>0.987688985144345</v>
      </c>
      <c r="C446" s="51" t="n">
        <f aca="false">1+IF($G$7=$E$7,$F$7,IF(Q446&lt;($F$7-$E$7)/($G$7-$E$7),$E$7+SQRT(Q446*($G$7-$E$7)*($F$7-$E$7)),$G$7-SQRT((1-Q446)*($G$7-$E$7)*($G$7-$F$7))))</f>
        <v>1.00686573871098</v>
      </c>
      <c r="D446" s="51" t="n">
        <f aca="false">1+IF($G$8=$E$8,$F$8,IF(R446&lt;($F$8-$E$8)/($G$8-$E$8),$E$8+SQRT(R446*($G$8-$E$8)*($F$8-$E$8)),$G$8-SQRT((1-R446)*($G$8-$E$8)*($G$8-$F$8))))</f>
        <v>1.02959791669283</v>
      </c>
      <c r="E446" s="51" t="n">
        <f aca="false">1+IF($G$9=$E$9,$F$9,IF(S446&lt;($F$9-$E$9)/($G$9-$E$9),$E$9+SQRT(S446*($G$9-$E$9)*($F$9-$E$9)),$G$9-SQRT((1-S446)*($G$9-$E$9)*($G$9-$F$9))))</f>
        <v>0.976277573051873</v>
      </c>
      <c r="F446" s="51" t="n">
        <f aca="false">1+IF($G$10=$E$10,$F$10,IF(T446&lt;($F$10-$E$10)/($G$10-$E$10),$E$10+SQRT(T446*($G$10-$E$10)*($F$10-$E$10)),$G$10-SQRT((1-T446)*($G$10-$E$10)*($G$10-$F$10))))</f>
        <v>1.2202453733919</v>
      </c>
      <c r="G446" s="52" t="n">
        <f aca="false">IF($G$11=$E$11,$F$11,IF(U446&lt;($F$11-$E$11)/($G$11-$E$11),$E$11+SQRT(U446*($G$11-$E$11)*($F$11-$E$11)),$G$11-SQRT((1-U446)*($G$11-$E$11)*($G$11-$F$11))))</f>
        <v>0.098935516457603</v>
      </c>
      <c r="H446" s="53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-2440490746.78379</v>
      </c>
      <c r="I446" s="53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-28552350.5512001</v>
      </c>
      <c r="J446" s="53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255299842.274314</v>
      </c>
      <c r="K446" s="53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600164303.769422</v>
      </c>
      <c r="L446" s="53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729150591.477625</v>
      </c>
      <c r="M446" s="53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918179487.025968</v>
      </c>
      <c r="N446" s="53" t="n">
        <f aca="false">IF(COUNT('Business Case'!B11:G11)=0,"",H446+NPV(G446,I446:M446))</f>
        <v>-730012200.115058</v>
      </c>
      <c r="P446" s="54" t="n">
        <f aca="true">RAND()</f>
        <v>0.512623874376339</v>
      </c>
      <c r="Q446" s="54" t="n">
        <f aca="true">RAND()</f>
        <v>0.696482714744391</v>
      </c>
      <c r="R446" s="54" t="n">
        <f aca="true">RAND()</f>
        <v>0.669569777734041</v>
      </c>
      <c r="S446" s="54" t="n">
        <f aca="true">RAND()</f>
        <v>0.232730726027355</v>
      </c>
      <c r="T446" s="54" t="n">
        <f aca="true">RAND()</f>
        <v>0.988195495938831</v>
      </c>
      <c r="U446" s="54" t="n">
        <f aca="true">RAND()</f>
        <v>0.358553783516153</v>
      </c>
    </row>
    <row r="447" customFormat="false" ht="15" hidden="false" customHeight="false" outlineLevel="0" collapsed="false">
      <c r="A447" s="50" t="n">
        <v>367</v>
      </c>
      <c r="B447" s="51" t="n">
        <f aca="false">1+IF($G$6=$E$6,$F$6,IF(P447&lt;($F$6-$E$6)/($G$6-$E$6),$E$6+SQRT(P447*($G$6-$E$6)*($F$6-$E$6)),$G$6-SQRT((1-P447)*($G$6-$E$6)*($G$6-$F$6))))</f>
        <v>0.974085556609982</v>
      </c>
      <c r="C447" s="51" t="n">
        <f aca="false">1+IF($G$7=$E$7,$F$7,IF(Q447&lt;($F$7-$E$7)/($G$7-$E$7),$E$7+SQRT(Q447*($G$7-$E$7)*($F$7-$E$7)),$G$7-SQRT((1-Q447)*($G$7-$E$7)*($G$7-$F$7))))</f>
        <v>0.865760810805516</v>
      </c>
      <c r="D447" s="51" t="n">
        <f aca="false">1+IF($G$8=$E$8,$F$8,IF(R447&lt;($F$8-$E$8)/($G$8-$E$8),$E$8+SQRT(R447*($G$8-$E$8)*($F$8-$E$8)),$G$8-SQRT((1-R447)*($G$8-$E$8)*($G$8-$F$8))))</f>
        <v>0.964950475158746</v>
      </c>
      <c r="E447" s="51" t="n">
        <f aca="false">1+IF($G$9=$E$9,$F$9,IF(S447&lt;($F$9-$E$9)/($G$9-$E$9),$E$9+SQRT(S447*($G$9-$E$9)*($F$9-$E$9)),$G$9-SQRT((1-S447)*($G$9-$E$9)*($G$9-$F$9))))</f>
        <v>1.10107086504015</v>
      </c>
      <c r="F447" s="51" t="n">
        <f aca="false">1+IF($G$10=$E$10,$F$10,IF(T447&lt;($F$10-$E$10)/($G$10-$E$10),$E$10+SQRT(T447*($G$10-$E$10)*($F$10-$E$10)),$G$10-SQRT((1-T447)*($G$10-$E$10)*($G$10-$F$10))))</f>
        <v>1.04061638657199</v>
      </c>
      <c r="G447" s="52" t="n">
        <f aca="false">IF($G$11=$E$11,$F$11,IF(U447&lt;($F$11-$E$11)/($G$11-$E$11),$E$11+SQRT(U447*($G$11-$E$11)*($F$11-$E$11)),$G$11-SQRT((1-U447)*($G$11-$E$11)*($G$11-$F$11))))</f>
        <v>0.10726968370158</v>
      </c>
      <c r="H447" s="53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-2081232773.14397</v>
      </c>
      <c r="I447" s="53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-41274226.8020895</v>
      </c>
      <c r="J447" s="53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221803435.312323</v>
      </c>
      <c r="K447" s="53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536911916.755334</v>
      </c>
      <c r="L447" s="53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653749786.293868</v>
      </c>
      <c r="M447" s="53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814049021.546045</v>
      </c>
      <c r="N447" s="53" t="n">
        <f aca="false">IF(COUNT('Business Case'!B11:G11)=0,"",H447+NPV(G447,I447:M447))</f>
        <v>-618109672.851028</v>
      </c>
      <c r="P447" s="54" t="n">
        <f aca="true">RAND()</f>
        <v>0.365911313214059</v>
      </c>
      <c r="Q447" s="54" t="n">
        <f aca="true">RAND()</f>
        <v>0.203530714065941</v>
      </c>
      <c r="R447" s="54" t="n">
        <f aca="true">RAND()</f>
        <v>0.0298022276629702</v>
      </c>
      <c r="S447" s="54" t="n">
        <f aca="true">RAND()</f>
        <v>0.936158393388821</v>
      </c>
      <c r="T447" s="54" t="n">
        <f aca="true">RAND()</f>
        <v>0.415446699037712</v>
      </c>
      <c r="U447" s="54" t="n">
        <f aca="true">RAND()</f>
        <v>0.655555147315866</v>
      </c>
    </row>
    <row r="448" customFormat="false" ht="15" hidden="false" customHeight="false" outlineLevel="0" collapsed="false">
      <c r="A448" s="50" t="n">
        <v>368</v>
      </c>
      <c r="B448" s="51" t="n">
        <f aca="false">1+IF($G$6=$E$6,$F$6,IF(P448&lt;($F$6-$E$6)/($G$6-$E$6),$E$6+SQRT(P448*($G$6-$E$6)*($F$6-$E$6)),$G$6-SQRT((1-P448)*($G$6-$E$6)*($G$6-$F$6))))</f>
        <v>1.01536180668871</v>
      </c>
      <c r="C448" s="51" t="n">
        <f aca="false">1+IF($G$7=$E$7,$F$7,IF(Q448&lt;($F$7-$E$7)/($G$7-$E$7),$E$7+SQRT(Q448*($G$7-$E$7)*($F$7-$E$7)),$G$7-SQRT((1-Q448)*($G$7-$E$7)*($G$7-$F$7))))</f>
        <v>1.09039449186794</v>
      </c>
      <c r="D448" s="51" t="n">
        <f aca="false">1+IF($G$8=$E$8,$F$8,IF(R448&lt;($F$8-$E$8)/($G$8-$E$8),$E$8+SQRT(R448*($G$8-$E$8)*($F$8-$E$8)),$G$8-SQRT((1-R448)*($G$8-$E$8)*($G$8-$F$8))))</f>
        <v>1.01678441024539</v>
      </c>
      <c r="E448" s="51" t="n">
        <f aca="false">1+IF($G$9=$E$9,$F$9,IF(S448&lt;($F$9-$E$9)/($G$9-$E$9),$E$9+SQRT(S448*($G$9-$E$9)*($F$9-$E$9)),$G$9-SQRT((1-S448)*($G$9-$E$9)*($G$9-$F$9))))</f>
        <v>0.954509617144666</v>
      </c>
      <c r="F448" s="51" t="n">
        <f aca="false">1+IF($G$10=$E$10,$F$10,IF(T448&lt;($F$10-$E$10)/($G$10-$E$10),$E$10+SQRT(T448*($G$10-$E$10)*($F$10-$E$10)),$G$10-SQRT((1-T448)*($G$10-$E$10)*($G$10-$F$10))))</f>
        <v>1.10766741773141</v>
      </c>
      <c r="G448" s="52" t="n">
        <f aca="false">IF($G$11=$E$11,$F$11,IF(U448&lt;($F$11-$E$11)/($G$11-$E$11),$E$11+SQRT(U448*($G$11-$E$11)*($F$11-$E$11)),$G$11-SQRT((1-U448)*($G$11-$E$11)*($G$11-$F$11))))</f>
        <v>0.103101034019663</v>
      </c>
      <c r="H448" s="53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-2215334835.46281</v>
      </c>
      <c r="I448" s="53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35375284.9730525</v>
      </c>
      <c r="J448" s="53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374642971.99567</v>
      </c>
      <c r="K448" s="53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769294029.904857</v>
      </c>
      <c r="L448" s="53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920646187.391365</v>
      </c>
      <c r="M448" s="53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1131092294.02569</v>
      </c>
      <c r="N448" s="53" t="n">
        <f aca="false">IF(COUNT('Business Case'!B11:G11)=0,"",H448+NPV(G448,I448:M448))</f>
        <v>12014745.4219413</v>
      </c>
      <c r="P448" s="54" t="n">
        <f aca="true">RAND()</f>
        <v>0.840026075217333</v>
      </c>
      <c r="Q448" s="54" t="n">
        <f aca="true">RAND()</f>
        <v>0.947365680004717</v>
      </c>
      <c r="R448" s="54" t="n">
        <f aca="true">RAND()</f>
        <v>0.538344374786136</v>
      </c>
      <c r="S448" s="54" t="n">
        <f aca="true">RAND()</f>
        <v>0.118851934450323</v>
      </c>
      <c r="T448" s="54" t="n">
        <f aca="true">RAND()</f>
        <v>0.729885813663385</v>
      </c>
      <c r="U448" s="54" t="n">
        <f aca="true">RAND()</f>
        <v>0.517630419459122</v>
      </c>
    </row>
    <row r="449" customFormat="false" ht="15" hidden="false" customHeight="false" outlineLevel="0" collapsed="false">
      <c r="A449" s="50" t="n">
        <v>369</v>
      </c>
      <c r="B449" s="51" t="n">
        <f aca="false">1+IF($G$6=$E$6,$F$6,IF(P449&lt;($F$6-$E$6)/($G$6-$E$6),$E$6+SQRT(P449*($G$6-$E$6)*($F$6-$E$6)),$G$6-SQRT((1-P449)*($G$6-$E$6)*($G$6-$F$6))))</f>
        <v>0.983789419680975</v>
      </c>
      <c r="C449" s="51" t="n">
        <f aca="false">1+IF($G$7=$E$7,$F$7,IF(Q449&lt;($F$7-$E$7)/($G$7-$E$7),$E$7+SQRT(Q449*($G$7-$E$7)*($F$7-$E$7)),$G$7-SQRT((1-Q449)*($G$7-$E$7)*($G$7-$F$7))))</f>
        <v>0.811724984226967</v>
      </c>
      <c r="D449" s="51" t="n">
        <f aca="false">1+IF($G$8=$E$8,$F$8,IF(R449&lt;($F$8-$E$8)/($G$8-$E$8),$E$8+SQRT(R449*($G$8-$E$8)*($F$8-$E$8)),$G$8-SQRT((1-R449)*($G$8-$E$8)*($G$8-$F$8))))</f>
        <v>1.03075788938707</v>
      </c>
      <c r="E449" s="51" t="n">
        <f aca="false">1+IF($G$9=$E$9,$F$9,IF(S449&lt;($F$9-$E$9)/($G$9-$E$9),$E$9+SQRT(S449*($G$9-$E$9)*($F$9-$E$9)),$G$9-SQRT((1-S449)*($G$9-$E$9)*($G$9-$F$9))))</f>
        <v>1.05580218668343</v>
      </c>
      <c r="F449" s="51" t="n">
        <f aca="false">1+IF($G$10=$E$10,$F$10,IF(T449&lt;($F$10-$E$10)/($G$10-$E$10),$E$10+SQRT(T449*($G$10-$E$10)*($F$10-$E$10)),$G$10-SQRT((1-T449)*($G$10-$E$10)*($G$10-$F$10))))</f>
        <v>1.07404978839822</v>
      </c>
      <c r="G449" s="52" t="n">
        <f aca="false">IF($G$11=$E$11,$F$11,IF(U449&lt;($F$11-$E$11)/($G$11-$E$11),$E$11+SQRT(U449*($G$11-$E$11)*($F$11-$E$11)),$G$11-SQRT((1-U449)*($G$11-$E$11)*($G$11-$F$11))))</f>
        <v>0.114867098739654</v>
      </c>
      <c r="H449" s="53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-2148099576.79645</v>
      </c>
      <c r="I449" s="53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-73173647.8954991</v>
      </c>
      <c r="J449" s="53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152590438.824027</v>
      </c>
      <c r="K449" s="53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432057014.963465</v>
      </c>
      <c r="L449" s="53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534910167.089185</v>
      </c>
      <c r="M449" s="53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686701678.128187</v>
      </c>
      <c r="N449" s="53" t="n">
        <f aca="false">IF(COUNT('Business Case'!B11:G11)=0,"",H449+NPV(G449,I449:M449))</f>
        <v>-1034215459.39169</v>
      </c>
      <c r="P449" s="54" t="n">
        <f aca="true">RAND()</f>
        <v>0.468044456698309</v>
      </c>
      <c r="Q449" s="54" t="n">
        <f aca="true">RAND()</f>
        <v>0.0924627563001193</v>
      </c>
      <c r="R449" s="54" t="n">
        <f aca="true">RAND()</f>
        <v>0.680368674524493</v>
      </c>
      <c r="S449" s="54" t="n">
        <f aca="true">RAND()</f>
        <v>0.763380585770059</v>
      </c>
      <c r="T449" s="54" t="n">
        <f aca="true">RAND()</f>
        <v>0.58722030716387</v>
      </c>
      <c r="U449" s="54" t="n">
        <f aca="true">RAND()</f>
        <v>0.847330199629743</v>
      </c>
    </row>
    <row r="450" customFormat="false" ht="15" hidden="false" customHeight="false" outlineLevel="0" collapsed="false">
      <c r="A450" s="50" t="n">
        <v>370</v>
      </c>
      <c r="B450" s="51" t="n">
        <f aca="false">1+IF($G$6=$E$6,$F$6,IF(P450&lt;($F$6-$E$6)/($G$6-$E$6),$E$6+SQRT(P450*($G$6-$E$6)*($F$6-$E$6)),$G$6-SQRT((1-P450)*($G$6-$E$6)*($G$6-$F$6))))</f>
        <v>1.02655176149534</v>
      </c>
      <c r="C450" s="51" t="n">
        <f aca="false">1+IF($G$7=$E$7,$F$7,IF(Q450&lt;($F$7-$E$7)/($G$7-$E$7),$E$7+SQRT(Q450*($G$7-$E$7)*($F$7-$E$7)),$G$7-SQRT((1-Q450)*($G$7-$E$7)*($G$7-$F$7))))</f>
        <v>0.835835995790665</v>
      </c>
      <c r="D450" s="51" t="n">
        <f aca="false">1+IF($G$8=$E$8,$F$8,IF(R450&lt;($F$8-$E$8)/($G$8-$E$8),$E$8+SQRT(R450*($G$8-$E$8)*($F$8-$E$8)),$G$8-SQRT((1-R450)*($G$8-$E$8)*($G$8-$F$8))))</f>
        <v>1.01003470886551</v>
      </c>
      <c r="E450" s="51" t="n">
        <f aca="false">1+IF($G$9=$E$9,$F$9,IF(S450&lt;($F$9-$E$9)/($G$9-$E$9),$E$9+SQRT(S450*($G$9-$E$9)*($F$9-$E$9)),$G$9-SQRT((1-S450)*($G$9-$E$9)*($G$9-$F$9))))</f>
        <v>0.934098541774067</v>
      </c>
      <c r="F450" s="51" t="n">
        <f aca="false">1+IF($G$10=$E$10,$F$10,IF(T450&lt;($F$10-$E$10)/($G$10-$E$10),$E$10+SQRT(T450*($G$10-$E$10)*($F$10-$E$10)),$G$10-SQRT((1-T450)*($G$10-$E$10)*($G$10-$F$10))))</f>
        <v>1.20255000480137</v>
      </c>
      <c r="G450" s="52" t="n">
        <f aca="false">IF($G$11=$E$11,$F$11,IF(U450&lt;($F$11-$E$11)/($G$11-$E$11),$E$11+SQRT(U450*($G$11-$E$11)*($F$11-$E$11)),$G$11-SQRT((1-U450)*($G$11-$E$11)*($G$11-$F$11))))</f>
        <v>0.120652779004717</v>
      </c>
      <c r="H450" s="53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-2405100009.60274</v>
      </c>
      <c r="I450" s="53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-26951399.3922683</v>
      </c>
      <c r="J450" s="53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243661233.227271</v>
      </c>
      <c r="K450" s="53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574401366.086878</v>
      </c>
      <c r="L450" s="53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694259056.22099</v>
      </c>
      <c r="M450" s="53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857353192.156116</v>
      </c>
      <c r="N450" s="53" t="n">
        <f aca="false">IF(COUNT('Business Case'!B11:G11)=0,"",H450+NPV(G450,I450:M450))</f>
        <v>-901740182.577783</v>
      </c>
      <c r="P450" s="54" t="n">
        <f aca="true">RAND()</f>
        <v>0.926690681470464</v>
      </c>
      <c r="Q450" s="54" t="n">
        <f aca="true">RAND()</f>
        <v>0.136677168536604</v>
      </c>
      <c r="R450" s="54" t="n">
        <f aca="true">RAND()</f>
        <v>0.460416426072485</v>
      </c>
      <c r="S450" s="54" t="n">
        <f aca="true">RAND()</f>
        <v>0.0465084220447102</v>
      </c>
      <c r="T450" s="54" t="n">
        <f aca="true">RAND()</f>
        <v>0.969979972741999</v>
      </c>
      <c r="U450" s="54" t="n">
        <f aca="true">RAND()</f>
        <v>0.941752973110221</v>
      </c>
    </row>
    <row r="451" customFormat="false" ht="15" hidden="false" customHeight="false" outlineLevel="0" collapsed="false">
      <c r="A451" s="50" t="n">
        <v>371</v>
      </c>
      <c r="B451" s="51" t="n">
        <f aca="false">1+IF($G$6=$E$6,$F$6,IF(P451&lt;($F$6-$E$6)/($G$6-$E$6),$E$6+SQRT(P451*($G$6-$E$6)*($F$6-$E$6)),$G$6-SQRT((1-P451)*($G$6-$E$6)*($G$6-$F$6))))</f>
        <v>1.00291051449024</v>
      </c>
      <c r="C451" s="51" t="n">
        <f aca="false">1+IF($G$7=$E$7,$F$7,IF(Q451&lt;($F$7-$E$7)/($G$7-$E$7),$E$7+SQRT(Q451*($G$7-$E$7)*($F$7-$E$7)),$G$7-SQRT((1-Q451)*($G$7-$E$7)*($G$7-$F$7))))</f>
        <v>0.887534562469189</v>
      </c>
      <c r="D451" s="51" t="n">
        <f aca="false">1+IF($G$8=$E$8,$F$8,IF(R451&lt;($F$8-$E$8)/($G$8-$E$8),$E$8+SQRT(R451*($G$8-$E$8)*($F$8-$E$8)),$G$8-SQRT((1-R451)*($G$8-$E$8)*($G$8-$F$8))))</f>
        <v>0.983369045086483</v>
      </c>
      <c r="E451" s="51" t="n">
        <f aca="false">1+IF($G$9=$E$9,$F$9,IF(S451&lt;($F$9-$E$9)/($G$9-$E$9),$E$9+SQRT(S451*($G$9-$E$9)*($F$9-$E$9)),$G$9-SQRT((1-S451)*($G$9-$E$9)*($G$9-$F$9))))</f>
        <v>0.996337440632179</v>
      </c>
      <c r="F451" s="51" t="n">
        <f aca="false">1+IF($G$10=$E$10,$F$10,IF(T451&lt;($F$10-$E$10)/($G$10-$E$10),$E$10+SQRT(T451*($G$10-$E$10)*($F$10-$E$10)),$G$10-SQRT((1-T451)*($G$10-$E$10)*($G$10-$F$10))))</f>
        <v>1.12210119000904</v>
      </c>
      <c r="G451" s="52" t="n">
        <f aca="false">IF($G$11=$E$11,$F$11,IF(U451&lt;($F$11-$E$11)/($G$11-$E$11),$E$11+SQRT(U451*($G$11-$E$11)*($F$11-$E$11)),$G$11-SQRT((1-U451)*($G$11-$E$11)*($G$11-$F$11))))</f>
        <v>0.120955455184116</v>
      </c>
      <c r="H451" s="53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-2244202380.01808</v>
      </c>
      <c r="I451" s="53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-17752959.4263913</v>
      </c>
      <c r="J451" s="53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264527088.089909</v>
      </c>
      <c r="K451" s="53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602912195.106662</v>
      </c>
      <c r="L451" s="53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727768013.53469</v>
      </c>
      <c r="M451" s="53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896961594.442294</v>
      </c>
      <c r="N451" s="53" t="n">
        <f aca="false">IF(COUNT('Business Case'!B11:G11)=0,"",H451+NPV(G451,I451:M451))</f>
        <v>-653745545.19013</v>
      </c>
      <c r="P451" s="54" t="n">
        <f aca="true">RAND()</f>
        <v>0.704344047256782</v>
      </c>
      <c r="Q451" s="54" t="n">
        <f aca="true">RAND()</f>
        <v>0.26051268237415</v>
      </c>
      <c r="R451" s="54" t="n">
        <f aca="true">RAND()</f>
        <v>0.148465755997831</v>
      </c>
      <c r="S451" s="54" t="n">
        <f aca="true">RAND()</f>
        <v>0.371236098702345</v>
      </c>
      <c r="T451" s="54" t="n">
        <f aca="true">RAND()</f>
        <v>0.781891925371954</v>
      </c>
      <c r="U451" s="54" t="n">
        <f aca="true">RAND()</f>
        <v>0.94546413938231</v>
      </c>
    </row>
    <row r="452" customFormat="false" ht="15" hidden="false" customHeight="false" outlineLevel="0" collapsed="false">
      <c r="A452" s="50" t="n">
        <v>372</v>
      </c>
      <c r="B452" s="51" t="n">
        <f aca="false">1+IF($G$6=$E$6,$F$6,IF(P452&lt;($F$6-$E$6)/($G$6-$E$6),$E$6+SQRT(P452*($G$6-$E$6)*($F$6-$E$6)),$G$6-SQRT((1-P452)*($G$6-$E$6)*($G$6-$F$6))))</f>
        <v>1.04128055489639</v>
      </c>
      <c r="C452" s="51" t="n">
        <f aca="false">1+IF($G$7=$E$7,$F$7,IF(Q452&lt;($F$7-$E$7)/($G$7-$E$7),$E$7+SQRT(Q452*($G$7-$E$7)*($F$7-$E$7)),$G$7-SQRT((1-Q452)*($G$7-$E$7)*($G$7-$F$7))))</f>
        <v>0.803347816641827</v>
      </c>
      <c r="D452" s="51" t="n">
        <f aca="false">1+IF($G$8=$E$8,$F$8,IF(R452&lt;($F$8-$E$8)/($G$8-$E$8),$E$8+SQRT(R452*($G$8-$E$8)*($F$8-$E$8)),$G$8-SQRT((1-R452)*($G$8-$E$8)*($G$8-$F$8))))</f>
        <v>1.02947240006604</v>
      </c>
      <c r="E452" s="51" t="n">
        <f aca="false">1+IF($G$9=$E$9,$F$9,IF(S452&lt;($F$9-$E$9)/($G$9-$E$9),$E$9+SQRT(S452*($G$9-$E$9)*($F$9-$E$9)),$G$9-SQRT((1-S452)*($G$9-$E$9)*($G$9-$F$9))))</f>
        <v>1.06248446407702</v>
      </c>
      <c r="F452" s="51" t="n">
        <f aca="false">1+IF($G$10=$E$10,$F$10,IF(T452&lt;($F$10-$E$10)/($G$10-$E$10),$E$10+SQRT(T452*($G$10-$E$10)*($F$10-$E$10)),$G$10-SQRT((1-T452)*($G$10-$E$10)*($G$10-$F$10))))</f>
        <v>1.05289085503514</v>
      </c>
      <c r="G452" s="52" t="n">
        <f aca="false">IF($G$11=$E$11,$F$11,IF(U452&lt;($F$11-$E$11)/($G$11-$E$11),$E$11+SQRT(U452*($G$11-$E$11)*($F$11-$E$11)),$G$11-SQRT((1-U452)*($G$11-$E$11)*($G$11-$F$11))))</f>
        <v>0.115603334774154</v>
      </c>
      <c r="H452" s="53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-2105781710.07028</v>
      </c>
      <c r="I452" s="53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-37947116.1771677</v>
      </c>
      <c r="J452" s="53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223844846.20224</v>
      </c>
      <c r="K452" s="53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538281351.333404</v>
      </c>
      <c r="L452" s="53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654455140.300746</v>
      </c>
      <c r="M452" s="53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813459048.592214</v>
      </c>
      <c r="N452" s="53" t="n">
        <f aca="false">IF(COUNT('Business Case'!B11:G11)=0,"",H452+NPV(G452,I452:M452))</f>
        <v>-678994090.071325</v>
      </c>
      <c r="P452" s="54" t="n">
        <f aca="true">RAND()</f>
        <v>0.989862836944678</v>
      </c>
      <c r="Q452" s="54" t="n">
        <f aca="true">RAND()</f>
        <v>0.0791168237380202</v>
      </c>
      <c r="R452" s="54" t="n">
        <f aca="true">RAND()</f>
        <v>0.668390509837033</v>
      </c>
      <c r="S452" s="54" t="n">
        <f aca="true">RAND()</f>
        <v>0.795760825923016</v>
      </c>
      <c r="T452" s="54" t="n">
        <f aca="true">RAND()</f>
        <v>0.481973132949622</v>
      </c>
      <c r="U452" s="54" t="n">
        <f aca="true">RAND()</f>
        <v>0.861824020249944</v>
      </c>
    </row>
    <row r="453" customFormat="false" ht="15" hidden="false" customHeight="false" outlineLevel="0" collapsed="false">
      <c r="A453" s="50" t="n">
        <v>373</v>
      </c>
      <c r="B453" s="51" t="n">
        <f aca="false">1+IF($G$6=$E$6,$F$6,IF(P453&lt;($F$6-$E$6)/($G$6-$E$6),$E$6+SQRT(P453*($G$6-$E$6)*($F$6-$E$6)),$G$6-SQRT((1-P453)*($G$6-$E$6)*($G$6-$F$6))))</f>
        <v>0.941949595135402</v>
      </c>
      <c r="C453" s="51" t="n">
        <f aca="false">1+IF($G$7=$E$7,$F$7,IF(Q453&lt;($F$7-$E$7)/($G$7-$E$7),$E$7+SQRT(Q453*($G$7-$E$7)*($F$7-$E$7)),$G$7-SQRT((1-Q453)*($G$7-$E$7)*($G$7-$F$7))))</f>
        <v>0.981112576651875</v>
      </c>
      <c r="D453" s="51" t="n">
        <f aca="false">1+IF($G$8=$E$8,$F$8,IF(R453&lt;($F$8-$E$8)/($G$8-$E$8),$E$8+SQRT(R453*($G$8-$E$8)*($F$8-$E$8)),$G$8-SQRT((1-R453)*($G$8-$E$8)*($G$8-$F$8))))</f>
        <v>1.02216587124802</v>
      </c>
      <c r="E453" s="51" t="n">
        <f aca="false">1+IF($G$9=$E$9,$F$9,IF(S453&lt;($F$9-$E$9)/($G$9-$E$9),$E$9+SQRT(S453*($G$9-$E$9)*($F$9-$E$9)),$G$9-SQRT((1-S453)*($G$9-$E$9)*($G$9-$F$9))))</f>
        <v>1.06683417989235</v>
      </c>
      <c r="F453" s="51" t="n">
        <f aca="false">1+IF($G$10=$E$10,$F$10,IF(T453&lt;($F$10-$E$10)/($G$10-$E$10),$E$10+SQRT(T453*($G$10-$E$10)*($F$10-$E$10)),$G$10-SQRT((1-T453)*($G$10-$E$10)*($G$10-$F$10))))</f>
        <v>1.03899078887345</v>
      </c>
      <c r="G453" s="52" t="n">
        <f aca="false">IF($G$11=$E$11,$F$11,IF(U453&lt;($F$11-$E$11)/($G$11-$E$11),$E$11+SQRT(U453*($G$11-$E$11)*($F$11-$E$11)),$G$11-SQRT((1-U453)*($G$11-$E$11)*($G$11-$F$11))))</f>
        <v>0.102614612019364</v>
      </c>
      <c r="H453" s="53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-2077981577.7469</v>
      </c>
      <c r="I453" s="53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-59942837.1704303</v>
      </c>
      <c r="J453" s="53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183625606.458773</v>
      </c>
      <c r="K453" s="53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479143589.531648</v>
      </c>
      <c r="L453" s="53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592271991.762447</v>
      </c>
      <c r="M453" s="53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767936057.378297</v>
      </c>
      <c r="N453" s="53" t="n">
        <f aca="false">IF(COUNT('Business Case'!B11:G11)=0,"",H453+NPV(G453,I453:M453))</f>
        <v>-751967672.826758</v>
      </c>
      <c r="P453" s="54" t="n">
        <f aca="true">RAND()</f>
        <v>0.117317902134944</v>
      </c>
      <c r="Q453" s="54" t="n">
        <f aca="true">RAND()</f>
        <v>0.585365042606342</v>
      </c>
      <c r="R453" s="54" t="n">
        <f aca="true">RAND()</f>
        <v>0.596123226761334</v>
      </c>
      <c r="S453" s="54" t="n">
        <f aca="true">RAND()</f>
        <v>0.81555856975527</v>
      </c>
      <c r="T453" s="54" t="n">
        <f aca="true">RAND()</f>
        <v>0.406334837596675</v>
      </c>
      <c r="U453" s="54" t="n">
        <f aca="true">RAND()</f>
        <v>0.500027016766677</v>
      </c>
    </row>
    <row r="454" customFormat="false" ht="15" hidden="false" customHeight="false" outlineLevel="0" collapsed="false">
      <c r="A454" s="50" t="n">
        <v>374</v>
      </c>
      <c r="B454" s="51" t="n">
        <f aca="false">1+IF($G$6=$E$6,$F$6,IF(P454&lt;($F$6-$E$6)/($G$6-$E$6),$E$6+SQRT(P454*($G$6-$E$6)*($F$6-$E$6)),$G$6-SQRT((1-P454)*($G$6-$E$6)*($G$6-$F$6))))</f>
        <v>1.01862941240531</v>
      </c>
      <c r="C454" s="51" t="n">
        <f aca="false">1+IF($G$7=$E$7,$F$7,IF(Q454&lt;($F$7-$E$7)/($G$7-$E$7),$E$7+SQRT(Q454*($G$7-$E$7)*($F$7-$E$7)),$G$7-SQRT((1-Q454)*($G$7-$E$7)*($G$7-$F$7))))</f>
        <v>1.11199137644311</v>
      </c>
      <c r="D454" s="51" t="n">
        <f aca="false">1+IF($G$8=$E$8,$F$8,IF(R454&lt;($F$8-$E$8)/($G$8-$E$8),$E$8+SQRT(R454*($G$8-$E$8)*($F$8-$E$8)),$G$8-SQRT((1-R454)*($G$8-$E$8)*($G$8-$F$8))))</f>
        <v>0.980225146700856</v>
      </c>
      <c r="E454" s="51" t="n">
        <f aca="false">1+IF($G$9=$E$9,$F$9,IF(S454&lt;($F$9-$E$9)/($G$9-$E$9),$E$9+SQRT(S454*($G$9-$E$9)*($F$9-$E$9)),$G$9-SQRT((1-S454)*($G$9-$E$9)*($G$9-$F$9))))</f>
        <v>1.01786438224924</v>
      </c>
      <c r="F454" s="51" t="n">
        <f aca="false">1+IF($G$10=$E$10,$F$10,IF(T454&lt;($F$10-$E$10)/($G$10-$E$10),$E$10+SQRT(T454*($G$10-$E$10)*($F$10-$E$10)),$G$10-SQRT((1-T454)*($G$10-$E$10)*($G$10-$F$10))))</f>
        <v>1.1427960303039</v>
      </c>
      <c r="G454" s="52" t="n">
        <f aca="false">IF($G$11=$E$11,$F$11,IF(U454&lt;($F$11-$E$11)/($G$11-$E$11),$E$11+SQRT(U454*($G$11-$E$11)*($F$11-$E$11)),$G$11-SQRT((1-U454)*($G$11-$E$11)*($G$11-$F$11))))</f>
        <v>0.103491863388979</v>
      </c>
      <c r="H454" s="53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-2285592060.6078</v>
      </c>
      <c r="I454" s="53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52035454.9157768</v>
      </c>
      <c r="J454" s="53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421810365.242277</v>
      </c>
      <c r="K454" s="53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848725077.083972</v>
      </c>
      <c r="L454" s="53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1011129738.6758</v>
      </c>
      <c r="M454" s="53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1226434708.49893</v>
      </c>
      <c r="N454" s="53" t="n">
        <f aca="false">IF(COUNT('Business Case'!B11:G11)=0,"",H454+NPV(G454,I454:M454))</f>
        <v>171051501.113667</v>
      </c>
      <c r="P454" s="54" t="n">
        <f aca="true">RAND()</f>
        <v>0.868784831195169</v>
      </c>
      <c r="Q454" s="54" t="n">
        <f aca="true">RAND()</f>
        <v>0.978597696819414</v>
      </c>
      <c r="R454" s="54" t="n">
        <f aca="true">RAND()</f>
        <v>0.121807932411766</v>
      </c>
      <c r="S454" s="54" t="n">
        <f aca="true">RAND()</f>
        <v>0.534404760576695</v>
      </c>
      <c r="T454" s="54" t="n">
        <f aca="true">RAND()</f>
        <v>0.846764118418636</v>
      </c>
      <c r="U454" s="54" t="n">
        <f aca="true">RAND()</f>
        <v>0.531545795607616</v>
      </c>
    </row>
    <row r="455" customFormat="false" ht="15" hidden="false" customHeight="false" outlineLevel="0" collapsed="false">
      <c r="A455" s="50" t="n">
        <v>375</v>
      </c>
      <c r="B455" s="51" t="n">
        <f aca="false">1+IF($G$6=$E$6,$F$6,IF(P455&lt;($F$6-$E$6)/($G$6-$E$6),$E$6+SQRT(P455*($G$6-$E$6)*($F$6-$E$6)),$G$6-SQRT((1-P455)*($G$6-$E$6)*($G$6-$F$6))))</f>
        <v>1.04159252290499</v>
      </c>
      <c r="C455" s="51" t="n">
        <f aca="false">1+IF($G$7=$E$7,$F$7,IF(Q455&lt;($F$7-$E$7)/($G$7-$E$7),$E$7+SQRT(Q455*($G$7-$E$7)*($F$7-$E$7)),$G$7-SQRT((1-Q455)*($G$7-$E$7)*($G$7-$F$7))))</f>
        <v>0.883508733694262</v>
      </c>
      <c r="D455" s="51" t="n">
        <f aca="false">1+IF($G$8=$E$8,$F$8,IF(R455&lt;($F$8-$E$8)/($G$8-$E$8),$E$8+SQRT(R455*($G$8-$E$8)*($F$8-$E$8)),$G$8-SQRT((1-R455)*($G$8-$E$8)*($G$8-$F$8))))</f>
        <v>1.04205642151422</v>
      </c>
      <c r="E455" s="51" t="n">
        <f aca="false">1+IF($G$9=$E$9,$F$9,IF(S455&lt;($F$9-$E$9)/($G$9-$E$9),$E$9+SQRT(S455*($G$9-$E$9)*($F$9-$E$9)),$G$9-SQRT((1-S455)*($G$9-$E$9)*($G$9-$F$9))))</f>
        <v>1.09582249280853</v>
      </c>
      <c r="F455" s="51" t="n">
        <f aca="false">1+IF($G$10=$E$10,$F$10,IF(T455&lt;($F$10-$E$10)/($G$10-$E$10),$E$10+SQRT(T455*($G$10-$E$10)*($F$10-$E$10)),$G$10-SQRT((1-T455)*($G$10-$E$10)*($G$10-$F$10))))</f>
        <v>0.952741373289703</v>
      </c>
      <c r="G455" s="52" t="n">
        <f aca="false">IF($G$11=$E$11,$F$11,IF(U455&lt;($F$11-$E$11)/($G$11-$E$11),$E$11+SQRT(U455*($G$11-$E$11)*($F$11-$E$11)),$G$11-SQRT((1-U455)*($G$11-$E$11)*($G$11-$F$11))))</f>
        <v>0.122674667870485</v>
      </c>
      <c r="H455" s="53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-1905482746.57941</v>
      </c>
      <c r="I455" s="53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-16357487.4663849</v>
      </c>
      <c r="J455" s="53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266091196.627758</v>
      </c>
      <c r="K455" s="53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596176949.386386</v>
      </c>
      <c r="L455" s="53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722130561.253889</v>
      </c>
      <c r="M455" s="53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897052839.019232</v>
      </c>
      <c r="N455" s="53" t="n">
        <f aca="false">IF(COUNT('Business Case'!B11:G11)=0,"",H455+NPV(G455,I455:M455))</f>
        <v>-330068267.524059</v>
      </c>
      <c r="P455" s="54" t="n">
        <f aca="true">RAND()</f>
        <v>0.990575243852912</v>
      </c>
      <c r="Q455" s="54" t="n">
        <f aca="true">RAND()</f>
        <v>0.249447817348678</v>
      </c>
      <c r="R455" s="54" t="n">
        <f aca="true">RAND()</f>
        <v>0.77616944748416</v>
      </c>
      <c r="S455" s="54" t="n">
        <f aca="true">RAND()</f>
        <v>0.921727939053821</v>
      </c>
      <c r="T455" s="54" t="n">
        <f aca="true">RAND()</f>
        <v>0.000501008500899747</v>
      </c>
      <c r="U455" s="54" t="n">
        <f aca="true">RAND()</f>
        <v>0.964226339461529</v>
      </c>
    </row>
    <row r="456" customFormat="false" ht="15" hidden="false" customHeight="false" outlineLevel="0" collapsed="false">
      <c r="A456" s="50" t="n">
        <v>376</v>
      </c>
      <c r="B456" s="51" t="n">
        <f aca="false">1+IF($G$6=$E$6,$F$6,IF(P456&lt;($F$6-$E$6)/($G$6-$E$6),$E$6+SQRT(P456*($G$6-$E$6)*($F$6-$E$6)),$G$6-SQRT((1-P456)*($G$6-$E$6)*($G$6-$F$6))))</f>
        <v>0.98955751122637</v>
      </c>
      <c r="C456" s="51" t="n">
        <f aca="false">1+IF($G$7=$E$7,$F$7,IF(Q456&lt;($F$7-$E$7)/($G$7-$E$7),$E$7+SQRT(Q456*($G$7-$E$7)*($F$7-$E$7)),$G$7-SQRT((1-Q456)*($G$7-$E$7)*($G$7-$F$7))))</f>
        <v>0.966980509030874</v>
      </c>
      <c r="D456" s="51" t="n">
        <f aca="false">1+IF($G$8=$E$8,$F$8,IF(R456&lt;($F$8-$E$8)/($G$8-$E$8),$E$8+SQRT(R456*($G$8-$E$8)*($F$8-$E$8)),$G$8-SQRT((1-R456)*($G$8-$E$8)*($G$8-$F$8))))</f>
        <v>1.07035880468246</v>
      </c>
      <c r="E456" s="51" t="n">
        <f aca="false">1+IF($G$9=$E$9,$F$9,IF(S456&lt;($F$9-$E$9)/($G$9-$E$9),$E$9+SQRT(S456*($G$9-$E$9)*($F$9-$E$9)),$G$9-SQRT((1-S456)*($G$9-$E$9)*($G$9-$F$9))))</f>
        <v>1.12895087622638</v>
      </c>
      <c r="F456" s="51" t="n">
        <f aca="false">1+IF($G$10=$E$10,$F$10,IF(T456&lt;($F$10-$E$10)/($G$10-$E$10),$E$10+SQRT(T456*($G$10-$E$10)*($F$10-$E$10)),$G$10-SQRT((1-T456)*($G$10-$E$10)*($G$10-$F$10))))</f>
        <v>1.09887910821033</v>
      </c>
      <c r="G456" s="52" t="n">
        <f aca="false">IF($G$11=$E$11,$F$11,IF(U456&lt;($F$11-$E$11)/($G$11-$E$11),$E$11+SQRT(U456*($G$11-$E$11)*($F$11-$E$11)),$G$11-SQRT((1-U456)*($G$11-$E$11)*($G$11-$F$11))))</f>
        <v>0.104554557008785</v>
      </c>
      <c r="H456" s="53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-2197758216.42067</v>
      </c>
      <c r="I456" s="53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-66119043.9555904</v>
      </c>
      <c r="J456" s="53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187791443.204988</v>
      </c>
      <c r="K456" s="53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496645885.776083</v>
      </c>
      <c r="L456" s="53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614352585.293438</v>
      </c>
      <c r="M456" s="53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796236872.844502</v>
      </c>
      <c r="N456" s="53" t="n">
        <f aca="false">IF(COUNT('Business Case'!B11:G11)=0,"",H456+NPV(G456,I456:M456))</f>
        <v>-838131876.907109</v>
      </c>
      <c r="P456" s="54" t="n">
        <f aca="true">RAND()</f>
        <v>0.534703187804095</v>
      </c>
      <c r="Q456" s="54" t="n">
        <f aca="true">RAND()</f>
        <v>0.527989571869516</v>
      </c>
      <c r="R456" s="54" t="n">
        <f aca="true">RAND()</f>
        <v>0.941426636009823</v>
      </c>
      <c r="S456" s="54" t="n">
        <f aca="true">RAND()</f>
        <v>0.988184917023005</v>
      </c>
      <c r="T456" s="54" t="n">
        <f aca="true">RAND()</f>
        <v>0.695499680862611</v>
      </c>
      <c r="U456" s="54" t="n">
        <f aca="true">RAND()</f>
        <v>0.568352953987205</v>
      </c>
    </row>
    <row r="457" customFormat="false" ht="15" hidden="false" customHeight="false" outlineLevel="0" collapsed="false">
      <c r="A457" s="50" t="n">
        <v>377</v>
      </c>
      <c r="B457" s="51" t="n">
        <f aca="false">1+IF($G$6=$E$6,$F$6,IF(P457&lt;($F$6-$E$6)/($G$6-$E$6),$E$6+SQRT(P457*($G$6-$E$6)*($F$6-$E$6)),$G$6-SQRT((1-P457)*($G$6-$E$6)*($G$6-$F$6))))</f>
        <v>1.03131045826414</v>
      </c>
      <c r="C457" s="51" t="n">
        <f aca="false">1+IF($G$7=$E$7,$F$7,IF(Q457&lt;($F$7-$E$7)/($G$7-$E$7),$E$7+SQRT(Q457*($G$7-$E$7)*($F$7-$E$7)),$G$7-SQRT((1-Q457)*($G$7-$E$7)*($G$7-$F$7))))</f>
        <v>1.0231858515469</v>
      </c>
      <c r="D457" s="51" t="n">
        <f aca="false">1+IF($G$8=$E$8,$F$8,IF(R457&lt;($F$8-$E$8)/($G$8-$E$8),$E$8+SQRT(R457*($G$8-$E$8)*($F$8-$E$8)),$G$8-SQRT((1-R457)*($G$8-$E$8)*($G$8-$F$8))))</f>
        <v>1.06616108967497</v>
      </c>
      <c r="E457" s="51" t="n">
        <f aca="false">1+IF($G$9=$E$9,$F$9,IF(S457&lt;($F$9-$E$9)/($G$9-$E$9),$E$9+SQRT(S457*($G$9-$E$9)*($F$9-$E$9)),$G$9-SQRT((1-S457)*($G$9-$E$9)*($G$9-$F$9))))</f>
        <v>1.00620245518597</v>
      </c>
      <c r="F457" s="51" t="n">
        <f aca="false">1+IF($G$10=$E$10,$F$10,IF(T457&lt;($F$10-$E$10)/($G$10-$E$10),$E$10+SQRT(T457*($G$10-$E$10)*($F$10-$E$10)),$G$10-SQRT((1-T457)*($G$10-$E$10)*($G$10-$F$10))))</f>
        <v>1.16570323203261</v>
      </c>
      <c r="G457" s="52" t="n">
        <f aca="false">IF($G$11=$E$11,$F$11,IF(U457&lt;($F$11-$E$11)/($G$11-$E$11),$E$11+SQRT(U457*($G$11-$E$11)*($F$11-$E$11)),$G$11-SQRT((1-U457)*($G$11-$E$11)*($G$11-$F$11))))</f>
        <v>0.0999423791968556</v>
      </c>
      <c r="H457" s="53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-2331406464.06522</v>
      </c>
      <c r="I457" s="53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-8495792.14375004</v>
      </c>
      <c r="J457" s="53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297363450.491401</v>
      </c>
      <c r="K457" s="53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661507854.728183</v>
      </c>
      <c r="L457" s="53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799929417.238696</v>
      </c>
      <c r="M457" s="53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1000506066.21541</v>
      </c>
      <c r="N457" s="53" t="n">
        <f aca="false">IF(COUNT('Business Case'!B11:G11)=0,"",H457+NPV(G457,I457:M457))</f>
        <v>-428395561.70439</v>
      </c>
      <c r="P457" s="54" t="n">
        <f aca="true">RAND()</f>
        <v>0.95342680396046</v>
      </c>
      <c r="Q457" s="54" t="n">
        <f aca="true">RAND()</f>
        <v>0.761750692623933</v>
      </c>
      <c r="R457" s="54" t="n">
        <f aca="true">RAND()</f>
        <v>0.923661876534317</v>
      </c>
      <c r="S457" s="54" t="n">
        <f aca="true">RAND()</f>
        <v>0.448593762812177</v>
      </c>
      <c r="T457" s="54" t="n">
        <f aca="true">RAND()</f>
        <v>0.905254065470023</v>
      </c>
      <c r="U457" s="54" t="n">
        <f aca="true">RAND()</f>
        <v>0.39769848803118</v>
      </c>
    </row>
    <row r="458" customFormat="false" ht="15" hidden="false" customHeight="false" outlineLevel="0" collapsed="false">
      <c r="A458" s="50" t="n">
        <v>378</v>
      </c>
      <c r="B458" s="51" t="n">
        <f aca="false">1+IF($G$6=$E$6,$F$6,IF(P458&lt;($F$6-$E$6)/($G$6-$E$6),$E$6+SQRT(P458*($G$6-$E$6)*($F$6-$E$6)),$G$6-SQRT((1-P458)*($G$6-$E$6)*($G$6-$F$6))))</f>
        <v>0.98419528029103</v>
      </c>
      <c r="C458" s="51" t="n">
        <f aca="false">1+IF($G$7=$E$7,$F$7,IF(Q458&lt;($F$7-$E$7)/($G$7-$E$7),$E$7+SQRT(Q458*($G$7-$E$7)*($F$7-$E$7)),$G$7-SQRT((1-Q458)*($G$7-$E$7)*($G$7-$F$7))))</f>
        <v>0.941325378096152</v>
      </c>
      <c r="D458" s="51" t="n">
        <f aca="false">1+IF($G$8=$E$8,$F$8,IF(R458&lt;($F$8-$E$8)/($G$8-$E$8),$E$8+SQRT(R458*($G$8-$E$8)*($F$8-$E$8)),$G$8-SQRT((1-R458)*($G$8-$E$8)*($G$8-$F$8))))</f>
        <v>1.03291614547005</v>
      </c>
      <c r="E458" s="51" t="n">
        <f aca="false">1+IF($G$9=$E$9,$F$9,IF(S458&lt;($F$9-$E$9)/($G$9-$E$9),$E$9+SQRT(S458*($G$9-$E$9)*($F$9-$E$9)),$G$9-SQRT((1-S458)*($G$9-$E$9)*($G$9-$F$9))))</f>
        <v>1.13895806899619</v>
      </c>
      <c r="F458" s="51" t="n">
        <f aca="false">1+IF($G$10=$E$10,$F$10,IF(T458&lt;($F$10-$E$10)/($G$10-$E$10),$E$10+SQRT(T458*($G$10-$E$10)*($F$10-$E$10)),$G$10-SQRT((1-T458)*($G$10-$E$10)*($G$10-$F$10))))</f>
        <v>0.99785438439612</v>
      </c>
      <c r="G458" s="52" t="n">
        <f aca="false">IF($G$11=$E$11,$F$11,IF(U458&lt;($F$11-$E$11)/($G$11-$E$11),$E$11+SQRT(U458*($G$11-$E$11)*($F$11-$E$11)),$G$11-SQRT((1-U458)*($G$11-$E$11)*($G$11-$F$11))))</f>
        <v>0.0995941853021029</v>
      </c>
      <c r="H458" s="53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-1995708768.79224</v>
      </c>
      <c r="I458" s="53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-48689756.2048219</v>
      </c>
      <c r="J458" s="53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212392827.467833</v>
      </c>
      <c r="K458" s="53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523368130.360294</v>
      </c>
      <c r="L458" s="53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642413700.935584</v>
      </c>
      <c r="M458" s="53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818512935.699807</v>
      </c>
      <c r="N458" s="53" t="n">
        <f aca="false">IF(COUNT('Business Case'!B11:G11)=0,"",H458+NPV(G458,I458:M458))</f>
        <v>-522081966.750555</v>
      </c>
      <c r="P458" s="54" t="n">
        <f aca="true">RAND()</f>
        <v>0.472589681552336</v>
      </c>
      <c r="Q458" s="54" t="n">
        <f aca="true">RAND()</f>
        <v>0.431392134172226</v>
      </c>
      <c r="R458" s="54" t="n">
        <f aca="true">RAND()</f>
        <v>0.699983764093604</v>
      </c>
      <c r="S458" s="54" t="n">
        <f aca="true">RAND()</f>
        <v>0.996748686925525</v>
      </c>
      <c r="T458" s="54" t="n">
        <f aca="true">RAND()</f>
        <v>0.152669473728773</v>
      </c>
      <c r="U458" s="54" t="n">
        <f aca="true">RAND()</f>
        <v>0.383932097653145</v>
      </c>
    </row>
    <row r="459" customFormat="false" ht="15" hidden="false" customHeight="false" outlineLevel="0" collapsed="false">
      <c r="A459" s="50" t="n">
        <v>379</v>
      </c>
      <c r="B459" s="51" t="n">
        <f aca="false">1+IF($G$6=$E$6,$F$6,IF(P459&lt;($F$6-$E$6)/($G$6-$E$6),$E$6+SQRT(P459*($G$6-$E$6)*($F$6-$E$6)),$G$6-SQRT((1-P459)*($G$6-$E$6)*($G$6-$F$6))))</f>
        <v>0.980695119113416</v>
      </c>
      <c r="C459" s="51" t="n">
        <f aca="false">1+IF($G$7=$E$7,$F$7,IF(Q459&lt;($F$7-$E$7)/($G$7-$E$7),$E$7+SQRT(Q459*($G$7-$E$7)*($F$7-$E$7)),$G$7-SQRT((1-Q459)*($G$7-$E$7)*($G$7-$F$7))))</f>
        <v>0.788570760643874</v>
      </c>
      <c r="D459" s="51" t="n">
        <f aca="false">1+IF($G$8=$E$8,$F$8,IF(R459&lt;($F$8-$E$8)/($G$8-$E$8),$E$8+SQRT(R459*($G$8-$E$8)*($F$8-$E$8)),$G$8-SQRT((1-R459)*($G$8-$E$8)*($G$8-$F$8))))</f>
        <v>0.984244725555742</v>
      </c>
      <c r="E459" s="51" t="n">
        <f aca="false">1+IF($G$9=$E$9,$F$9,IF(S459&lt;($F$9-$E$9)/($G$9-$E$9),$E$9+SQRT(S459*($G$9-$E$9)*($F$9-$E$9)),$G$9-SQRT((1-S459)*($G$9-$E$9)*($G$9-$F$9))))</f>
        <v>1.04050191298683</v>
      </c>
      <c r="F459" s="51" t="n">
        <f aca="false">1+IF($G$10=$E$10,$F$10,IF(T459&lt;($F$10-$E$10)/($G$10-$E$10),$E$10+SQRT(T459*($G$10-$E$10)*($F$10-$E$10)),$G$10-SQRT((1-T459)*($G$10-$E$10)*($G$10-$F$10))))</f>
        <v>1.01000599952544</v>
      </c>
      <c r="G459" s="52" t="n">
        <f aca="false">IF($G$11=$E$11,$F$11,IF(U459&lt;($F$11-$E$11)/($G$11-$E$11),$E$11+SQRT(U459*($G$11-$E$11)*($F$11-$E$11)),$G$11-SQRT((1-U459)*($G$11-$E$11)*($G$11-$F$11))))</f>
        <v>0.104482589730162</v>
      </c>
      <c r="H459" s="53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-2020011999.05088</v>
      </c>
      <c r="I459" s="53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-52947999.457626</v>
      </c>
      <c r="J459" s="53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183154307.258681</v>
      </c>
      <c r="K459" s="53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469756913.951261</v>
      </c>
      <c r="L459" s="53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575184572.319804</v>
      </c>
      <c r="M459" s="53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722182464.366898</v>
      </c>
      <c r="N459" s="53" t="n">
        <f aca="false">IF(COUNT('Business Case'!B11:G11)=0,"",H459+NPV(G459,I459:M459))</f>
        <v>-743242415.601966</v>
      </c>
      <c r="P459" s="54" t="n">
        <f aca="true">RAND()</f>
        <v>0.434113483248564</v>
      </c>
      <c r="Q459" s="54" t="n">
        <f aca="true">RAND()</f>
        <v>0.0581094788224766</v>
      </c>
      <c r="R459" s="54" t="n">
        <f aca="true">RAND()</f>
        <v>0.156360163785076</v>
      </c>
      <c r="S459" s="54" t="n">
        <f aca="true">RAND()</f>
        <v>0.680271171745518</v>
      </c>
      <c r="T459" s="54" t="n">
        <f aca="true">RAND()</f>
        <v>0.232038396482883</v>
      </c>
      <c r="U459" s="54" t="n">
        <f aca="true">RAND()</f>
        <v>0.565907848747162</v>
      </c>
    </row>
    <row r="460" customFormat="false" ht="15" hidden="false" customHeight="false" outlineLevel="0" collapsed="false">
      <c r="A460" s="50" t="n">
        <v>380</v>
      </c>
      <c r="B460" s="51" t="n">
        <f aca="false">1+IF($G$6=$E$6,$F$6,IF(P460&lt;($F$6-$E$6)/($G$6-$E$6),$E$6+SQRT(P460*($G$6-$E$6)*($F$6-$E$6)),$G$6-SQRT((1-P460)*($G$6-$E$6)*($G$6-$F$6))))</f>
        <v>0.989327829768173</v>
      </c>
      <c r="C460" s="51" t="n">
        <f aca="false">1+IF($G$7=$E$7,$F$7,IF(Q460&lt;($F$7-$E$7)/($G$7-$E$7),$E$7+SQRT(Q460*($G$7-$E$7)*($F$7-$E$7)),$G$7-SQRT((1-Q460)*($G$7-$E$7)*($G$7-$F$7))))</f>
        <v>0.977583196213878</v>
      </c>
      <c r="D460" s="51" t="n">
        <f aca="false">1+IF($G$8=$E$8,$F$8,IF(R460&lt;($F$8-$E$8)/($G$8-$E$8),$E$8+SQRT(R460*($G$8-$E$8)*($F$8-$E$8)),$G$8-SQRT((1-R460)*($G$8-$E$8)*($G$8-$F$8))))</f>
        <v>0.98877449856186</v>
      </c>
      <c r="E460" s="51" t="n">
        <f aca="false">1+IF($G$9=$E$9,$F$9,IF(S460&lt;($F$9-$E$9)/($G$9-$E$9),$E$9+SQRT(S460*($G$9-$E$9)*($F$9-$E$9)),$G$9-SQRT((1-S460)*($G$9-$E$9)*($G$9-$F$9))))</f>
        <v>1.04744848311309</v>
      </c>
      <c r="F460" s="51" t="n">
        <f aca="false">1+IF($G$10=$E$10,$F$10,IF(T460&lt;($F$10-$E$10)/($G$10-$E$10),$E$10+SQRT(T460*($G$10-$E$10)*($F$10-$E$10)),$G$10-SQRT((1-T460)*($G$10-$E$10)*($G$10-$F$10))))</f>
        <v>1.08414375347198</v>
      </c>
      <c r="G460" s="52" t="n">
        <f aca="false">IF($G$11=$E$11,$F$11,IF(U460&lt;($F$11-$E$11)/($G$11-$E$11),$E$11+SQRT(U460*($G$11-$E$11)*($F$11-$E$11)),$G$11-SQRT((1-U460)*($G$11-$E$11)*($G$11-$F$11))))</f>
        <v>0.104936837001906</v>
      </c>
      <c r="H460" s="53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-2168287506.94395</v>
      </c>
      <c r="I460" s="53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-10159570.4745849</v>
      </c>
      <c r="J460" s="53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287179478.275062</v>
      </c>
      <c r="K460" s="53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638725714.698308</v>
      </c>
      <c r="L460" s="53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771263444.000426</v>
      </c>
      <c r="M460" s="53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955099365.787721</v>
      </c>
      <c r="N460" s="53" t="n">
        <f aca="false">IF(COUNT('Business Case'!B11:G11)=0,"",H460+NPV(G460,I460:M460))</f>
        <v>-371436954.072596</v>
      </c>
      <c r="P460" s="54" t="n">
        <f aca="true">RAND()</f>
        <v>0.531964078072783</v>
      </c>
      <c r="Q460" s="54" t="n">
        <f aca="true">RAND()</f>
        <v>0.570758746817129</v>
      </c>
      <c r="R460" s="54" t="n">
        <f aca="true">RAND()</f>
        <v>0.200461565163153</v>
      </c>
      <c r="S460" s="54" t="n">
        <f aca="true">RAND()</f>
        <v>0.71955163691183</v>
      </c>
      <c r="T460" s="54" t="n">
        <f aca="true">RAND()</f>
        <v>0.633222739835134</v>
      </c>
      <c r="U460" s="54" t="n">
        <f aca="true">RAND()</f>
        <v>0.581225240353997</v>
      </c>
    </row>
    <row r="461" customFormat="false" ht="15" hidden="false" customHeight="false" outlineLevel="0" collapsed="false">
      <c r="A461" s="50" t="n">
        <v>381</v>
      </c>
      <c r="B461" s="51" t="n">
        <f aca="false">1+IF($G$6=$E$6,$F$6,IF(P461&lt;($F$6-$E$6)/($G$6-$E$6),$E$6+SQRT(P461*($G$6-$E$6)*($F$6-$E$6)),$G$6-SQRT((1-P461)*($G$6-$E$6)*($G$6-$F$6))))</f>
        <v>1.01564391848943</v>
      </c>
      <c r="C461" s="51" t="n">
        <f aca="false">1+IF($G$7=$E$7,$F$7,IF(Q461&lt;($F$7-$E$7)/($G$7-$E$7),$E$7+SQRT(Q461*($G$7-$E$7)*($F$7-$E$7)),$G$7-SQRT((1-Q461)*($G$7-$E$7)*($G$7-$F$7))))</f>
        <v>1.09358711287599</v>
      </c>
      <c r="D461" s="51" t="n">
        <f aca="false">1+IF($G$8=$E$8,$F$8,IF(R461&lt;($F$8-$E$8)/($G$8-$E$8),$E$8+SQRT(R461*($G$8-$E$8)*($F$8-$E$8)),$G$8-SQRT((1-R461)*($G$8-$E$8)*($G$8-$F$8))))</f>
        <v>1.05838570345382</v>
      </c>
      <c r="E461" s="51" t="n">
        <f aca="false">1+IF($G$9=$E$9,$F$9,IF(S461&lt;($F$9-$E$9)/($G$9-$E$9),$E$9+SQRT(S461*($G$9-$E$9)*($F$9-$E$9)),$G$9-SQRT((1-S461)*($G$9-$E$9)*($G$9-$F$9))))</f>
        <v>1.0424493212946</v>
      </c>
      <c r="F461" s="51" t="n">
        <f aca="false">1+IF($G$10=$E$10,$F$10,IF(T461&lt;($F$10-$E$10)/($G$10-$E$10),$E$10+SQRT(T461*($G$10-$E$10)*($F$10-$E$10)),$G$10-SQRT((1-T461)*($G$10-$E$10)*($G$10-$F$10))))</f>
        <v>0.991345735454539</v>
      </c>
      <c r="G461" s="52" t="n">
        <f aca="false">IF($G$11=$E$11,$F$11,IF(U461&lt;($F$11-$E$11)/($G$11-$E$11),$E$11+SQRT(U461*($G$11-$E$11)*($F$11-$E$11)),$G$11-SQRT((1-U461)*($G$11-$E$11)*($G$11-$F$11))))</f>
        <v>0.108112358248513</v>
      </c>
      <c r="H461" s="53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-1982691470.90908</v>
      </c>
      <c r="I461" s="53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12274824.8306196</v>
      </c>
      <c r="J461" s="53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329498950.706308</v>
      </c>
      <c r="K461" s="53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696290363.354724</v>
      </c>
      <c r="L461" s="53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840417361.320969</v>
      </c>
      <c r="M461" s="53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1051538286.02989</v>
      </c>
      <c r="N461" s="53" t="n">
        <f aca="false">IF(COUNT('Business Case'!B11:G11)=0,"",H461+NPV(G461,I461:M461))</f>
        <v>-4784905.06505251</v>
      </c>
      <c r="P461" s="54" t="n">
        <f aca="true">RAND()</f>
        <v>0.842621288431918</v>
      </c>
      <c r="Q461" s="54" t="n">
        <f aca="true">RAND()</f>
        <v>0.952853128390135</v>
      </c>
      <c r="R461" s="54" t="n">
        <f aca="true">RAND()</f>
        <v>0.884550021531083</v>
      </c>
      <c r="S461" s="54" t="n">
        <f aca="true">RAND()</f>
        <v>0.69154270693355</v>
      </c>
      <c r="T461" s="54" t="n">
        <f aca="true">RAND()</f>
        <v>0.113964656018449</v>
      </c>
      <c r="U461" s="54" t="n">
        <f aca="true">RAND()</f>
        <v>0.680620759039028</v>
      </c>
    </row>
    <row r="462" customFormat="false" ht="15" hidden="false" customHeight="false" outlineLevel="0" collapsed="false">
      <c r="A462" s="50" t="n">
        <v>382</v>
      </c>
      <c r="B462" s="51" t="n">
        <f aca="false">1+IF($G$6=$E$6,$F$6,IF(P462&lt;($F$6-$E$6)/($G$6-$E$6),$E$6+SQRT(P462*($G$6-$E$6)*($F$6-$E$6)),$G$6-SQRT((1-P462)*($G$6-$E$6)*($G$6-$F$6))))</f>
        <v>1.00669466202321</v>
      </c>
      <c r="C462" s="51" t="n">
        <f aca="false">1+IF($G$7=$E$7,$F$7,IF(Q462&lt;($F$7-$E$7)/($G$7-$E$7),$E$7+SQRT(Q462*($G$7-$E$7)*($F$7-$E$7)),$G$7-SQRT((1-Q462)*($G$7-$E$7)*($G$7-$F$7))))</f>
        <v>0.882922746430739</v>
      </c>
      <c r="D462" s="51" t="n">
        <f aca="false">1+IF($G$8=$E$8,$F$8,IF(R462&lt;($F$8-$E$8)/($G$8-$E$8),$E$8+SQRT(R462*($G$8-$E$8)*($F$8-$E$8)),$G$8-SQRT((1-R462)*($G$8-$E$8)*($G$8-$F$8))))</f>
        <v>1.07803799382269</v>
      </c>
      <c r="E462" s="51" t="n">
        <f aca="false">1+IF($G$9=$E$9,$F$9,IF(S462&lt;($F$9-$E$9)/($G$9-$E$9),$E$9+SQRT(S462*($G$9-$E$9)*($F$9-$E$9)),$G$9-SQRT((1-S462)*($G$9-$E$9)*($G$9-$F$9))))</f>
        <v>0.974781450678686</v>
      </c>
      <c r="F462" s="51" t="n">
        <f aca="false">1+IF($G$10=$E$10,$F$10,IF(T462&lt;($F$10-$E$10)/($G$10-$E$10),$E$10+SQRT(T462*($G$10-$E$10)*($F$10-$E$10)),$G$10-SQRT((1-T462)*($G$10-$E$10)*($G$10-$F$10))))</f>
        <v>0.95295690736225</v>
      </c>
      <c r="G462" s="52" t="n">
        <f aca="false">IF($G$11=$E$11,$F$11,IF(U462&lt;($F$11-$E$11)/($G$11-$E$11),$E$11+SQRT(U462*($G$11-$E$11)*($F$11-$E$11)),$G$11-SQRT((1-U462)*($G$11-$E$11)*($G$11-$F$11))))</f>
        <v>0.109712815857083</v>
      </c>
      <c r="H462" s="53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-1905913814.7245</v>
      </c>
      <c r="I462" s="53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-39225898.6822159</v>
      </c>
      <c r="J462" s="53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201534950.301929</v>
      </c>
      <c r="K462" s="53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489943644.654187</v>
      </c>
      <c r="L462" s="53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600915350.744653</v>
      </c>
      <c r="M462" s="53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769864844.437951</v>
      </c>
      <c r="N462" s="53" t="n">
        <f aca="false">IF(COUNT('Business Case'!B11:G11)=0,"",H462+NPV(G462,I462:M462))</f>
        <v>-565365600.995071</v>
      </c>
      <c r="P462" s="54" t="n">
        <f aca="true">RAND()</f>
        <v>0.749953027028845</v>
      </c>
      <c r="Q462" s="54" t="n">
        <f aca="true">RAND()</f>
        <v>0.247857267864922</v>
      </c>
      <c r="R462" s="54" t="n">
        <f aca="true">RAND()</f>
        <v>0.96784468564452</v>
      </c>
      <c r="S462" s="54" t="n">
        <f aca="true">RAND()</f>
        <v>0.22369061462435</v>
      </c>
      <c r="T462" s="54" t="n">
        <f aca="true">RAND()</f>
        <v>0.000582886743261958</v>
      </c>
      <c r="U462" s="54" t="n">
        <f aca="true">RAND()</f>
        <v>0.725620106367588</v>
      </c>
    </row>
    <row r="463" customFormat="false" ht="15" hidden="false" customHeight="false" outlineLevel="0" collapsed="false">
      <c r="A463" s="50" t="n">
        <v>383</v>
      </c>
      <c r="B463" s="51" t="n">
        <f aca="false">1+IF($G$6=$E$6,$F$6,IF(P463&lt;($F$6-$E$6)/($G$6-$E$6),$E$6+SQRT(P463*($G$6-$E$6)*($F$6-$E$6)),$G$6-SQRT((1-P463)*($G$6-$E$6)*($G$6-$F$6))))</f>
        <v>0.931417250793492</v>
      </c>
      <c r="C463" s="51" t="n">
        <f aca="false">1+IF($G$7=$E$7,$F$7,IF(Q463&lt;($F$7-$E$7)/($G$7-$E$7),$E$7+SQRT(Q463*($G$7-$E$7)*($F$7-$E$7)),$G$7-SQRT((1-Q463)*($G$7-$E$7)*($G$7-$F$7))))</f>
        <v>0.80755170538626</v>
      </c>
      <c r="D463" s="51" t="n">
        <f aca="false">1+IF($G$8=$E$8,$F$8,IF(R463&lt;($F$8-$E$8)/($G$8-$E$8),$E$8+SQRT(R463*($G$8-$E$8)*($F$8-$E$8)),$G$8-SQRT((1-R463)*($G$8-$E$8)*($G$8-$F$8))))</f>
        <v>1.00546669505396</v>
      </c>
      <c r="E463" s="51" t="n">
        <f aca="false">1+IF($G$9=$E$9,$F$9,IF(S463&lt;($F$9-$E$9)/($G$9-$E$9),$E$9+SQRT(S463*($G$9-$E$9)*($F$9-$E$9)),$G$9-SQRT((1-S463)*($G$9-$E$9)*($G$9-$F$9))))</f>
        <v>0.942959664955993</v>
      </c>
      <c r="F463" s="51" t="n">
        <f aca="false">1+IF($G$10=$E$10,$F$10,IF(T463&lt;($F$10-$E$10)/($G$10-$E$10),$E$10+SQRT(T463*($G$10-$E$10)*($F$10-$E$10)),$G$10-SQRT((1-T463)*($G$10-$E$10)*($G$10-$F$10))))</f>
        <v>1.00610209572028</v>
      </c>
      <c r="G463" s="52" t="n">
        <f aca="false">IF($G$11=$E$11,$F$11,IF(U463&lt;($F$11-$E$11)/($G$11-$E$11),$E$11+SQRT(U463*($G$11-$E$11)*($F$11-$E$11)),$G$11-SQRT((1-U463)*($G$11-$E$11)*($G$11-$F$11))))</f>
        <v>0.110503366584729</v>
      </c>
      <c r="H463" s="53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-2012204191.44056</v>
      </c>
      <c r="I463" s="53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-73273841.0255365</v>
      </c>
      <c r="J463" s="53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127143759.707241</v>
      </c>
      <c r="K463" s="53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377866465.226032</v>
      </c>
      <c r="L463" s="53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470667244.02332</v>
      </c>
      <c r="M463" s="53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613639259.398313</v>
      </c>
      <c r="N463" s="53" t="n">
        <f aca="false">IF(COUNT('Business Case'!B11:G11)=0,"",H463+NPV(G463,I463:M463))</f>
        <v>-1026348605.96546</v>
      </c>
      <c r="P463" s="54" t="n">
        <f aca="true">RAND()</f>
        <v>0.0658029098280769</v>
      </c>
      <c r="Q463" s="54" t="n">
        <f aca="true">RAND()</f>
        <v>0.0856842172703169</v>
      </c>
      <c r="R463" s="54" t="n">
        <f aca="true">RAND()</f>
        <v>0.404230283731909</v>
      </c>
      <c r="S463" s="54" t="n">
        <f aca="true">RAND()</f>
        <v>0.0738213125252451</v>
      </c>
      <c r="T463" s="54" t="n">
        <f aca="true">RAND()</f>
        <v>0.206850830506155</v>
      </c>
      <c r="U463" s="54" t="n">
        <f aca="true">RAND()</f>
        <v>0.746587523647025</v>
      </c>
    </row>
    <row r="464" customFormat="false" ht="15" hidden="false" customHeight="false" outlineLevel="0" collapsed="false">
      <c r="A464" s="50" t="n">
        <v>384</v>
      </c>
      <c r="B464" s="51" t="n">
        <f aca="false">1+IF($G$6=$E$6,$F$6,IF(P464&lt;($F$6-$E$6)/($G$6-$E$6),$E$6+SQRT(P464*($G$6-$E$6)*($F$6-$E$6)),$G$6-SQRT((1-P464)*($G$6-$E$6)*($G$6-$F$6))))</f>
        <v>0.949585055043921</v>
      </c>
      <c r="C464" s="51" t="n">
        <f aca="false">1+IF($G$7=$E$7,$F$7,IF(Q464&lt;($F$7-$E$7)/($G$7-$E$7),$E$7+SQRT(Q464*($G$7-$E$7)*($F$7-$E$7)),$G$7-SQRT((1-Q464)*($G$7-$E$7)*($G$7-$F$7))))</f>
        <v>0.88205291034545</v>
      </c>
      <c r="D464" s="51" t="n">
        <f aca="false">1+IF($G$8=$E$8,$F$8,IF(R464&lt;($F$8-$E$8)/($G$8-$E$8),$E$8+SQRT(R464*($G$8-$E$8)*($F$8-$E$8)),$G$8-SQRT((1-R464)*($G$8-$E$8)*($G$8-$F$8))))</f>
        <v>1.0913974193487</v>
      </c>
      <c r="E464" s="51" t="n">
        <f aca="false">1+IF($G$9=$E$9,$F$9,IF(S464&lt;($F$9-$E$9)/($G$9-$E$9),$E$9+SQRT(S464*($G$9-$E$9)*($F$9-$E$9)),$G$9-SQRT((1-S464)*($G$9-$E$9)*($G$9-$F$9))))</f>
        <v>0.962793820280577</v>
      </c>
      <c r="F464" s="51" t="n">
        <f aca="false">1+IF($G$10=$E$10,$F$10,IF(T464&lt;($F$10-$E$10)/($G$10-$E$10),$E$10+SQRT(T464*($G$10-$E$10)*($F$10-$E$10)),$G$10-SQRT((1-T464)*($G$10-$E$10)*($G$10-$F$10))))</f>
        <v>1.01003850330924</v>
      </c>
      <c r="G464" s="52" t="n">
        <f aca="false">IF($G$11=$E$11,$F$11,IF(U464&lt;($F$11-$E$11)/($G$11-$E$11),$E$11+SQRT(U464*($G$11-$E$11)*($F$11-$E$11)),$G$11-SQRT((1-U464)*($G$11-$E$11)*($G$11-$F$11))))</f>
        <v>0.107901706418244</v>
      </c>
      <c r="H464" s="53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-2020077006.61847</v>
      </c>
      <c r="I464" s="53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-88101848.1748436</v>
      </c>
      <c r="J464" s="53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105129803.337253</v>
      </c>
      <c r="K464" s="53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348863380.01481</v>
      </c>
      <c r="L464" s="53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442220842.593588</v>
      </c>
      <c r="M464" s="53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601428859.004689</v>
      </c>
      <c r="N464" s="53" t="n">
        <f aca="false">IF(COUNT('Business Case'!B11:G11)=0,"",H464+NPV(G464,I464:M464))</f>
        <v>-1103581980.04874</v>
      </c>
      <c r="P464" s="54" t="n">
        <f aca="true">RAND()</f>
        <v>0.16391184558058</v>
      </c>
      <c r="Q464" s="54" t="n">
        <f aca="true">RAND()</f>
        <v>0.245505645668508</v>
      </c>
      <c r="R464" s="54" t="n">
        <f aca="true">RAND()</f>
        <v>0.99506637374253</v>
      </c>
      <c r="S464" s="54" t="n">
        <f aca="true">RAND()</f>
        <v>0.157722554617175</v>
      </c>
      <c r="T464" s="54" t="n">
        <f aca="true">RAND()</f>
        <v>0.232246401412374</v>
      </c>
      <c r="U464" s="54" t="n">
        <f aca="true">RAND()</f>
        <v>0.674443613849695</v>
      </c>
    </row>
    <row r="465" customFormat="false" ht="15" hidden="false" customHeight="false" outlineLevel="0" collapsed="false">
      <c r="A465" s="50" t="n">
        <v>385</v>
      </c>
      <c r="B465" s="51" t="n">
        <f aca="false">1+IF($G$6=$E$6,$F$6,IF(P465&lt;($F$6-$E$6)/($G$6-$E$6),$E$6+SQRT(P465*($G$6-$E$6)*($F$6-$E$6)),$G$6-SQRT((1-P465)*($G$6-$E$6)*($G$6-$F$6))))</f>
        <v>0.952897667361051</v>
      </c>
      <c r="C465" s="51" t="n">
        <f aca="false">1+IF($G$7=$E$7,$F$7,IF(Q465&lt;($F$7-$E$7)/($G$7-$E$7),$E$7+SQRT(Q465*($G$7-$E$7)*($F$7-$E$7)),$G$7-SQRT((1-Q465)*($G$7-$E$7)*($G$7-$F$7))))</f>
        <v>0.89186294422936</v>
      </c>
      <c r="D465" s="51" t="n">
        <f aca="false">1+IF($G$8=$E$8,$F$8,IF(R465&lt;($F$8-$E$8)/($G$8-$E$8),$E$8+SQRT(R465*($G$8-$E$8)*($F$8-$E$8)),$G$8-SQRT((1-R465)*($G$8-$E$8)*($G$8-$F$8))))</f>
        <v>0.978252945735326</v>
      </c>
      <c r="E465" s="51" t="n">
        <f aca="false">1+IF($G$9=$E$9,$F$9,IF(S465&lt;($F$9-$E$9)/($G$9-$E$9),$E$9+SQRT(S465*($G$9-$E$9)*($F$9-$E$9)),$G$9-SQRT((1-S465)*($G$9-$E$9)*($G$9-$F$9))))</f>
        <v>1.05085093640291</v>
      </c>
      <c r="F465" s="51" t="n">
        <f aca="false">1+IF($G$10=$E$10,$F$10,IF(T465&lt;($F$10-$E$10)/($G$10-$E$10),$E$10+SQRT(T465*($G$10-$E$10)*($F$10-$E$10)),$G$10-SQRT((1-T465)*($G$10-$E$10)*($G$10-$F$10))))</f>
        <v>1.01413214041954</v>
      </c>
      <c r="G465" s="52" t="n">
        <f aca="false">IF($G$11=$E$11,$F$11,IF(U465&lt;($F$11-$E$11)/($G$11-$E$11),$E$11+SQRT(U465*($G$11-$E$11)*($F$11-$E$11)),$G$11-SQRT((1-U465)*($G$11-$E$11)*($G$11-$F$11))))</f>
        <v>0.0829505218945878</v>
      </c>
      <c r="H465" s="53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-2028264280.83908</v>
      </c>
      <c r="I465" s="53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-45442531.062313</v>
      </c>
      <c r="J465" s="53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204015592.611176</v>
      </c>
      <c r="K465" s="53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504180323.305642</v>
      </c>
      <c r="L465" s="53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616703989.555041</v>
      </c>
      <c r="M465" s="53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778244260.525338</v>
      </c>
      <c r="N465" s="53" t="n">
        <f aca="false">IF(COUNT('Business Case'!B11:G11)=0,"",H465+NPV(G465,I465:M465))</f>
        <v>-528435446.714632</v>
      </c>
      <c r="P465" s="54" t="n">
        <f aca="true">RAND()</f>
        <v>0.186544214149359</v>
      </c>
      <c r="Q465" s="54" t="n">
        <f aca="true">RAND()</f>
        <v>0.272676958284138</v>
      </c>
      <c r="R465" s="54" t="n">
        <f aca="true">RAND()</f>
        <v>0.106430525696439</v>
      </c>
      <c r="S465" s="54" t="n">
        <f aca="true">RAND()</f>
        <v>0.73785235167523</v>
      </c>
      <c r="T465" s="54" t="n">
        <f aca="true">RAND()</f>
        <v>0.258218037559088</v>
      </c>
      <c r="U465" s="54" t="n">
        <f aca="true">RAND()</f>
        <v>0.00870557945044193</v>
      </c>
    </row>
    <row r="466" customFormat="false" ht="15" hidden="false" customHeight="false" outlineLevel="0" collapsed="false">
      <c r="A466" s="50" t="n">
        <v>386</v>
      </c>
      <c r="B466" s="51" t="n">
        <f aca="false">1+IF($G$6=$E$6,$F$6,IF(P466&lt;($F$6-$E$6)/($G$6-$E$6),$E$6+SQRT(P466*($G$6-$E$6)*($F$6-$E$6)),$G$6-SQRT((1-P466)*($G$6-$E$6)*($G$6-$F$6))))</f>
        <v>0.983286417757534</v>
      </c>
      <c r="C466" s="51" t="n">
        <f aca="false">1+IF($G$7=$E$7,$F$7,IF(Q466&lt;($F$7-$E$7)/($G$7-$E$7),$E$7+SQRT(Q466*($G$7-$E$7)*($F$7-$E$7)),$G$7-SQRT((1-Q466)*($G$7-$E$7)*($G$7-$F$7))))</f>
        <v>0.953161866061724</v>
      </c>
      <c r="D466" s="51" t="n">
        <f aca="false">1+IF($G$8=$E$8,$F$8,IF(R466&lt;($F$8-$E$8)/($G$8-$E$8),$E$8+SQRT(R466*($G$8-$E$8)*($F$8-$E$8)),$G$8-SQRT((1-R466)*($G$8-$E$8)*($G$8-$F$8))))</f>
        <v>0.99158928886893</v>
      </c>
      <c r="E466" s="51" t="n">
        <f aca="false">1+IF($G$9=$E$9,$F$9,IF(S466&lt;($F$9-$E$9)/($G$9-$E$9),$E$9+SQRT(S466*($G$9-$E$9)*($F$9-$E$9)),$G$9-SQRT((1-S466)*($G$9-$E$9)*($G$9-$F$9))))</f>
        <v>1.01169455992248</v>
      </c>
      <c r="F466" s="51" t="n">
        <f aca="false">1+IF($G$10=$E$10,$F$10,IF(T466&lt;($F$10-$E$10)/($G$10-$E$10),$E$10+SQRT(T466*($G$10-$E$10)*($F$10-$E$10)),$G$10-SQRT((1-T466)*($G$10-$E$10)*($G$10-$F$10))))</f>
        <v>1.03198703079979</v>
      </c>
      <c r="G466" s="52" t="n">
        <f aca="false">IF($G$11=$E$11,$F$11,IF(U466&lt;($F$11-$E$11)/($G$11-$E$11),$E$11+SQRT(U466*($G$11-$E$11)*($F$11-$E$11)),$G$11-SQRT((1-U466)*($G$11-$E$11)*($G$11-$F$11))))</f>
        <v>0.0861975435377019</v>
      </c>
      <c r="H466" s="53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-2063974061.59958</v>
      </c>
      <c r="I466" s="53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-11826643.3068226</v>
      </c>
      <c r="J466" s="53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271994443.98341</v>
      </c>
      <c r="K466" s="53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607414882.813633</v>
      </c>
      <c r="L466" s="53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734412619.307777</v>
      </c>
      <c r="M466" s="53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912561509.993478</v>
      </c>
      <c r="N466" s="53" t="n">
        <f aca="false">IF(COUNT('Business Case'!B11:G11)=0,"",H466+NPV(G466,I466:M466))</f>
        <v>-239188589.696345</v>
      </c>
      <c r="P466" s="54" t="n">
        <f aca="true">RAND()</f>
        <v>0.4624418255255</v>
      </c>
      <c r="Q466" s="54" t="n">
        <f aca="true">RAND()</f>
        <v>0.474747632798921</v>
      </c>
      <c r="R466" s="54" t="n">
        <f aca="true">RAND()</f>
        <v>0.230622526483102</v>
      </c>
      <c r="S466" s="54" t="n">
        <f aca="true">RAND()</f>
        <v>0.489909473199003</v>
      </c>
      <c r="T466" s="54" t="n">
        <f aca="true">RAND()</f>
        <v>0.366271270140117</v>
      </c>
      <c r="U466" s="54" t="n">
        <f aca="true">RAND()</f>
        <v>0.0384095459017106</v>
      </c>
    </row>
    <row r="467" customFormat="false" ht="15" hidden="false" customHeight="false" outlineLevel="0" collapsed="false">
      <c r="A467" s="50" t="n">
        <v>387</v>
      </c>
      <c r="B467" s="51" t="n">
        <f aca="false">1+IF($G$6=$E$6,$F$6,IF(P467&lt;($F$6-$E$6)/($G$6-$E$6),$E$6+SQRT(P467*($G$6-$E$6)*($F$6-$E$6)),$G$6-SQRT((1-P467)*($G$6-$E$6)*($G$6-$F$6))))</f>
        <v>0.985186241655317</v>
      </c>
      <c r="C467" s="51" t="n">
        <f aca="false">1+IF($G$7=$E$7,$F$7,IF(Q467&lt;($F$7-$E$7)/($G$7-$E$7),$E$7+SQRT(Q467*($G$7-$E$7)*($F$7-$E$7)),$G$7-SQRT((1-Q467)*($G$7-$E$7)*($G$7-$F$7))))</f>
        <v>0.98962643722034</v>
      </c>
      <c r="D467" s="51" t="n">
        <f aca="false">1+IF($G$8=$E$8,$F$8,IF(R467&lt;($F$8-$E$8)/($G$8-$E$8),$E$8+SQRT(R467*($G$8-$E$8)*($F$8-$E$8)),$G$8-SQRT((1-R467)*($G$8-$E$8)*($G$8-$F$8))))</f>
        <v>0.997527896989465</v>
      </c>
      <c r="E467" s="51" t="n">
        <f aca="false">1+IF($G$9=$E$9,$F$9,IF(S467&lt;($F$9-$E$9)/($G$9-$E$9),$E$9+SQRT(S467*($G$9-$E$9)*($F$9-$E$9)),$G$9-SQRT((1-S467)*($G$9-$E$9)*($G$9-$F$9))))</f>
        <v>1.10894527418757</v>
      </c>
      <c r="F467" s="51" t="n">
        <f aca="false">1+IF($G$10=$E$10,$F$10,IF(T467&lt;($F$10-$E$10)/($G$10-$E$10),$E$10+SQRT(T467*($G$10-$E$10)*($F$10-$E$10)),$G$10-SQRT((1-T467)*($G$10-$E$10)*($G$10-$F$10))))</f>
        <v>0.960331584155727</v>
      </c>
      <c r="G467" s="52" t="n">
        <f aca="false">IF($G$11=$E$11,$F$11,IF(U467&lt;($F$11-$E$11)/($G$11-$E$11),$E$11+SQRT(U467*($G$11-$E$11)*($F$11-$E$11)),$G$11-SQRT((1-U467)*($G$11-$E$11)*($G$11-$F$11))))</f>
        <v>0.0950117833685125</v>
      </c>
      <c r="H467" s="53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-1920663168.31145</v>
      </c>
      <c r="I467" s="53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-11056968.2195094</v>
      </c>
      <c r="J467" s="53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282153495.567021</v>
      </c>
      <c r="K467" s="53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623380538.561339</v>
      </c>
      <c r="L467" s="53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754812196.890846</v>
      </c>
      <c r="M467" s="53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940133800.761164</v>
      </c>
      <c r="N467" s="53" t="n">
        <f aca="false">IF(COUNT('Business Case'!B11:G11)=0,"",H467+NPV(G467,I467:M467))</f>
        <v>-98489612.3568013</v>
      </c>
      <c r="P467" s="54" t="n">
        <f aca="true">RAND()</f>
        <v>0.483779717823872</v>
      </c>
      <c r="Q467" s="54" t="n">
        <f aca="true">RAND()</f>
        <v>0.621359060273683</v>
      </c>
      <c r="R467" s="54" t="n">
        <f aca="true">RAND()</f>
        <v>0.301186798965498</v>
      </c>
      <c r="S467" s="54" t="n">
        <f aca="true">RAND()</f>
        <v>0.955053586359091</v>
      </c>
      <c r="T467" s="54" t="n">
        <f aca="true">RAND()</f>
        <v>0.0071161087444573</v>
      </c>
      <c r="U467" s="54" t="n">
        <f aca="true">RAND()</f>
        <v>0.225353639903148</v>
      </c>
    </row>
    <row r="468" customFormat="false" ht="15" hidden="false" customHeight="false" outlineLevel="0" collapsed="false">
      <c r="A468" s="50" t="n">
        <v>388</v>
      </c>
      <c r="B468" s="51" t="n">
        <f aca="false">1+IF($G$6=$E$6,$F$6,IF(P468&lt;($F$6-$E$6)/($G$6-$E$6),$E$6+SQRT(P468*($G$6-$E$6)*($F$6-$E$6)),$G$6-SQRT((1-P468)*($G$6-$E$6)*($G$6-$F$6))))</f>
        <v>0.969830188976639</v>
      </c>
      <c r="C468" s="51" t="n">
        <f aca="false">1+IF($G$7=$E$7,$F$7,IF(Q468&lt;($F$7-$E$7)/($G$7-$E$7),$E$7+SQRT(Q468*($G$7-$E$7)*($F$7-$E$7)),$G$7-SQRT((1-Q468)*($G$7-$E$7)*($G$7-$F$7))))</f>
        <v>0.90010235219165</v>
      </c>
      <c r="D468" s="51" t="n">
        <f aca="false">1+IF($G$8=$E$8,$F$8,IF(R468&lt;($F$8-$E$8)/($G$8-$E$8),$E$8+SQRT(R468*($G$8-$E$8)*($F$8-$E$8)),$G$8-SQRT((1-R468)*($G$8-$E$8)*($G$8-$F$8))))</f>
        <v>0.962404444783614</v>
      </c>
      <c r="E468" s="51" t="n">
        <f aca="false">1+IF($G$9=$E$9,$F$9,IF(S468&lt;($F$9-$E$9)/($G$9-$E$9),$E$9+SQRT(S468*($G$9-$E$9)*($F$9-$E$9)),$G$9-SQRT((1-S468)*($G$9-$E$9)*($G$9-$F$9))))</f>
        <v>0.991962228813943</v>
      </c>
      <c r="F468" s="51" t="n">
        <f aca="false">1+IF($G$10=$E$10,$F$10,IF(T468&lt;($F$10-$E$10)/($G$10-$E$10),$E$10+SQRT(T468*($G$10-$E$10)*($F$10-$E$10)),$G$10-SQRT((1-T468)*($G$10-$E$10)*($G$10-$F$10))))</f>
        <v>1.01631407647508</v>
      </c>
      <c r="G468" s="52" t="n">
        <f aca="false">IF($G$11=$E$11,$F$11,IF(U468&lt;($F$11-$E$11)/($G$11-$E$11),$E$11+SQRT(U468*($G$11-$E$11)*($F$11-$E$11)),$G$11-SQRT((1-U468)*($G$11-$E$11)*($G$11-$F$11))))</f>
        <v>0.107620962387592</v>
      </c>
      <c r="H468" s="53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-2032628152.95015</v>
      </c>
      <c r="I468" s="53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-16393099.1937817</v>
      </c>
      <c r="J468" s="53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255155781.352661</v>
      </c>
      <c r="K468" s="53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577520365.722858</v>
      </c>
      <c r="L468" s="53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698205688.008588</v>
      </c>
      <c r="M468" s="53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864135346.24496</v>
      </c>
      <c r="N468" s="53" t="n">
        <f aca="false">IF(COUNT('Business Case'!B11:G11)=0,"",H468+NPV(G468,I468:M468))</f>
        <v>-432195598.248937</v>
      </c>
      <c r="P468" s="54" t="n">
        <f aca="true">RAND()</f>
        <v>0.32508368616754</v>
      </c>
      <c r="Q468" s="54" t="n">
        <f aca="true">RAND()</f>
        <v>0.296599639649119</v>
      </c>
      <c r="R468" s="54" t="n">
        <f aca="true">RAND()</f>
        <v>0.0205160333852963</v>
      </c>
      <c r="S468" s="54" t="n">
        <f aca="true">RAND()</f>
        <v>0.338282061137121</v>
      </c>
      <c r="T468" s="54" t="n">
        <f aca="true">RAND()</f>
        <v>0.271878521950719</v>
      </c>
      <c r="U468" s="54" t="n">
        <f aca="true">RAND()</f>
        <v>0.666119117028286</v>
      </c>
    </row>
    <row r="469" customFormat="false" ht="15" hidden="false" customHeight="false" outlineLevel="0" collapsed="false">
      <c r="A469" s="50" t="n">
        <v>389</v>
      </c>
      <c r="B469" s="51" t="n">
        <f aca="false">1+IF($G$6=$E$6,$F$6,IF(P469&lt;($F$6-$E$6)/($G$6-$E$6),$E$6+SQRT(P469*($G$6-$E$6)*($F$6-$E$6)),$G$6-SQRT((1-P469)*($G$6-$E$6)*($G$6-$F$6))))</f>
        <v>0.968541709755783</v>
      </c>
      <c r="C469" s="51" t="n">
        <f aca="false">1+IF($G$7=$E$7,$F$7,IF(Q469&lt;($F$7-$E$7)/($G$7-$E$7),$E$7+SQRT(Q469*($G$7-$E$7)*($F$7-$E$7)),$G$7-SQRT((1-Q469)*($G$7-$E$7)*($G$7-$F$7))))</f>
        <v>0.985886133318278</v>
      </c>
      <c r="D469" s="51" t="n">
        <f aca="false">1+IF($G$8=$E$8,$F$8,IF(R469&lt;($F$8-$E$8)/($G$8-$E$8),$E$8+SQRT(R469*($G$8-$E$8)*($F$8-$E$8)),$G$8-SQRT((1-R469)*($G$8-$E$8)*($G$8-$F$8))))</f>
        <v>1.0012363247851</v>
      </c>
      <c r="E469" s="51" t="n">
        <f aca="false">1+IF($G$9=$E$9,$F$9,IF(S469&lt;($F$9-$E$9)/($G$9-$E$9),$E$9+SQRT(S469*($G$9-$E$9)*($F$9-$E$9)),$G$9-SQRT((1-S469)*($G$9-$E$9)*($G$9-$F$9))))</f>
        <v>0.976807235358115</v>
      </c>
      <c r="F469" s="51" t="n">
        <f aca="false">1+IF($G$10=$E$10,$F$10,IF(T469&lt;($F$10-$E$10)/($G$10-$E$10),$E$10+SQRT(T469*($G$10-$E$10)*($F$10-$E$10)),$G$10-SQRT((1-T469)*($G$10-$E$10)*($G$10-$F$10))))</f>
        <v>1.01387183273741</v>
      </c>
      <c r="G469" s="52" t="n">
        <f aca="false">IF($G$11=$E$11,$F$11,IF(U469&lt;($F$11-$E$11)/($G$11-$E$11),$E$11+SQRT(U469*($G$11-$E$11)*($F$11-$E$11)),$G$11-SQRT((1-U469)*($G$11-$E$11)*($G$11-$F$11))))</f>
        <v>0.088861695565912</v>
      </c>
      <c r="H469" s="53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-2027743665.47483</v>
      </c>
      <c r="I469" s="53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-12999735.7776033</v>
      </c>
      <c r="J469" s="53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263790256.833676</v>
      </c>
      <c r="K469" s="53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591273841.081826</v>
      </c>
      <c r="L469" s="53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716537542.78373</v>
      </c>
      <c r="M469" s="53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898039582.356859</v>
      </c>
      <c r="N469" s="53" t="n">
        <f aca="false">IF(COUNT('Business Case'!B11:G11)=0,"",H469+NPV(G469,I469:M469))</f>
        <v>-262725180.564904</v>
      </c>
      <c r="P469" s="54" t="n">
        <f aca="true">RAND()</f>
        <v>0.313197731749731</v>
      </c>
      <c r="Q469" s="54" t="n">
        <f aca="true">RAND()</f>
        <v>0.605413934990192</v>
      </c>
      <c r="R469" s="54" t="n">
        <f aca="true">RAND()</f>
        <v>0.349715763869694</v>
      </c>
      <c r="S469" s="54" t="n">
        <f aca="true">RAND()</f>
        <v>0.235974056134277</v>
      </c>
      <c r="T469" s="54" t="n">
        <f aca="true">RAND()</f>
        <v>0.256579848336154</v>
      </c>
      <c r="U469" s="54" t="n">
        <f aca="true">RAND()</f>
        <v>0.0785296483029043</v>
      </c>
    </row>
    <row r="470" customFormat="false" ht="15" hidden="false" customHeight="false" outlineLevel="0" collapsed="false">
      <c r="A470" s="50" t="n">
        <v>390</v>
      </c>
      <c r="B470" s="51" t="n">
        <f aca="false">1+IF($G$6=$E$6,$F$6,IF(P470&lt;($F$6-$E$6)/($G$6-$E$6),$E$6+SQRT(P470*($G$6-$E$6)*($F$6-$E$6)),$G$6-SQRT((1-P470)*($G$6-$E$6)*($G$6-$F$6))))</f>
        <v>0.983987442759224</v>
      </c>
      <c r="C470" s="51" t="n">
        <f aca="false">1+IF($G$7=$E$7,$F$7,IF(Q470&lt;($F$7-$E$7)/($G$7-$E$7),$E$7+SQRT(Q470*($G$7-$E$7)*($F$7-$E$7)),$G$7-SQRT((1-Q470)*($G$7-$E$7)*($G$7-$F$7))))</f>
        <v>0.966057562545022</v>
      </c>
      <c r="D470" s="51" t="n">
        <f aca="false">1+IF($G$8=$E$8,$F$8,IF(R470&lt;($F$8-$E$8)/($G$8-$E$8),$E$8+SQRT(R470*($G$8-$E$8)*($F$8-$E$8)),$G$8-SQRT((1-R470)*($G$8-$E$8)*($G$8-$F$8))))</f>
        <v>1.02061892833551</v>
      </c>
      <c r="E470" s="51" t="n">
        <f aca="false">1+IF($G$9=$E$9,$F$9,IF(S470&lt;($F$9-$E$9)/($G$9-$E$9),$E$9+SQRT(S470*($G$9-$E$9)*($F$9-$E$9)),$G$9-SQRT((1-S470)*($G$9-$E$9)*($G$9-$F$9))))</f>
        <v>1.06361820000444</v>
      </c>
      <c r="F470" s="51" t="n">
        <f aca="false">1+IF($G$10=$E$10,$F$10,IF(T470&lt;($F$10-$E$10)/($G$10-$E$10),$E$10+SQRT(T470*($G$10-$E$10)*($F$10-$E$10)),$G$10-SQRT((1-T470)*($G$10-$E$10)*($G$10-$F$10))))</f>
        <v>0.999284347559993</v>
      </c>
      <c r="G470" s="52" t="n">
        <f aca="false">IF($G$11=$E$11,$F$11,IF(U470&lt;($F$11-$E$11)/($G$11-$E$11),$E$11+SQRT(U470*($G$11-$E$11)*($F$11-$E$11)),$G$11-SQRT((1-U470)*($G$11-$E$11)*($G$11-$F$11))))</f>
        <v>0.090136893264369</v>
      </c>
      <c r="H470" s="53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-1998568695.11999</v>
      </c>
      <c r="I470" s="53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-26594177.2652318</v>
      </c>
      <c r="J470" s="53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247265096.651881</v>
      </c>
      <c r="K470" s="53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571088587.946993</v>
      </c>
      <c r="L470" s="53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695227351.509839</v>
      </c>
      <c r="M470" s="53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875915215.590789</v>
      </c>
      <c r="N470" s="53" t="n">
        <f aca="false">IF(COUNT('Business Case'!B11:G11)=0,"",H470+NPV(G470,I470:M470))</f>
        <v>-312882392.554416</v>
      </c>
      <c r="P470" s="54" t="n">
        <f aca="true">RAND()</f>
        <v>0.470259369415598</v>
      </c>
      <c r="Q470" s="54" t="n">
        <f aca="true">RAND()</f>
        <v>0.524345382128877</v>
      </c>
      <c r="R470" s="54" t="n">
        <f aca="true">RAND()</f>
        <v>0.579909697426506</v>
      </c>
      <c r="S470" s="54" t="n">
        <f aca="true">RAND()</f>
        <v>0.801018256787373</v>
      </c>
      <c r="T470" s="54" t="n">
        <f aca="true">RAND()</f>
        <v>0.161929794294282</v>
      </c>
      <c r="U470" s="54" t="n">
        <f aca="true">RAND()</f>
        <v>0.10275660505321</v>
      </c>
    </row>
    <row r="471" customFormat="false" ht="15" hidden="false" customHeight="false" outlineLevel="0" collapsed="false">
      <c r="A471" s="50" t="n">
        <v>391</v>
      </c>
      <c r="B471" s="51" t="n">
        <f aca="false">1+IF($G$6=$E$6,$F$6,IF(P471&lt;($F$6-$E$6)/($G$6-$E$6),$E$6+SQRT(P471*($G$6-$E$6)*($F$6-$E$6)),$G$6-SQRT((1-P471)*($G$6-$E$6)*($G$6-$F$6))))</f>
        <v>0.953928860504313</v>
      </c>
      <c r="C471" s="51" t="n">
        <f aca="false">1+IF($G$7=$E$7,$F$7,IF(Q471&lt;($F$7-$E$7)/($G$7-$E$7),$E$7+SQRT(Q471*($G$7-$E$7)*($F$7-$E$7)),$G$7-SQRT((1-Q471)*($G$7-$E$7)*($G$7-$F$7))))</f>
        <v>1.10696611596564</v>
      </c>
      <c r="D471" s="51" t="n">
        <f aca="false">1+IF($G$8=$E$8,$F$8,IF(R471&lt;($F$8-$E$8)/($G$8-$E$8),$E$8+SQRT(R471*($G$8-$E$8)*($F$8-$E$8)),$G$8-SQRT((1-R471)*($G$8-$E$8)*($G$8-$F$8))))</f>
        <v>1.03533897768254</v>
      </c>
      <c r="E471" s="51" t="n">
        <f aca="false">1+IF($G$9=$E$9,$F$9,IF(S471&lt;($F$9-$E$9)/($G$9-$E$9),$E$9+SQRT(S471*($G$9-$E$9)*($F$9-$E$9)),$G$9-SQRT((1-S471)*($G$9-$E$9)*($G$9-$F$9))))</f>
        <v>1.10132278617046</v>
      </c>
      <c r="F471" s="51" t="n">
        <f aca="false">1+IF($G$10=$E$10,$F$10,IF(T471&lt;($F$10-$E$10)/($G$10-$E$10),$E$10+SQRT(T471*($G$10-$E$10)*($F$10-$E$10)),$G$10-SQRT((1-T471)*($G$10-$E$10)*($G$10-$F$10))))</f>
        <v>0.994869072853215</v>
      </c>
      <c r="G471" s="52" t="n">
        <f aca="false">IF($G$11=$E$11,$F$11,IF(U471&lt;($F$11-$E$11)/($G$11-$E$11),$E$11+SQRT(U471*($G$11-$E$11)*($F$11-$E$11)),$G$11-SQRT((1-U471)*($G$11-$E$11)*($G$11-$F$11))))</f>
        <v>0.0811023409249175</v>
      </c>
      <c r="H471" s="53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-1989738145.70643</v>
      </c>
      <c r="I471" s="53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-32627309.8066758</v>
      </c>
      <c r="J471" s="53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245581713.289549</v>
      </c>
      <c r="K471" s="53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573534190.028435</v>
      </c>
      <c r="L471" s="53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702764748.009937</v>
      </c>
      <c r="M471" s="53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903482941.231784</v>
      </c>
      <c r="N471" s="53" t="n">
        <f aca="false">IF(COUNT('Business Case'!B11:G11)=0,"",H471+NPV(G471,I471:M471))</f>
        <v>-229685271.093835</v>
      </c>
      <c r="P471" s="54" t="n">
        <f aca="true">RAND()</f>
        <v>0.193888133019576</v>
      </c>
      <c r="Q471" s="54" t="n">
        <f aca="true">RAND()</f>
        <v>0.972564219628406</v>
      </c>
      <c r="R471" s="54" t="n">
        <f aca="true">RAND()</f>
        <v>0.721263479524082</v>
      </c>
      <c r="S471" s="54" t="n">
        <f aca="true">RAND()</f>
        <v>0.936814102767812</v>
      </c>
      <c r="T471" s="54" t="n">
        <f aca="true">RAND()</f>
        <v>0.134215579913805</v>
      </c>
      <c r="U471" s="54" t="n">
        <f aca="true">RAND()</f>
        <v>0.001215155514748</v>
      </c>
    </row>
    <row r="472" customFormat="false" ht="15" hidden="false" customHeight="false" outlineLevel="0" collapsed="false">
      <c r="A472" s="50" t="n">
        <v>392</v>
      </c>
      <c r="B472" s="51" t="n">
        <f aca="false">1+IF($G$6=$E$6,$F$6,IF(P472&lt;($F$6-$E$6)/($G$6-$E$6),$E$6+SQRT(P472*($G$6-$E$6)*($F$6-$E$6)),$G$6-SQRT((1-P472)*($G$6-$E$6)*($G$6-$F$6))))</f>
        <v>1.01580002343909</v>
      </c>
      <c r="C472" s="51" t="n">
        <f aca="false">1+IF($G$7=$E$7,$F$7,IF(Q472&lt;($F$7-$E$7)/($G$7-$E$7),$E$7+SQRT(Q472*($G$7-$E$7)*($F$7-$E$7)),$G$7-SQRT((1-Q472)*($G$7-$E$7)*($G$7-$F$7))))</f>
        <v>0.89634737041033</v>
      </c>
      <c r="D472" s="51" t="n">
        <f aca="false">1+IF($G$8=$E$8,$F$8,IF(R472&lt;($F$8-$E$8)/($G$8-$E$8),$E$8+SQRT(R472*($G$8-$E$8)*($F$8-$E$8)),$G$8-SQRT((1-R472)*($G$8-$E$8)*($G$8-$F$8))))</f>
        <v>1.0323359255899</v>
      </c>
      <c r="E472" s="51" t="n">
        <f aca="false">1+IF($G$9=$E$9,$F$9,IF(S472&lt;($F$9-$E$9)/($G$9-$E$9),$E$9+SQRT(S472*($G$9-$E$9)*($F$9-$E$9)),$G$9-SQRT((1-S472)*($G$9-$E$9)*($G$9-$F$9))))</f>
        <v>0.960520159763189</v>
      </c>
      <c r="F472" s="51" t="n">
        <f aca="false">1+IF($G$10=$E$10,$F$10,IF(T472&lt;($F$10-$E$10)/($G$10-$E$10),$E$10+SQRT(T472*($G$10-$E$10)*($F$10-$E$10)),$G$10-SQRT((1-T472)*($G$10-$E$10)*($G$10-$F$10))))</f>
        <v>1.14546873515449</v>
      </c>
      <c r="G472" s="52" t="n">
        <f aca="false">IF($G$11=$E$11,$F$11,IF(U472&lt;($F$11-$E$11)/($G$11-$E$11),$E$11+SQRT(U472*($G$11-$E$11)*($F$11-$E$11)),$G$11-SQRT((1-U472)*($G$11-$E$11)*($G$11-$F$11))))</f>
        <v>0.115170171756998</v>
      </c>
      <c r="H472" s="53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-2290937470.30898</v>
      </c>
      <c r="I472" s="53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-26256426.2472461</v>
      </c>
      <c r="J472" s="53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245820809.543867</v>
      </c>
      <c r="K472" s="53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575171482.092704</v>
      </c>
      <c r="L472" s="53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697331108.559464</v>
      </c>
      <c r="M472" s="53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870400788.509606</v>
      </c>
      <c r="N472" s="53" t="n">
        <f aca="false">IF(COUNT('Business Case'!B11:G11)=0,"",H472+NPV(G472,I472:M472))</f>
        <v>-746505115.719463</v>
      </c>
      <c r="P472" s="54" t="n">
        <f aca="true">RAND()</f>
        <v>0.844048213764435</v>
      </c>
      <c r="Q472" s="54" t="n">
        <f aca="true">RAND()</f>
        <v>0.285572517533714</v>
      </c>
      <c r="R472" s="54" t="n">
        <f aca="true">RAND()</f>
        <v>0.694771535614933</v>
      </c>
      <c r="S472" s="54" t="n">
        <f aca="true">RAND()</f>
        <v>0.146507589510476</v>
      </c>
      <c r="T472" s="54" t="n">
        <f aca="true">RAND()</f>
        <v>0.85430952893064</v>
      </c>
      <c r="U472" s="54" t="n">
        <f aca="true">RAND()</f>
        <v>0.853384129522045</v>
      </c>
    </row>
    <row r="473" customFormat="false" ht="15" hidden="false" customHeight="false" outlineLevel="0" collapsed="false">
      <c r="A473" s="50" t="n">
        <v>393</v>
      </c>
      <c r="B473" s="51" t="n">
        <f aca="false">1+IF($G$6=$E$6,$F$6,IF(P473&lt;($F$6-$E$6)/($G$6-$E$6),$E$6+SQRT(P473*($G$6-$E$6)*($F$6-$E$6)),$G$6-SQRT((1-P473)*($G$6-$E$6)*($G$6-$F$6))))</f>
        <v>0.939659726406357</v>
      </c>
      <c r="C473" s="51" t="n">
        <f aca="false">1+IF($G$7=$E$7,$F$7,IF(Q473&lt;($F$7-$E$7)/($G$7-$E$7),$E$7+SQRT(Q473*($G$7-$E$7)*($F$7-$E$7)),$G$7-SQRT((1-Q473)*($G$7-$E$7)*($G$7-$F$7))))</f>
        <v>0.968157361062856</v>
      </c>
      <c r="D473" s="51" t="n">
        <f aca="false">1+IF($G$8=$E$8,$F$8,IF(R473&lt;($F$8-$E$8)/($G$8-$E$8),$E$8+SQRT(R473*($G$8-$E$8)*($F$8-$E$8)),$G$8-SQRT((1-R473)*($G$8-$E$8)*($G$8-$F$8))))</f>
        <v>1.02014193950423</v>
      </c>
      <c r="E473" s="51" t="n">
        <f aca="false">1+IF($G$9=$E$9,$F$9,IF(S473&lt;($F$9-$E$9)/($G$9-$E$9),$E$9+SQRT(S473*($G$9-$E$9)*($F$9-$E$9)),$G$9-SQRT((1-S473)*($G$9-$E$9)*($G$9-$F$9))))</f>
        <v>1.0082614259934</v>
      </c>
      <c r="F473" s="51" t="n">
        <f aca="false">1+IF($G$10=$E$10,$F$10,IF(T473&lt;($F$10-$E$10)/($G$10-$E$10),$E$10+SQRT(T473*($G$10-$E$10)*($F$10-$E$10)),$G$10-SQRT((1-T473)*($G$10-$E$10)*($G$10-$F$10))))</f>
        <v>1.01556466471786</v>
      </c>
      <c r="G473" s="52" t="n">
        <f aca="false">IF($G$11=$E$11,$F$11,IF(U473&lt;($F$11-$E$11)/($G$11-$E$11),$E$11+SQRT(U473*($G$11-$E$11)*($F$11-$E$11)),$G$11-SQRT((1-U473)*($G$11-$E$11)*($G$11-$F$11))))</f>
        <v>0.0918558707115722</v>
      </c>
      <c r="H473" s="53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-2031129329.43572</v>
      </c>
      <c r="I473" s="53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-52552613.5146893</v>
      </c>
      <c r="J473" s="53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186986857.074467</v>
      </c>
      <c r="K473" s="53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477304560.899515</v>
      </c>
      <c r="L473" s="53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588591612.999766</v>
      </c>
      <c r="M473" s="53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761514703.471026</v>
      </c>
      <c r="N473" s="53" t="n">
        <f aca="false">IF(COUNT('Business Case'!B11:G11)=0,"",H473+NPV(G473,I473:M473))</f>
        <v>-650836092.120099</v>
      </c>
      <c r="P473" s="54" t="n">
        <f aca="true">RAND()</f>
        <v>0.104859593241808</v>
      </c>
      <c r="Q473" s="54" t="n">
        <f aca="true">RAND()</f>
        <v>0.532654594756998</v>
      </c>
      <c r="R473" s="54" t="n">
        <f aca="true">RAND()</f>
        <v>0.574846011590267</v>
      </c>
      <c r="S473" s="54" t="n">
        <f aca="true">RAND()</f>
        <v>0.46427137702866</v>
      </c>
      <c r="T473" s="54" t="n">
        <f aca="true">RAND()</f>
        <v>0.267200980948675</v>
      </c>
      <c r="U473" s="54" t="n">
        <f aca="true">RAND()</f>
        <v>0.140561670329514</v>
      </c>
    </row>
    <row r="474" customFormat="false" ht="15" hidden="false" customHeight="false" outlineLevel="0" collapsed="false">
      <c r="A474" s="50" t="n">
        <v>394</v>
      </c>
      <c r="B474" s="51" t="n">
        <f aca="false">1+IF($G$6=$E$6,$F$6,IF(P474&lt;($F$6-$E$6)/($G$6-$E$6),$E$6+SQRT(P474*($G$6-$E$6)*($F$6-$E$6)),$G$6-SQRT((1-P474)*($G$6-$E$6)*($G$6-$F$6))))</f>
        <v>0.936309705947812</v>
      </c>
      <c r="C474" s="51" t="n">
        <f aca="false">1+IF($G$7=$E$7,$F$7,IF(Q474&lt;($F$7-$E$7)/($G$7-$E$7),$E$7+SQRT(Q474*($G$7-$E$7)*($F$7-$E$7)),$G$7-SQRT((1-Q474)*($G$7-$E$7)*($G$7-$F$7))))</f>
        <v>0.933679636538257</v>
      </c>
      <c r="D474" s="51" t="n">
        <f aca="false">1+IF($G$8=$E$8,$F$8,IF(R474&lt;($F$8-$E$8)/($G$8-$E$8),$E$8+SQRT(R474*($G$8-$E$8)*($F$8-$E$8)),$G$8-SQRT((1-R474)*($G$8-$E$8)*($G$8-$F$8))))</f>
        <v>0.983939118668048</v>
      </c>
      <c r="E474" s="51" t="n">
        <f aca="false">1+IF($G$9=$E$9,$F$9,IF(S474&lt;($F$9-$E$9)/($G$9-$E$9),$E$9+SQRT(S474*($G$9-$E$9)*($F$9-$E$9)),$G$9-SQRT((1-S474)*($G$9-$E$9)*($G$9-$F$9))))</f>
        <v>1.01175634180745</v>
      </c>
      <c r="F474" s="51" t="n">
        <f aca="false">1+IF($G$10=$E$10,$F$10,IF(T474&lt;($F$10-$E$10)/($G$10-$E$10),$E$10+SQRT(T474*($G$10-$E$10)*($F$10-$E$10)),$G$10-SQRT((1-T474)*($G$10-$E$10)*($G$10-$F$10))))</f>
        <v>1.02305648818538</v>
      </c>
      <c r="G474" s="52" t="n">
        <f aca="false">IF($G$11=$E$11,$F$11,IF(U474&lt;($F$11-$E$11)/($G$11-$E$11),$E$11+SQRT(U474*($G$11-$E$11)*($F$11-$E$11)),$G$11-SQRT((1-U474)*($G$11-$E$11)*($G$11-$F$11))))</f>
        <v>0.112980513386372</v>
      </c>
      <c r="H474" s="53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-2046112976.37077</v>
      </c>
      <c r="I474" s="53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-45745649.1409193</v>
      </c>
      <c r="J474" s="53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200005320.121473</v>
      </c>
      <c r="K474" s="53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496909113.793134</v>
      </c>
      <c r="L474" s="53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609038915.400433</v>
      </c>
      <c r="M474" s="53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775209380.592861</v>
      </c>
      <c r="N474" s="53" t="n">
        <f aca="false">IF(COUNT('Business Case'!B11:G11)=0,"",H474+NPV(G474,I474:M474))</f>
        <v>-714495371.918706</v>
      </c>
      <c r="P474" s="54" t="n">
        <f aca="true">RAND()</f>
        <v>0.0878929830677729</v>
      </c>
      <c r="Q474" s="54" t="n">
        <f aca="true">RAND()</f>
        <v>0.404490166908532</v>
      </c>
      <c r="R474" s="54" t="n">
        <f aca="true">RAND()</f>
        <v>0.153581836795176</v>
      </c>
      <c r="S474" s="54" t="n">
        <f aca="true">RAND()</f>
        <v>0.490365092521122</v>
      </c>
      <c r="T474" s="54" t="n">
        <f aca="true">RAND()</f>
        <v>0.313288565936652</v>
      </c>
      <c r="U474" s="54" t="n">
        <f aca="true">RAND()</f>
        <v>0.806891383605695</v>
      </c>
    </row>
    <row r="475" customFormat="false" ht="15" hidden="false" customHeight="false" outlineLevel="0" collapsed="false">
      <c r="A475" s="50" t="n">
        <v>395</v>
      </c>
      <c r="B475" s="51" t="n">
        <f aca="false">1+IF($G$6=$E$6,$F$6,IF(P475&lt;($F$6-$E$6)/($G$6-$E$6),$E$6+SQRT(P475*($G$6-$E$6)*($F$6-$E$6)),$G$6-SQRT((1-P475)*($G$6-$E$6)*($G$6-$F$6))))</f>
        <v>1.0042002683507</v>
      </c>
      <c r="C475" s="51" t="n">
        <f aca="false">1+IF($G$7=$E$7,$F$7,IF(Q475&lt;($F$7-$E$7)/($G$7-$E$7),$E$7+SQRT(Q475*($G$7-$E$7)*($F$7-$E$7)),$G$7-SQRT((1-Q475)*($G$7-$E$7)*($G$7-$F$7))))</f>
        <v>1.05618459064084</v>
      </c>
      <c r="D475" s="51" t="n">
        <f aca="false">1+IF($G$8=$E$8,$F$8,IF(R475&lt;($F$8-$E$8)/($G$8-$E$8),$E$8+SQRT(R475*($G$8-$E$8)*($F$8-$E$8)),$G$8-SQRT((1-R475)*($G$8-$E$8)*($G$8-$F$8))))</f>
        <v>1.00641259826128</v>
      </c>
      <c r="E475" s="51" t="n">
        <f aca="false">1+IF($G$9=$E$9,$F$9,IF(S475&lt;($F$9-$E$9)/($G$9-$E$9),$E$9+SQRT(S475*($G$9-$E$9)*($F$9-$E$9)),$G$9-SQRT((1-S475)*($G$9-$E$9)*($G$9-$F$9))))</f>
        <v>0.951680487444075</v>
      </c>
      <c r="F475" s="51" t="n">
        <f aca="false">1+IF($G$10=$E$10,$F$10,IF(T475&lt;($F$10-$E$10)/($G$10-$E$10),$E$10+SQRT(T475*($G$10-$E$10)*($F$10-$E$10)),$G$10-SQRT((1-T475)*($G$10-$E$10)*($G$10-$F$10))))</f>
        <v>1.16608431739149</v>
      </c>
      <c r="G475" s="52" t="n">
        <f aca="false">IF($G$11=$E$11,$F$11,IF(U475&lt;($F$11-$E$11)/($G$11-$E$11),$E$11+SQRT(U475*($G$11-$E$11)*($F$11-$E$11)),$G$11-SQRT((1-U475)*($G$11-$E$11)*($G$11-$F$11))))</f>
        <v>0.0834542352629531</v>
      </c>
      <c r="H475" s="53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-2332168634.78299</v>
      </c>
      <c r="I475" s="53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17655666.2400854</v>
      </c>
      <c r="J475" s="53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342231314.364141</v>
      </c>
      <c r="K475" s="53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725111178.357771</v>
      </c>
      <c r="L475" s="53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869958117.619304</v>
      </c>
      <c r="M475" s="53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1071560928.66364</v>
      </c>
      <c r="N475" s="53" t="n">
        <f aca="false">IF(COUNT('Business Case'!B11:G11)=0,"",H475+NPV(G475,I475:M475))</f>
        <v>-105139657.634338</v>
      </c>
      <c r="P475" s="54" t="n">
        <f aca="true">RAND()</f>
        <v>0.720317944113655</v>
      </c>
      <c r="Q475" s="54" t="n">
        <f aca="true">RAND()</f>
        <v>0.86960991061885</v>
      </c>
      <c r="R475" s="54" t="n">
        <f aca="true">RAND()</f>
        <v>0.416093215719692</v>
      </c>
      <c r="S475" s="54" t="n">
        <f aca="true">RAND()</f>
        <v>0.106834911298286</v>
      </c>
      <c r="T475" s="54" t="n">
        <f aca="true">RAND()</f>
        <v>0.906108776164646</v>
      </c>
      <c r="U475" s="54" t="n">
        <f aca="true">RAND()</f>
        <v>0.0119317412518288</v>
      </c>
    </row>
    <row r="476" customFormat="false" ht="15" hidden="false" customHeight="false" outlineLevel="0" collapsed="false">
      <c r="A476" s="50" t="n">
        <v>396</v>
      </c>
      <c r="B476" s="51" t="n">
        <f aca="false">1+IF($G$6=$E$6,$F$6,IF(P476&lt;($F$6-$E$6)/($G$6-$E$6),$E$6+SQRT(P476*($G$6-$E$6)*($F$6-$E$6)),$G$6-SQRT((1-P476)*($G$6-$E$6)*($G$6-$F$6))))</f>
        <v>1.00013100193827</v>
      </c>
      <c r="C476" s="51" t="n">
        <f aca="false">1+IF($G$7=$E$7,$F$7,IF(Q476&lt;($F$7-$E$7)/($G$7-$E$7),$E$7+SQRT(Q476*($G$7-$E$7)*($F$7-$E$7)),$G$7-SQRT((1-Q476)*($G$7-$E$7)*($G$7-$F$7))))</f>
        <v>0.925011775837698</v>
      </c>
      <c r="D476" s="51" t="n">
        <f aca="false">1+IF($G$8=$E$8,$F$8,IF(R476&lt;($F$8-$E$8)/($G$8-$E$8),$E$8+SQRT(R476*($G$8-$E$8)*($F$8-$E$8)),$G$8-SQRT((1-R476)*($G$8-$E$8)*($G$8-$F$8))))</f>
        <v>0.993981513412263</v>
      </c>
      <c r="E476" s="51" t="n">
        <f aca="false">1+IF($G$9=$E$9,$F$9,IF(S476&lt;($F$9-$E$9)/($G$9-$E$9),$E$9+SQRT(S476*($G$9-$E$9)*($F$9-$E$9)),$G$9-SQRT((1-S476)*($G$9-$E$9)*($G$9-$F$9))))</f>
        <v>0.952855737270992</v>
      </c>
      <c r="F476" s="51" t="n">
        <f aca="false">1+IF($G$10=$E$10,$F$10,IF(T476&lt;($F$10-$E$10)/($G$10-$E$10),$E$10+SQRT(T476*($G$10-$E$10)*($F$10-$E$10)),$G$10-SQRT((1-T476)*($G$10-$E$10)*($G$10-$F$10))))</f>
        <v>1.03668450919974</v>
      </c>
      <c r="G476" s="52" t="n">
        <f aca="false">IF($G$11=$E$11,$F$11,IF(U476&lt;($F$11-$E$11)/($G$11-$E$11),$E$11+SQRT(U476*($G$11-$E$11)*($F$11-$E$11)),$G$11-SQRT((1-U476)*($G$11-$E$11)*($G$11-$F$11))))</f>
        <v>0.114522912992672</v>
      </c>
      <c r="H476" s="53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-2073369018.39949</v>
      </c>
      <c r="I476" s="53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-55012.1893776357</v>
      </c>
      <c r="J476" s="53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287013404.725496</v>
      </c>
      <c r="K476" s="53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625916047.100357</v>
      </c>
      <c r="L476" s="53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753578114.301543</v>
      </c>
      <c r="M476" s="53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929427386.230796</v>
      </c>
      <c r="N476" s="53" t="n">
        <f aca="false">IF(COUNT('Business Case'!B11:G11)=0,"",H476+NPV(G476,I476:M476))</f>
        <v>-361378736.514542</v>
      </c>
      <c r="P476" s="54" t="n">
        <f aca="true">RAND()</f>
        <v>0.668411070975944</v>
      </c>
      <c r="Q476" s="54" t="n">
        <f aca="true">RAND()</f>
        <v>0.375039253819516</v>
      </c>
      <c r="R476" s="54" t="n">
        <f aca="true">RAND()</f>
        <v>0.25791646960441</v>
      </c>
      <c r="S476" s="54" t="n">
        <f aca="true">RAND()</f>
        <v>0.111749158498407</v>
      </c>
      <c r="T476" s="54" t="n">
        <f aca="true">RAND()</f>
        <v>0.39328668512861</v>
      </c>
      <c r="U476" s="54" t="n">
        <f aca="true">RAND()</f>
        <v>0.840306518511734</v>
      </c>
    </row>
    <row r="477" customFormat="false" ht="15" hidden="false" customHeight="false" outlineLevel="0" collapsed="false">
      <c r="A477" s="50" t="n">
        <v>397</v>
      </c>
      <c r="B477" s="51" t="n">
        <f aca="false">1+IF($G$6=$E$6,$F$6,IF(P477&lt;($F$6-$E$6)/($G$6-$E$6),$E$6+SQRT(P477*($G$6-$E$6)*($F$6-$E$6)),$G$6-SQRT((1-P477)*($G$6-$E$6)*($G$6-$F$6))))</f>
        <v>1.03027199401375</v>
      </c>
      <c r="C477" s="51" t="n">
        <f aca="false">1+IF($G$7=$E$7,$F$7,IF(Q477&lt;($F$7-$E$7)/($G$7-$E$7),$E$7+SQRT(Q477*($G$7-$E$7)*($F$7-$E$7)),$G$7-SQRT((1-Q477)*($G$7-$E$7)*($G$7-$F$7))))</f>
        <v>1.11903469845469</v>
      </c>
      <c r="D477" s="51" t="n">
        <f aca="false">1+IF($G$8=$E$8,$F$8,IF(R477&lt;($F$8-$E$8)/($G$8-$E$8),$E$8+SQRT(R477*($G$8-$E$8)*($F$8-$E$8)),$G$8-SQRT((1-R477)*($G$8-$E$8)*($G$8-$F$8))))</f>
        <v>0.958569346608048</v>
      </c>
      <c r="E477" s="51" t="n">
        <f aca="false">1+IF($G$9=$E$9,$F$9,IF(S477&lt;($F$9-$E$9)/($G$9-$E$9),$E$9+SQRT(S477*($G$9-$E$9)*($F$9-$E$9)),$G$9-SQRT((1-S477)*($G$9-$E$9)*($G$9-$F$9))))</f>
        <v>1.01470452615169</v>
      </c>
      <c r="F477" s="51" t="n">
        <f aca="false">1+IF($G$10=$E$10,$F$10,IF(T477&lt;($F$10-$E$10)/($G$10-$E$10),$E$10+SQRT(T477*($G$10-$E$10)*($F$10-$E$10)),$G$10-SQRT((1-T477)*($G$10-$E$10)*($G$10-$F$10))))</f>
        <v>1.13596345643424</v>
      </c>
      <c r="G477" s="52" t="n">
        <f aca="false">IF($G$11=$E$11,$F$11,IF(U477&lt;($F$11-$E$11)/($G$11-$E$11),$E$11+SQRT(U477*($G$11-$E$11)*($F$11-$E$11)),$G$11-SQRT((1-U477)*($G$11-$E$11)*($G$11-$F$11))))</f>
        <v>0.0960931467905747</v>
      </c>
      <c r="H477" s="53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-2271926912.86848</v>
      </c>
      <c r="I477" s="53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77539765.9737885</v>
      </c>
      <c r="J477" s="53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472733721.319818</v>
      </c>
      <c r="K477" s="53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924725849.487559</v>
      </c>
      <c r="L477" s="53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1096301741.34293</v>
      </c>
      <c r="M477" s="53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1315446895.07977</v>
      </c>
      <c r="N477" s="53" t="n">
        <f aca="false">IF(COUNT('Business Case'!B11:G11)=0,"",H477+NPV(G477,I477:M477))</f>
        <v>485481519.965996</v>
      </c>
      <c r="P477" s="54" t="n">
        <f aca="true">RAND()</f>
        <v>0.948107437307539</v>
      </c>
      <c r="Q477" s="54" t="n">
        <f aca="true">RAND()</f>
        <v>0.985794816299382</v>
      </c>
      <c r="R477" s="54" t="n">
        <f aca="true">RAND()</f>
        <v>0.00979116017184742</v>
      </c>
      <c r="S477" s="54" t="n">
        <f aca="true">RAND()</f>
        <v>0.511870260164324</v>
      </c>
      <c r="T477" s="54" t="n">
        <f aca="true">RAND()</f>
        <v>0.82660888975432</v>
      </c>
      <c r="U477" s="54" t="n">
        <f aca="true">RAND()</f>
        <v>0.258989373622985</v>
      </c>
    </row>
    <row r="478" customFormat="false" ht="15" hidden="false" customHeight="false" outlineLevel="0" collapsed="false">
      <c r="A478" s="50" t="n">
        <v>398</v>
      </c>
      <c r="B478" s="51" t="n">
        <f aca="false">1+IF($G$6=$E$6,$F$6,IF(P478&lt;($F$6-$E$6)/($G$6-$E$6),$E$6+SQRT(P478*($G$6-$E$6)*($F$6-$E$6)),$G$6-SQRT((1-P478)*($G$6-$E$6)*($G$6-$F$6))))</f>
        <v>0.972595386844099</v>
      </c>
      <c r="C478" s="51" t="n">
        <f aca="false">1+IF($G$7=$E$7,$F$7,IF(Q478&lt;($F$7-$E$7)/($G$7-$E$7),$E$7+SQRT(Q478*($G$7-$E$7)*($F$7-$E$7)),$G$7-SQRT((1-Q478)*($G$7-$E$7)*($G$7-$F$7))))</f>
        <v>0.895950147412909</v>
      </c>
      <c r="D478" s="51" t="n">
        <f aca="false">1+IF($G$8=$E$8,$F$8,IF(R478&lt;($F$8-$E$8)/($G$8-$E$8),$E$8+SQRT(R478*($G$8-$E$8)*($F$8-$E$8)),$G$8-SQRT((1-R478)*($G$8-$E$8)*($G$8-$F$8))))</f>
        <v>1.05616029703166</v>
      </c>
      <c r="E478" s="51" t="n">
        <f aca="false">1+IF($G$9=$E$9,$F$9,IF(S478&lt;($F$9-$E$9)/($G$9-$E$9),$E$9+SQRT(S478*($G$9-$E$9)*($F$9-$E$9)),$G$9-SQRT((1-S478)*($G$9-$E$9)*($G$9-$F$9))))</f>
        <v>1.07372280998103</v>
      </c>
      <c r="F478" s="51" t="n">
        <f aca="false">1+IF($G$10=$E$10,$F$10,IF(T478&lt;($F$10-$E$10)/($G$10-$E$10),$E$10+SQRT(T478*($G$10-$E$10)*($F$10-$E$10)),$G$10-SQRT((1-T478)*($G$10-$E$10)*($G$10-$F$10))))</f>
        <v>1.00441356496982</v>
      </c>
      <c r="G478" s="52" t="n">
        <f aca="false">IF($G$11=$E$11,$F$11,IF(U478&lt;($F$11-$E$11)/($G$11-$E$11),$E$11+SQRT(U478*($G$11-$E$11)*($F$11-$E$11)),$G$11-SQRT((1-U478)*($G$11-$E$11)*($G$11-$F$11))))</f>
        <v>0.0974130163051286</v>
      </c>
      <c r="H478" s="53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-2008827129.93964</v>
      </c>
      <c r="I478" s="53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-68974081.3876248</v>
      </c>
      <c r="J478" s="53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160349796.755437</v>
      </c>
      <c r="K478" s="53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439894353.14699</v>
      </c>
      <c r="L478" s="53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546451125.497612</v>
      </c>
      <c r="M478" s="53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712086263.497086</v>
      </c>
      <c r="N478" s="53" t="n">
        <f aca="false">IF(COUNT('Business Case'!B11:G11)=0,"",H478+NPV(G478,I478:M478))</f>
        <v>-781539701.941824</v>
      </c>
      <c r="P478" s="54" t="n">
        <f aca="true">RAND()</f>
        <v>0.351339346069625</v>
      </c>
      <c r="Q478" s="54" t="n">
        <f aca="true">RAND()</f>
        <v>0.284418224230672</v>
      </c>
      <c r="R478" s="54" t="n">
        <f aca="true">RAND()</f>
        <v>0.871872029576492</v>
      </c>
      <c r="S478" s="54" t="n">
        <f aca="true">RAND()</f>
        <v>0.844847740874944</v>
      </c>
      <c r="T478" s="54" t="n">
        <f aca="true">RAND()</f>
        <v>0.195830705722226</v>
      </c>
      <c r="U478" s="54" t="n">
        <f aca="true">RAND()</f>
        <v>0.303213136842676</v>
      </c>
    </row>
    <row r="479" customFormat="false" ht="15" hidden="false" customHeight="false" outlineLevel="0" collapsed="false">
      <c r="A479" s="50" t="n">
        <v>399</v>
      </c>
      <c r="B479" s="51" t="n">
        <f aca="false">1+IF($G$6=$E$6,$F$6,IF(P479&lt;($F$6-$E$6)/($G$6-$E$6),$E$6+SQRT(P479*($G$6-$E$6)*($F$6-$E$6)),$G$6-SQRT((1-P479)*($G$6-$E$6)*($G$6-$F$6))))</f>
        <v>1.00027654353347</v>
      </c>
      <c r="C479" s="51" t="n">
        <f aca="false">1+IF($G$7=$E$7,$F$7,IF(Q479&lt;($F$7-$E$7)/($G$7-$E$7),$E$7+SQRT(Q479*($G$7-$E$7)*($F$7-$E$7)),$G$7-SQRT((1-Q479)*($G$7-$E$7)*($G$7-$F$7))))</f>
        <v>1.05815841313488</v>
      </c>
      <c r="D479" s="51" t="n">
        <f aca="false">1+IF($G$8=$E$8,$F$8,IF(R479&lt;($F$8-$E$8)/($G$8-$E$8),$E$8+SQRT(R479*($G$8-$E$8)*($F$8-$E$8)),$G$8-SQRT((1-R479)*($G$8-$E$8)*($G$8-$F$8))))</f>
        <v>1.05744481360474</v>
      </c>
      <c r="E479" s="51" t="n">
        <f aca="false">1+IF($G$9=$E$9,$F$9,IF(S479&lt;($F$9-$E$9)/($G$9-$E$9),$E$9+SQRT(S479*($G$9-$E$9)*($F$9-$E$9)),$G$9-SQRT((1-S479)*($G$9-$E$9)*($G$9-$F$9))))</f>
        <v>0.996685136796689</v>
      </c>
      <c r="F479" s="51" t="n">
        <f aca="false">1+IF($G$10=$E$10,$F$10,IF(T479&lt;($F$10-$E$10)/($G$10-$E$10),$E$10+SQRT(T479*($G$10-$E$10)*($F$10-$E$10)),$G$10-SQRT((1-T479)*($G$10-$E$10)*($G$10-$F$10))))</f>
        <v>1.05377268339321</v>
      </c>
      <c r="G479" s="52" t="n">
        <f aca="false">IF($G$11=$E$11,$F$11,IF(U479&lt;($F$11-$E$11)/($G$11-$E$11),$E$11+SQRT(U479*($G$11-$E$11)*($F$11-$E$11)),$G$11-SQRT((1-U479)*($G$11-$E$11)*($G$11-$F$11))))</f>
        <v>0.0999517937638015</v>
      </c>
      <c r="H479" s="53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-2107545366.78641</v>
      </c>
      <c r="I479" s="53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-7838263.4215136</v>
      </c>
      <c r="J479" s="53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286299469.862456</v>
      </c>
      <c r="K479" s="53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633125837.316087</v>
      </c>
      <c r="L479" s="53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767751816.353193</v>
      </c>
      <c r="M479" s="53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968942190.036663</v>
      </c>
      <c r="N479" s="53" t="n">
        <f aca="false">IF(COUNT('Business Case'!B11:G11)=0,"",H479+NPV(G479,I479:M479))</f>
        <v>-276054677.899392</v>
      </c>
      <c r="P479" s="54" t="n">
        <f aca="true">RAND()</f>
        <v>0.670343716936147</v>
      </c>
      <c r="Q479" s="54" t="n">
        <f aca="true">RAND()</f>
        <v>0.875038858105148</v>
      </c>
      <c r="R479" s="54" t="n">
        <f aca="true">RAND()</f>
        <v>0.879270407390963</v>
      </c>
      <c r="S479" s="54" t="n">
        <f aca="true">RAND()</f>
        <v>0.373920627095774</v>
      </c>
      <c r="T479" s="54" t="n">
        <f aca="true">RAND()</f>
        <v>0.486597869563966</v>
      </c>
      <c r="U479" s="54" t="n">
        <f aca="true">RAND()</f>
        <v>0.398074074393267</v>
      </c>
    </row>
    <row r="480" customFormat="false" ht="15" hidden="false" customHeight="false" outlineLevel="0" collapsed="false">
      <c r="A480" s="50" t="n">
        <v>400</v>
      </c>
      <c r="B480" s="51" t="n">
        <f aca="false">1+IF($G$6=$E$6,$F$6,IF(P480&lt;($F$6-$E$6)/($G$6-$E$6),$E$6+SQRT(P480*($G$6-$E$6)*($F$6-$E$6)),$G$6-SQRT((1-P480)*($G$6-$E$6)*($G$6-$F$6))))</f>
        <v>0.974761798826452</v>
      </c>
      <c r="C480" s="51" t="n">
        <f aca="false">1+IF($G$7=$E$7,$F$7,IF(Q480&lt;($F$7-$E$7)/($G$7-$E$7),$E$7+SQRT(Q480*($G$7-$E$7)*($F$7-$E$7)),$G$7-SQRT((1-Q480)*($G$7-$E$7)*($G$7-$F$7))))</f>
        <v>0.960049196011077</v>
      </c>
      <c r="D480" s="51" t="n">
        <f aca="false">1+IF($G$8=$E$8,$F$8,IF(R480&lt;($F$8-$E$8)/($G$8-$E$8),$E$8+SQRT(R480*($G$8-$E$8)*($F$8-$E$8)),$G$8-SQRT((1-R480)*($G$8-$E$8)*($G$8-$F$8))))</f>
        <v>1.00234308656812</v>
      </c>
      <c r="E480" s="51" t="n">
        <f aca="false">1+IF($G$9=$E$9,$F$9,IF(S480&lt;($F$9-$E$9)/($G$9-$E$9),$E$9+SQRT(S480*($G$9-$E$9)*($F$9-$E$9)),$G$9-SQRT((1-S480)*($G$9-$E$9)*($G$9-$F$9))))</f>
        <v>0.965607893268131</v>
      </c>
      <c r="F480" s="51" t="n">
        <f aca="false">1+IF($G$10=$E$10,$F$10,IF(T480&lt;($F$10-$E$10)/($G$10-$E$10),$E$10+SQRT(T480*($G$10-$E$10)*($F$10-$E$10)),$G$10-SQRT((1-T480)*($G$10-$E$10)*($G$10-$F$10))))</f>
        <v>0.962321091675043</v>
      </c>
      <c r="G480" s="52" t="n">
        <f aca="false">IF($G$11=$E$11,$F$11,IF(U480&lt;($F$11-$E$11)/($G$11-$E$11),$E$11+SQRT(U480*($G$11-$E$11)*($F$11-$E$11)),$G$11-SQRT((1-U480)*($G$11-$E$11)*($G$11-$F$11))))</f>
        <v>0.105389487906464</v>
      </c>
      <c r="H480" s="53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-1924642183.35009</v>
      </c>
      <c r="I480" s="53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-8170990.17841587</v>
      </c>
      <c r="J480" s="53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265712442.774212</v>
      </c>
      <c r="K480" s="53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587711930.310591</v>
      </c>
      <c r="L480" s="53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711348322.322008</v>
      </c>
      <c r="M480" s="53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889228851.304983</v>
      </c>
      <c r="N480" s="53" t="n">
        <f aca="false">IF(COUNT('Business Case'!B11:G11)=0,"",H480+NPV(G480,I480:M480))</f>
        <v>-264178163.669486</v>
      </c>
      <c r="P480" s="54" t="n">
        <f aca="true">RAND()</f>
        <v>0.372621770917788</v>
      </c>
      <c r="Q480" s="54" t="n">
        <f aca="true">RAND()</f>
        <v>0.500930254414872</v>
      </c>
      <c r="R480" s="54" t="n">
        <f aca="true">RAND()</f>
        <v>0.364208483930615</v>
      </c>
      <c r="S480" s="54" t="n">
        <f aca="true">RAND()</f>
        <v>0.172175826363298</v>
      </c>
      <c r="T480" s="54" t="n">
        <f aca="true">RAND()</f>
        <v>0.0101206200043206</v>
      </c>
      <c r="U480" s="54" t="n">
        <f aca="true">RAND()</f>
        <v>0.596215129662609</v>
      </c>
    </row>
    <row r="481" customFormat="false" ht="15" hidden="false" customHeight="false" outlineLevel="0" collapsed="false">
      <c r="A481" s="50" t="n">
        <v>401</v>
      </c>
      <c r="B481" s="51" t="n">
        <f aca="false">1+IF($G$6=$E$6,$F$6,IF(P481&lt;($F$6-$E$6)/($G$6-$E$6),$E$6+SQRT(P481*($G$6-$E$6)*($F$6-$E$6)),$G$6-SQRT((1-P481)*($G$6-$E$6)*($G$6-$F$6))))</f>
        <v>1.02247899392258</v>
      </c>
      <c r="C481" s="51" t="n">
        <f aca="false">1+IF($G$7=$E$7,$F$7,IF(Q481&lt;($F$7-$E$7)/($G$7-$E$7),$E$7+SQRT(Q481*($G$7-$E$7)*($F$7-$E$7)),$G$7-SQRT((1-Q481)*($G$7-$E$7)*($G$7-$F$7))))</f>
        <v>0.838792906914383</v>
      </c>
      <c r="D481" s="51" t="n">
        <f aca="false">1+IF($G$8=$E$8,$F$8,IF(R481&lt;($F$8-$E$8)/($G$8-$E$8),$E$8+SQRT(R481*($G$8-$E$8)*($F$8-$E$8)),$G$8-SQRT((1-R481)*($G$8-$E$8)*($G$8-$F$8))))</f>
        <v>1.00447498115539</v>
      </c>
      <c r="E481" s="51" t="n">
        <f aca="false">1+IF($G$9=$E$9,$F$9,IF(S481&lt;($F$9-$E$9)/($G$9-$E$9),$E$9+SQRT(S481*($G$9-$E$9)*($F$9-$E$9)),$G$9-SQRT((1-S481)*($G$9-$E$9)*($G$9-$F$9))))</f>
        <v>1.08550314393887</v>
      </c>
      <c r="F481" s="51" t="n">
        <f aca="false">1+IF($G$10=$E$10,$F$10,IF(T481&lt;($F$10-$E$10)/($G$10-$E$10),$E$10+SQRT(T481*($G$10-$E$10)*($F$10-$E$10)),$G$10-SQRT((1-T481)*($G$10-$E$10)*($G$10-$F$10))))</f>
        <v>0.992887204710277</v>
      </c>
      <c r="G481" s="52" t="n">
        <f aca="false">IF($G$11=$E$11,$F$11,IF(U481&lt;($F$11-$E$11)/($G$11-$E$11),$E$11+SQRT(U481*($G$11-$E$11)*($F$11-$E$11)),$G$11-SQRT((1-U481)*($G$11-$E$11)*($G$11-$F$11))))</f>
        <v>0.116609126116621</v>
      </c>
      <c r="H481" s="53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-1985774409.42055</v>
      </c>
      <c r="I481" s="53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-26948578.1627085</v>
      </c>
      <c r="J481" s="53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244210590.147009</v>
      </c>
      <c r="K481" s="53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565014118.692241</v>
      </c>
      <c r="L481" s="53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685040827.417675</v>
      </c>
      <c r="M481" s="53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848062583.506411</v>
      </c>
      <c r="N481" s="53" t="n">
        <f aca="false">IF(COUNT('Business Case'!B11:G11)=0,"",H481+NPV(G481,I481:M481))</f>
        <v>-478967543.494886</v>
      </c>
      <c r="P481" s="54" t="n">
        <f aca="true">RAND()</f>
        <v>0.899012563264887</v>
      </c>
      <c r="Q481" s="54" t="n">
        <f aca="true">RAND()</f>
        <v>0.142692377849959</v>
      </c>
      <c r="R481" s="54" t="n">
        <f aca="true">RAND()</f>
        <v>0.391664718315755</v>
      </c>
      <c r="S481" s="54" t="n">
        <f aca="true">RAND()</f>
        <v>0.889070814886117</v>
      </c>
      <c r="T481" s="54" t="n">
        <f aca="true">RAND()</f>
        <v>0.122620821857411</v>
      </c>
      <c r="U481" s="54" t="n">
        <f aca="true">RAND()</f>
        <v>0.880456331092954</v>
      </c>
    </row>
    <row r="482" customFormat="false" ht="15" hidden="false" customHeight="false" outlineLevel="0" collapsed="false">
      <c r="A482" s="50" t="n">
        <v>402</v>
      </c>
      <c r="B482" s="51" t="n">
        <f aca="false">1+IF($G$6=$E$6,$F$6,IF(P482&lt;($F$6-$E$6)/($G$6-$E$6),$E$6+SQRT(P482*($G$6-$E$6)*($F$6-$E$6)),$G$6-SQRT((1-P482)*($G$6-$E$6)*($G$6-$F$6))))</f>
        <v>1.01413115184321</v>
      </c>
      <c r="C482" s="51" t="n">
        <f aca="false">1+IF($G$7=$E$7,$F$7,IF(Q482&lt;($F$7-$E$7)/($G$7-$E$7),$E$7+SQRT(Q482*($G$7-$E$7)*($F$7-$E$7)),$G$7-SQRT((1-Q482)*($G$7-$E$7)*($G$7-$F$7))))</f>
        <v>0.932428272594282</v>
      </c>
      <c r="D482" s="51" t="n">
        <f aca="false">1+IF($G$8=$E$8,$F$8,IF(R482&lt;($F$8-$E$8)/($G$8-$E$8),$E$8+SQRT(R482*($G$8-$E$8)*($F$8-$E$8)),$G$8-SQRT((1-R482)*($G$8-$E$8)*($G$8-$F$8))))</f>
        <v>0.994926770346226</v>
      </c>
      <c r="E482" s="51" t="n">
        <f aca="false">1+IF($G$9=$E$9,$F$9,IF(S482&lt;($F$9-$E$9)/($G$9-$E$9),$E$9+SQRT(S482*($G$9-$E$9)*($F$9-$E$9)),$G$9-SQRT((1-S482)*($G$9-$E$9)*($G$9-$F$9))))</f>
        <v>1.05362078705493</v>
      </c>
      <c r="F482" s="51" t="n">
        <f aca="false">1+IF($G$10=$E$10,$F$10,IF(T482&lt;($F$10-$E$10)/($G$10-$E$10),$E$10+SQRT(T482*($G$10-$E$10)*($F$10-$E$10)),$G$10-SQRT((1-T482)*($G$10-$E$10)*($G$10-$F$10))))</f>
        <v>1.04526064993708</v>
      </c>
      <c r="G482" s="52" t="n">
        <f aca="false">IF($G$11=$E$11,$F$11,IF(U482&lt;($F$11-$E$11)/($G$11-$E$11),$E$11+SQRT(U482*($G$11-$E$11)*($F$11-$E$11)),$G$11-SQRT((1-U482)*($G$11-$E$11)*($G$11-$F$11))))</f>
        <v>0.113590748882636</v>
      </c>
      <c r="H482" s="53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-2090521299.87415</v>
      </c>
      <c r="I482" s="53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-3759947.88074301</v>
      </c>
      <c r="J482" s="53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295851185.443192</v>
      </c>
      <c r="K482" s="53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647725351.263981</v>
      </c>
      <c r="L482" s="53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780275822.566465</v>
      </c>
      <c r="M482" s="53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960016336.969583</v>
      </c>
      <c r="N482" s="53" t="n">
        <f aca="false">IF(COUNT('Business Case'!B11:G11)=0,"",H482+NPV(G482,I482:M482))</f>
        <v>-318288631.77847</v>
      </c>
      <c r="P482" s="54" t="n">
        <f aca="true">RAND()</f>
        <v>0.828456764253995</v>
      </c>
      <c r="Q482" s="54" t="n">
        <f aca="true">RAND()</f>
        <v>0.40016964371231</v>
      </c>
      <c r="R482" s="54" t="n">
        <f aca="true">RAND()</f>
        <v>0.269121959165673</v>
      </c>
      <c r="S482" s="54" t="n">
        <f aca="true">RAND()</f>
        <v>0.75229459498904</v>
      </c>
      <c r="T482" s="54" t="n">
        <f aca="true">RAND()</f>
        <v>0.441090647144147</v>
      </c>
      <c r="U482" s="54" t="n">
        <f aca="true">RAND()</f>
        <v>0.82049098517819</v>
      </c>
    </row>
    <row r="483" customFormat="false" ht="15" hidden="false" customHeight="false" outlineLevel="0" collapsed="false">
      <c r="A483" s="50" t="n">
        <v>403</v>
      </c>
      <c r="B483" s="51" t="n">
        <f aca="false">1+IF($G$6=$E$6,$F$6,IF(P483&lt;($F$6-$E$6)/($G$6-$E$6),$E$6+SQRT(P483*($G$6-$E$6)*($F$6-$E$6)),$G$6-SQRT((1-P483)*($G$6-$E$6)*($G$6-$F$6))))</f>
        <v>0.99062593117714</v>
      </c>
      <c r="C483" s="51" t="n">
        <f aca="false">1+IF($G$7=$E$7,$F$7,IF(Q483&lt;($F$7-$E$7)/($G$7-$E$7),$E$7+SQRT(Q483*($G$7-$E$7)*($F$7-$E$7)),$G$7-SQRT((1-Q483)*($G$7-$E$7)*($G$7-$F$7))))</f>
        <v>1.07581749385644</v>
      </c>
      <c r="D483" s="51" t="n">
        <f aca="false">1+IF($G$8=$E$8,$F$8,IF(R483&lt;($F$8-$E$8)/($G$8-$E$8),$E$8+SQRT(R483*($G$8-$E$8)*($F$8-$E$8)),$G$8-SQRT((1-R483)*($G$8-$E$8)*($G$8-$F$8))))</f>
        <v>1.02381108474058</v>
      </c>
      <c r="E483" s="51" t="n">
        <f aca="false">1+IF($G$9=$E$9,$F$9,IF(S483&lt;($F$9-$E$9)/($G$9-$E$9),$E$9+SQRT(S483*($G$9-$E$9)*($F$9-$E$9)),$G$9-SQRT((1-S483)*($G$9-$E$9)*($G$9-$F$9))))</f>
        <v>1.0633511348614</v>
      </c>
      <c r="F483" s="51" t="n">
        <f aca="false">1+IF($G$10=$E$10,$F$10,IF(T483&lt;($F$10-$E$10)/($G$10-$E$10),$E$10+SQRT(T483*($G$10-$E$10)*($F$10-$E$10)),$G$10-SQRT((1-T483)*($G$10-$E$10)*($G$10-$F$10))))</f>
        <v>1.15948006095351</v>
      </c>
      <c r="G483" s="52" t="n">
        <f aca="false">IF($G$11=$E$11,$F$11,IF(U483&lt;($F$11-$E$11)/($G$11-$E$11),$E$11+SQRT(U483*($G$11-$E$11)*($F$11-$E$11)),$G$11-SQRT((1-U483)*($G$11-$E$11)*($G$11-$F$11))))</f>
        <v>0.0943516517001029</v>
      </c>
      <c r="H483" s="53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-2318960121.90702</v>
      </c>
      <c r="I483" s="53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-13338330.9792952</v>
      </c>
      <c r="J483" s="53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295727459.025657</v>
      </c>
      <c r="K483" s="53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662767252.078285</v>
      </c>
      <c r="L483" s="53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802620904.421006</v>
      </c>
      <c r="M483" s="53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1005195377.29689</v>
      </c>
      <c r="N483" s="53" t="n">
        <f aca="false">IF(COUNT('Business Case'!B11:G11)=0,"",H483+NPV(G483,I483:M483))</f>
        <v>-378490926.985256</v>
      </c>
      <c r="P483" s="54" t="n">
        <f aca="true">RAND()</f>
        <v>0.547537293448248</v>
      </c>
      <c r="Q483" s="54" t="n">
        <f aca="true">RAND()</f>
        <v>0.918473418996462</v>
      </c>
      <c r="R483" s="54" t="n">
        <f aca="true">RAND()</f>
        <v>0.613016612772895</v>
      </c>
      <c r="S483" s="54" t="n">
        <f aca="true">RAND()</f>
        <v>0.799785977871803</v>
      </c>
      <c r="T483" s="54" t="n">
        <f aca="true">RAND()</f>
        <v>0.890748541800257</v>
      </c>
      <c r="U483" s="54" t="n">
        <f aca="true">RAND()</f>
        <v>0.205969906521065</v>
      </c>
    </row>
    <row r="484" customFormat="false" ht="15" hidden="false" customHeight="false" outlineLevel="0" collapsed="false">
      <c r="A484" s="50" t="n">
        <v>404</v>
      </c>
      <c r="B484" s="51" t="n">
        <f aca="false">1+IF($G$6=$E$6,$F$6,IF(P484&lt;($F$6-$E$6)/($G$6-$E$6),$E$6+SQRT(P484*($G$6-$E$6)*($F$6-$E$6)),$G$6-SQRT((1-P484)*($G$6-$E$6)*($G$6-$F$6))))</f>
        <v>1.00346625146853</v>
      </c>
      <c r="C484" s="51" t="n">
        <f aca="false">1+IF($G$7=$E$7,$F$7,IF(Q484&lt;($F$7-$E$7)/($G$7-$E$7),$E$7+SQRT(Q484*($G$7-$E$7)*($F$7-$E$7)),$G$7-SQRT((1-Q484)*($G$7-$E$7)*($G$7-$F$7))))</f>
        <v>0.980723692820569</v>
      </c>
      <c r="D484" s="51" t="n">
        <f aca="false">1+IF($G$8=$E$8,$F$8,IF(R484&lt;($F$8-$E$8)/($G$8-$E$8),$E$8+SQRT(R484*($G$8-$E$8)*($F$8-$E$8)),$G$8-SQRT((1-R484)*($G$8-$E$8)*($G$8-$F$8))))</f>
        <v>1.06252750395259</v>
      </c>
      <c r="E484" s="51" t="n">
        <f aca="false">1+IF($G$9=$E$9,$F$9,IF(S484&lt;($F$9-$E$9)/($G$9-$E$9),$E$9+SQRT(S484*($G$9-$E$9)*($F$9-$E$9)),$G$9-SQRT((1-S484)*($G$9-$E$9)*($G$9-$F$9))))</f>
        <v>1.00510376335728</v>
      </c>
      <c r="F484" s="51" t="n">
        <f aca="false">1+IF($G$10=$E$10,$F$10,IF(T484&lt;($F$10-$E$10)/($G$10-$E$10),$E$10+SQRT(T484*($G$10-$E$10)*($F$10-$E$10)),$G$10-SQRT((1-T484)*($G$10-$E$10)*($G$10-$F$10))))</f>
        <v>1.0527272402751</v>
      </c>
      <c r="G484" s="52" t="n">
        <f aca="false">IF($G$11=$E$11,$F$11,IF(U484&lt;($F$11-$E$11)/($G$11-$E$11),$E$11+SQRT(U484*($G$11-$E$11)*($F$11-$E$11)),$G$11-SQRT((1-U484)*($G$11-$E$11)*($G$11-$F$11))))</f>
        <v>0.106796074080168</v>
      </c>
      <c r="H484" s="53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-2105454480.5502</v>
      </c>
      <c r="I484" s="53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-26591859.4154758</v>
      </c>
      <c r="J484" s="53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246031703.289096</v>
      </c>
      <c r="K484" s="53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571291628.007423</v>
      </c>
      <c r="L484" s="53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696177444.204367</v>
      </c>
      <c r="M484" s="53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883239568.329184</v>
      </c>
      <c r="N484" s="53" t="n">
        <f aca="false">IF(COUNT('Business Case'!B11:G11)=0,"",H484+NPV(G484,I484:M484))</f>
        <v>-511558960.117811</v>
      </c>
      <c r="P484" s="54" t="n">
        <f aca="true">RAND()</f>
        <v>0.711281366347982</v>
      </c>
      <c r="Q484" s="54" t="n">
        <f aca="true">RAND()</f>
        <v>0.583746605265312</v>
      </c>
      <c r="R484" s="54" t="n">
        <f aca="true">RAND()</f>
        <v>0.906387469331811</v>
      </c>
      <c r="S484" s="54" t="n">
        <f aca="true">RAND()</f>
        <v>0.440135482847409</v>
      </c>
      <c r="T484" s="54" t="n">
        <f aca="true">RAND()</f>
        <v>0.48111277694029</v>
      </c>
      <c r="U484" s="54" t="n">
        <f aca="true">RAND()</f>
        <v>0.641051881271295</v>
      </c>
    </row>
    <row r="485" customFormat="false" ht="15" hidden="false" customHeight="false" outlineLevel="0" collapsed="false">
      <c r="A485" s="50" t="n">
        <v>405</v>
      </c>
      <c r="B485" s="51" t="n">
        <f aca="false">1+IF($G$6=$E$6,$F$6,IF(P485&lt;($F$6-$E$6)/($G$6-$E$6),$E$6+SQRT(P485*($G$6-$E$6)*($F$6-$E$6)),$G$6-SQRT((1-P485)*($G$6-$E$6)*($G$6-$F$6))))</f>
        <v>0.942009814661238</v>
      </c>
      <c r="C485" s="51" t="n">
        <f aca="false">1+IF($G$7=$E$7,$F$7,IF(Q485&lt;($F$7-$E$7)/($G$7-$E$7),$E$7+SQRT(Q485*($G$7-$E$7)*($F$7-$E$7)),$G$7-SQRT((1-Q485)*($G$7-$E$7)*($G$7-$F$7))))</f>
        <v>0.893822644741358</v>
      </c>
      <c r="D485" s="51" t="n">
        <f aca="false">1+IF($G$8=$E$8,$F$8,IF(R485&lt;($F$8-$E$8)/($G$8-$E$8),$E$8+SQRT(R485*($G$8-$E$8)*($F$8-$E$8)),$G$8-SQRT((1-R485)*($G$8-$E$8)*($G$8-$F$8))))</f>
        <v>1.04358608885636</v>
      </c>
      <c r="E485" s="51" t="n">
        <f aca="false">1+IF($G$9=$E$9,$F$9,IF(S485&lt;($F$9-$E$9)/($G$9-$E$9),$E$9+SQRT(S485*($G$9-$E$9)*($F$9-$E$9)),$G$9-SQRT((1-S485)*($G$9-$E$9)*($G$9-$F$9))))</f>
        <v>1.07087974627728</v>
      </c>
      <c r="F485" s="51" t="n">
        <f aca="false">1+IF($G$10=$E$10,$F$10,IF(T485&lt;($F$10-$E$10)/($G$10-$E$10),$E$10+SQRT(T485*($G$10-$E$10)*($F$10-$E$10)),$G$10-SQRT((1-T485)*($G$10-$E$10)*($G$10-$F$10))))</f>
        <v>0.976405345390122</v>
      </c>
      <c r="G485" s="52" t="n">
        <f aca="false">IF($G$11=$E$11,$F$11,IF(U485&lt;($F$11-$E$11)/($G$11-$E$11),$E$11+SQRT(U485*($G$11-$E$11)*($F$11-$E$11)),$G$11-SQRT((1-U485)*($G$11-$E$11)*($G$11-$F$11))))</f>
        <v>0.0925504133150462</v>
      </c>
      <c r="H485" s="53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-1952810690.78024</v>
      </c>
      <c r="I485" s="53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-81427376.9908854</v>
      </c>
      <c r="J485" s="53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130713626.728711</v>
      </c>
      <c r="K485" s="53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391674897.717813</v>
      </c>
      <c r="L485" s="53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491487729.791572</v>
      </c>
      <c r="M485" s="53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651533132.711322</v>
      </c>
      <c r="N485" s="53" t="n">
        <f aca="false">IF(COUNT('Business Case'!B11:G11)=0,"",H485+NPV(G485,I485:M485))</f>
        <v>-854027632.736545</v>
      </c>
      <c r="P485" s="54" t="n">
        <f aca="true">RAND()</f>
        <v>0.11765496852477</v>
      </c>
      <c r="Q485" s="54" t="n">
        <f aca="true">RAND()</f>
        <v>0.278275686033591</v>
      </c>
      <c r="R485" s="54" t="n">
        <f aca="true">RAND()</f>
        <v>0.787831375298526</v>
      </c>
      <c r="S485" s="54" t="n">
        <f aca="true">RAND()</f>
        <v>0.83306627868938</v>
      </c>
      <c r="T485" s="54" t="n">
        <f aca="true">RAND()</f>
        <v>0.0464828176781095</v>
      </c>
      <c r="U485" s="54" t="n">
        <f aca="true">RAND()</f>
        <v>0.15751287437849</v>
      </c>
    </row>
    <row r="486" customFormat="false" ht="15" hidden="false" customHeight="false" outlineLevel="0" collapsed="false">
      <c r="A486" s="50" t="n">
        <v>406</v>
      </c>
      <c r="B486" s="51" t="n">
        <f aca="false">1+IF($G$6=$E$6,$F$6,IF(P486&lt;($F$6-$E$6)/($G$6-$E$6),$E$6+SQRT(P486*($G$6-$E$6)*($F$6-$E$6)),$G$6-SQRT((1-P486)*($G$6-$E$6)*($G$6-$F$6))))</f>
        <v>0.920139051955531</v>
      </c>
      <c r="C486" s="51" t="n">
        <f aca="false">1+IF($G$7=$E$7,$F$7,IF(Q486&lt;($F$7-$E$7)/($G$7-$E$7),$E$7+SQRT(Q486*($G$7-$E$7)*($F$7-$E$7)),$G$7-SQRT((1-Q486)*($G$7-$E$7)*($G$7-$F$7))))</f>
        <v>0.927230831624698</v>
      </c>
      <c r="D486" s="51" t="n">
        <f aca="false">1+IF($G$8=$E$8,$F$8,IF(R486&lt;($F$8-$E$8)/($G$8-$E$8),$E$8+SQRT(R486*($G$8-$E$8)*($F$8-$E$8)),$G$8-SQRT((1-R486)*($G$8-$E$8)*($G$8-$F$8))))</f>
        <v>1.00822903763268</v>
      </c>
      <c r="E486" s="51" t="n">
        <f aca="false">1+IF($G$9=$E$9,$F$9,IF(S486&lt;($F$9-$E$9)/($G$9-$E$9),$E$9+SQRT(S486*($G$9-$E$9)*($F$9-$E$9)),$G$9-SQRT((1-S486)*($G$9-$E$9)*($G$9-$F$9))))</f>
        <v>1.0305154706272</v>
      </c>
      <c r="F486" s="51" t="n">
        <f aca="false">1+IF($G$10=$E$10,$F$10,IF(T486&lt;($F$10-$E$10)/($G$10-$E$10),$E$10+SQRT(T486*($G$10-$E$10)*($F$10-$E$10)),$G$10-SQRT((1-T486)*($G$10-$E$10)*($G$10-$F$10))))</f>
        <v>1.0304015949408</v>
      </c>
      <c r="G486" s="52" t="n">
        <f aca="false">IF($G$11=$E$11,$F$11,IF(U486&lt;($F$11-$E$11)/($G$11-$E$11),$E$11+SQRT(U486*($G$11-$E$11)*($F$11-$E$11)),$G$11-SQRT((1-U486)*($G$11-$E$11)*($G$11-$F$11))))</f>
        <v>0.100690584611355</v>
      </c>
      <c r="H486" s="53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-2060803189.88159</v>
      </c>
      <c r="I486" s="53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-73565533.7383211</v>
      </c>
      <c r="J486" s="53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146677310.447353</v>
      </c>
      <c r="K486" s="53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418440234.380068</v>
      </c>
      <c r="L486" s="53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521340461.446444</v>
      </c>
      <c r="M486" s="53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683513162.637779</v>
      </c>
      <c r="N486" s="53" t="n">
        <f aca="false">IF(COUNT('Business Case'!B11:G11)=0,"",H486+NPV(G486,I486:M486))</f>
        <v>-914513228.253932</v>
      </c>
      <c r="P486" s="54" t="n">
        <f aca="true">RAND()</f>
        <v>0.0270387609111717</v>
      </c>
      <c r="Q486" s="54" t="n">
        <f aca="true">RAND()</f>
        <v>0.382472969191494</v>
      </c>
      <c r="R486" s="54" t="n">
        <f aca="true">RAND()</f>
        <v>0.438539364411719</v>
      </c>
      <c r="S486" s="54" t="n">
        <f aca="true">RAND()</f>
        <v>0.619291926414966</v>
      </c>
      <c r="T486" s="54" t="n">
        <f aca="true">RAND()</f>
        <v>0.357020539939379</v>
      </c>
      <c r="U486" s="54" t="n">
        <f aca="true">RAND()</f>
        <v>0.427305446383916</v>
      </c>
    </row>
    <row r="487" customFormat="false" ht="15" hidden="false" customHeight="false" outlineLevel="0" collapsed="false">
      <c r="A487" s="50" t="n">
        <v>407</v>
      </c>
      <c r="B487" s="51" t="n">
        <f aca="false">1+IF($G$6=$E$6,$F$6,IF(P487&lt;($F$6-$E$6)/($G$6-$E$6),$E$6+SQRT(P487*($G$6-$E$6)*($F$6-$E$6)),$G$6-SQRT((1-P487)*($G$6-$E$6)*($G$6-$F$6))))</f>
        <v>1.0264090339705</v>
      </c>
      <c r="C487" s="51" t="n">
        <f aca="false">1+IF($G$7=$E$7,$F$7,IF(Q487&lt;($F$7-$E$7)/($G$7-$E$7),$E$7+SQRT(Q487*($G$7-$E$7)*($F$7-$E$7)),$G$7-SQRT((1-Q487)*($G$7-$E$7)*($G$7-$F$7))))</f>
        <v>1.00555152173443</v>
      </c>
      <c r="D487" s="51" t="n">
        <f aca="false">1+IF($G$8=$E$8,$F$8,IF(R487&lt;($F$8-$E$8)/($G$8-$E$8),$E$8+SQRT(R487*($G$8-$E$8)*($F$8-$E$8)),$G$8-SQRT((1-R487)*($G$8-$E$8)*($G$8-$F$8))))</f>
        <v>1.05387327764081</v>
      </c>
      <c r="E487" s="51" t="n">
        <f aca="false">1+IF($G$9=$E$9,$F$9,IF(S487&lt;($F$9-$E$9)/($G$9-$E$9),$E$9+SQRT(S487*($G$9-$E$9)*($F$9-$E$9)),$G$9-SQRT((1-S487)*($G$9-$E$9)*($G$9-$F$9))))</f>
        <v>1.11157783312885</v>
      </c>
      <c r="F487" s="51" t="n">
        <f aca="false">1+IF($G$10=$E$10,$F$10,IF(T487&lt;($F$10-$E$10)/($G$10-$E$10),$E$10+SQRT(T487*($G$10-$E$10)*($F$10-$E$10)),$G$10-SQRT((1-T487)*($G$10-$E$10)*($G$10-$F$10))))</f>
        <v>0.991578079445776</v>
      </c>
      <c r="G487" s="52" t="n">
        <f aca="false">IF($G$11=$E$11,$F$11,IF(U487&lt;($F$11-$E$11)/($G$11-$E$11),$E$11+SQRT(U487*($G$11-$E$11)*($F$11-$E$11)),$G$11-SQRT((1-U487)*($G$11-$E$11)*($G$11-$F$11))))</f>
        <v>0.0874155405502469</v>
      </c>
      <c r="H487" s="53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-1983156158.89155</v>
      </c>
      <c r="I487" s="53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-7852378.25700672</v>
      </c>
      <c r="J487" s="53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295023854.788534</v>
      </c>
      <c r="K487" s="53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647478991.806363</v>
      </c>
      <c r="L487" s="53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784107359.812908</v>
      </c>
      <c r="M487" s="53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980290289.932081</v>
      </c>
      <c r="N487" s="53" t="n">
        <f aca="false">IF(COUNT('Business Case'!B11:G11)=0,"",H487+NPV(G487,I487:M487))</f>
        <v>-31824103.9359343</v>
      </c>
      <c r="P487" s="54" t="n">
        <f aca="true">RAND()</f>
        <v>0.925795509572683</v>
      </c>
      <c r="Q487" s="54" t="n">
        <f aca="true">RAND()</f>
        <v>0.690883512989038</v>
      </c>
      <c r="R487" s="54" t="n">
        <f aca="true">RAND()</f>
        <v>0.858155032293243</v>
      </c>
      <c r="S487" s="54" t="n">
        <f aca="true">RAND()</f>
        <v>0.960632989144682</v>
      </c>
      <c r="T487" s="54" t="n">
        <f aca="true">RAND()</f>
        <v>0.115249112693286</v>
      </c>
      <c r="U487" s="54" t="n">
        <f aca="true">RAND()</f>
        <v>0.054990241652356</v>
      </c>
    </row>
    <row r="488" customFormat="false" ht="15" hidden="false" customHeight="false" outlineLevel="0" collapsed="false">
      <c r="A488" s="50" t="n">
        <v>408</v>
      </c>
      <c r="B488" s="51" t="n">
        <f aca="false">1+IF($G$6=$E$6,$F$6,IF(P488&lt;($F$6-$E$6)/($G$6-$E$6),$E$6+SQRT(P488*($G$6-$E$6)*($F$6-$E$6)),$G$6-SQRT((1-P488)*($G$6-$E$6)*($G$6-$F$6))))</f>
        <v>0.943774294858153</v>
      </c>
      <c r="C488" s="51" t="n">
        <f aca="false">1+IF($G$7=$E$7,$F$7,IF(Q488&lt;($F$7-$E$7)/($G$7-$E$7),$E$7+SQRT(Q488*($G$7-$E$7)*($F$7-$E$7)),$G$7-SQRT((1-Q488)*($G$7-$E$7)*($G$7-$F$7))))</f>
        <v>0.935510195911</v>
      </c>
      <c r="D488" s="51" t="n">
        <f aca="false">1+IF($G$8=$E$8,$F$8,IF(R488&lt;($F$8-$E$8)/($G$8-$E$8),$E$8+SQRT(R488*($G$8-$E$8)*($F$8-$E$8)),$G$8-SQRT((1-R488)*($G$8-$E$8)*($G$8-$F$8))))</f>
        <v>0.964040739003385</v>
      </c>
      <c r="E488" s="51" t="n">
        <f aca="false">1+IF($G$9=$E$9,$F$9,IF(S488&lt;($F$9-$E$9)/($G$9-$E$9),$E$9+SQRT(S488*($G$9-$E$9)*($F$9-$E$9)),$G$9-SQRT((1-S488)*($G$9-$E$9)*($G$9-$F$9))))</f>
        <v>1.04244549872385</v>
      </c>
      <c r="F488" s="51" t="n">
        <f aca="false">1+IF($G$10=$E$10,$F$10,IF(T488&lt;($F$10-$E$10)/($G$10-$E$10),$E$10+SQRT(T488*($G$10-$E$10)*($F$10-$E$10)),$G$10-SQRT((1-T488)*($G$10-$E$10)*($G$10-$F$10))))</f>
        <v>1.20736023597945</v>
      </c>
      <c r="G488" s="52" t="n">
        <f aca="false">IF($G$11=$E$11,$F$11,IF(U488&lt;($F$11-$E$11)/($G$11-$E$11),$E$11+SQRT(U488*($G$11-$E$11)*($F$11-$E$11)),$G$11-SQRT((1-U488)*($G$11-$E$11)*($G$11-$F$11))))</f>
        <v>0.111588068448934</v>
      </c>
      <c r="H488" s="53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-2414720471.9589</v>
      </c>
      <c r="I488" s="53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-53259863.5918507</v>
      </c>
      <c r="J488" s="53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208222125.381582</v>
      </c>
      <c r="K488" s="53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530072126.153987</v>
      </c>
      <c r="L488" s="53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647746175.177669</v>
      </c>
      <c r="M488" s="53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815569798.356625</v>
      </c>
      <c r="N488" s="53" t="n">
        <f aca="false">IF(COUNT('Business Case'!B11:G11)=0,"",H488+NPV(G488,I488:M488))</f>
        <v>-1003382352.47765</v>
      </c>
      <c r="P488" s="54" t="n">
        <f aca="true">RAND()</f>
        <v>0.127745926021903</v>
      </c>
      <c r="Q488" s="54" t="n">
        <f aca="true">RAND()</f>
        <v>0.410852239837316</v>
      </c>
      <c r="R488" s="54" t="n">
        <f aca="true">RAND()</f>
        <v>0.0262856469014917</v>
      </c>
      <c r="S488" s="54" t="n">
        <f aca="true">RAND()</f>
        <v>0.69152078013972</v>
      </c>
      <c r="T488" s="54" t="n">
        <f aca="true">RAND()</f>
        <v>0.97575800699029</v>
      </c>
      <c r="U488" s="54" t="n">
        <f aca="true">RAND()</f>
        <v>0.774000517705912</v>
      </c>
    </row>
    <row r="489" customFormat="false" ht="15" hidden="false" customHeight="false" outlineLevel="0" collapsed="false">
      <c r="A489" s="50" t="n">
        <v>409</v>
      </c>
      <c r="B489" s="51" t="n">
        <f aca="false">1+IF($G$6=$E$6,$F$6,IF(P489&lt;($F$6-$E$6)/($G$6-$E$6),$E$6+SQRT(P489*($G$6-$E$6)*($F$6-$E$6)),$G$6-SQRT((1-P489)*($G$6-$E$6)*($G$6-$F$6))))</f>
        <v>0.987054206647348</v>
      </c>
      <c r="C489" s="51" t="n">
        <f aca="false">1+IF($G$7=$E$7,$F$7,IF(Q489&lt;($F$7-$E$7)/($G$7-$E$7),$E$7+SQRT(Q489*($G$7-$E$7)*($F$7-$E$7)),$G$7-SQRT((1-Q489)*($G$7-$E$7)*($G$7-$F$7))))</f>
        <v>1.08085565832007</v>
      </c>
      <c r="D489" s="51" t="n">
        <f aca="false">1+IF($G$8=$E$8,$F$8,IF(R489&lt;($F$8-$E$8)/($G$8-$E$8),$E$8+SQRT(R489*($G$8-$E$8)*($F$8-$E$8)),$G$8-SQRT((1-R489)*($G$8-$E$8)*($G$8-$F$8))))</f>
        <v>1.04595579420214</v>
      </c>
      <c r="E489" s="51" t="n">
        <f aca="false">1+IF($G$9=$E$9,$F$9,IF(S489&lt;($F$9-$E$9)/($G$9-$E$9),$E$9+SQRT(S489*($G$9-$E$9)*($F$9-$E$9)),$G$9-SQRT((1-S489)*($G$9-$E$9)*($G$9-$F$9))))</f>
        <v>0.96890874302148</v>
      </c>
      <c r="F489" s="51" t="n">
        <f aca="false">1+IF($G$10=$E$10,$F$10,IF(T489&lt;($F$10-$E$10)/($G$10-$E$10),$E$10+SQRT(T489*($G$10-$E$10)*($F$10-$E$10)),$G$10-SQRT((1-T489)*($G$10-$E$10)*($G$10-$F$10))))</f>
        <v>1.01018457631904</v>
      </c>
      <c r="G489" s="52" t="n">
        <f aca="false">IF($G$11=$E$11,$F$11,IF(U489&lt;($F$11-$E$11)/($G$11-$E$11),$E$11+SQRT(U489*($G$11-$E$11)*($F$11-$E$11)),$G$11-SQRT((1-U489)*($G$11-$E$11)*($G$11-$F$11))))</f>
        <v>0.0824619645384873</v>
      </c>
      <c r="H489" s="53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-2020369152.63808</v>
      </c>
      <c r="I489" s="53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994743.770209476</v>
      </c>
      <c r="J489" s="53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296092952.794903</v>
      </c>
      <c r="K489" s="53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641700390.635549</v>
      </c>
      <c r="L489" s="53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776937249.887065</v>
      </c>
      <c r="M489" s="53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979726592.55846</v>
      </c>
      <c r="N489" s="53" t="n">
        <f aca="false">IF(COUNT('Business Case'!B11:G11)=0,"",H489+NPV(G489,I489:M489))</f>
        <v>-35685531.4246533</v>
      </c>
      <c r="P489" s="54" t="n">
        <f aca="true">RAND()</f>
        <v>0.505228992999947</v>
      </c>
      <c r="Q489" s="54" t="n">
        <f aca="true">RAND()</f>
        <v>0.929171259461473</v>
      </c>
      <c r="R489" s="54" t="n">
        <f aca="true">RAND()</f>
        <v>0.805281587978571</v>
      </c>
      <c r="S489" s="54" t="n">
        <f aca="true">RAND()</f>
        <v>0.189936594592013</v>
      </c>
      <c r="T489" s="54" t="n">
        <f aca="true">RAND()</f>
        <v>0.233180834196284</v>
      </c>
      <c r="U489" s="54" t="n">
        <f aca="true">RAND()</f>
        <v>0.00606126938876899</v>
      </c>
    </row>
    <row r="490" customFormat="false" ht="15" hidden="false" customHeight="false" outlineLevel="0" collapsed="false">
      <c r="A490" s="50" t="n">
        <v>410</v>
      </c>
      <c r="B490" s="51" t="n">
        <f aca="false">1+IF($G$6=$E$6,$F$6,IF(P490&lt;($F$6-$E$6)/($G$6-$E$6),$E$6+SQRT(P490*($G$6-$E$6)*($F$6-$E$6)),$G$6-SQRT((1-P490)*($G$6-$E$6)*($G$6-$F$6))))</f>
        <v>0.953990536753532</v>
      </c>
      <c r="C490" s="51" t="n">
        <f aca="false">1+IF($G$7=$E$7,$F$7,IF(Q490&lt;($F$7-$E$7)/($G$7-$E$7),$E$7+SQRT(Q490*($G$7-$E$7)*($F$7-$E$7)),$G$7-SQRT((1-Q490)*($G$7-$E$7)*($G$7-$F$7))))</f>
        <v>0.883812242349796</v>
      </c>
      <c r="D490" s="51" t="n">
        <f aca="false">1+IF($G$8=$E$8,$F$8,IF(R490&lt;($F$8-$E$8)/($G$8-$E$8),$E$8+SQRT(R490*($G$8-$E$8)*($F$8-$E$8)),$G$8-SQRT((1-R490)*($G$8-$E$8)*($G$8-$F$8))))</f>
        <v>0.982069032183931</v>
      </c>
      <c r="E490" s="51" t="n">
        <f aca="false">1+IF($G$9=$E$9,$F$9,IF(S490&lt;($F$9-$E$9)/($G$9-$E$9),$E$9+SQRT(S490*($G$9-$E$9)*($F$9-$E$9)),$G$9-SQRT((1-S490)*($G$9-$E$9)*($G$9-$F$9))))</f>
        <v>1.11533603022761</v>
      </c>
      <c r="F490" s="51" t="n">
        <f aca="false">1+IF($G$10=$E$10,$F$10,IF(T490&lt;($F$10-$E$10)/($G$10-$E$10),$E$10+SQRT(T490*($G$10-$E$10)*($F$10-$E$10)),$G$10-SQRT((1-T490)*($G$10-$E$10)*($G$10-$F$10))))</f>
        <v>1.01571408174684</v>
      </c>
      <c r="G490" s="52" t="n">
        <f aca="false">IF($G$11=$E$11,$F$11,IF(U490&lt;($F$11-$E$11)/($G$11-$E$11),$E$11+SQRT(U490*($G$11-$E$11)*($F$11-$E$11)),$G$11-SQRT((1-U490)*($G$11-$E$11)*($G$11-$F$11))))</f>
        <v>0.0938817315738227</v>
      </c>
      <c r="H490" s="53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-2031428163.49368</v>
      </c>
      <c r="I490" s="53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-57610125.0224559</v>
      </c>
      <c r="J490" s="53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188660760.670031</v>
      </c>
      <c r="K490" s="53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485717350.44986</v>
      </c>
      <c r="L490" s="53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596946858.375285</v>
      </c>
      <c r="M490" s="53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757212528.195561</v>
      </c>
      <c r="N490" s="53" t="n">
        <f aca="false">IF(COUNT('Business Case'!B11:G11)=0,"",H490+NPV(G490,I490:M490))</f>
        <v>-654955269.569772</v>
      </c>
      <c r="P490" s="54" t="n">
        <f aca="true">RAND()</f>
        <v>0.194331870595631</v>
      </c>
      <c r="Q490" s="54" t="n">
        <f aca="true">RAND()</f>
        <v>0.250273632871557</v>
      </c>
      <c r="R490" s="54" t="n">
        <f aca="true">RAND()</f>
        <v>0.137123043361865</v>
      </c>
      <c r="S490" s="54" t="n">
        <f aca="true">RAND()</f>
        <v>0.967957578656495</v>
      </c>
      <c r="T490" s="54" t="n">
        <f aca="true">RAND()</f>
        <v>0.268134780110312</v>
      </c>
      <c r="U490" s="54" t="n">
        <f aca="true">RAND()</f>
        <v>0.192702471487667</v>
      </c>
    </row>
    <row r="491" customFormat="false" ht="15" hidden="false" customHeight="false" outlineLevel="0" collapsed="false">
      <c r="A491" s="50" t="n">
        <v>411</v>
      </c>
      <c r="B491" s="51" t="n">
        <f aca="false">1+IF($G$6=$E$6,$F$6,IF(P491&lt;($F$6-$E$6)/($G$6-$E$6),$E$6+SQRT(P491*($G$6-$E$6)*($F$6-$E$6)),$G$6-SQRT((1-P491)*($G$6-$E$6)*($G$6-$F$6))))</f>
        <v>0.974085987257279</v>
      </c>
      <c r="C491" s="51" t="n">
        <f aca="false">1+IF($G$7=$E$7,$F$7,IF(Q491&lt;($F$7-$E$7)/($G$7-$E$7),$E$7+SQRT(Q491*($G$7-$E$7)*($F$7-$E$7)),$G$7-SQRT((1-Q491)*($G$7-$E$7)*($G$7-$F$7))))</f>
        <v>0.731269653288926</v>
      </c>
      <c r="D491" s="51" t="n">
        <f aca="false">1+IF($G$8=$E$8,$F$8,IF(R491&lt;($F$8-$E$8)/($G$8-$E$8),$E$8+SQRT(R491*($G$8-$E$8)*($F$8-$E$8)),$G$8-SQRT((1-R491)*($G$8-$E$8)*($G$8-$F$8))))</f>
        <v>1.03602663376904</v>
      </c>
      <c r="E491" s="51" t="n">
        <f aca="false">1+IF($G$9=$E$9,$F$9,IF(S491&lt;($F$9-$E$9)/($G$9-$E$9),$E$9+SQRT(S491*($G$9-$E$9)*($F$9-$E$9)),$G$9-SQRT((1-S491)*($G$9-$E$9)*($G$9-$F$9))))</f>
        <v>1.07991392933388</v>
      </c>
      <c r="F491" s="51" t="n">
        <f aca="false">1+IF($G$10=$E$10,$F$10,IF(T491&lt;($F$10-$E$10)/($G$10-$E$10),$E$10+SQRT(T491*($G$10-$E$10)*($F$10-$E$10)),$G$10-SQRT((1-T491)*($G$10-$E$10)*($G$10-$F$10))))</f>
        <v>1.03781485754138</v>
      </c>
      <c r="G491" s="52" t="n">
        <f aca="false">IF($G$11=$E$11,$F$11,IF(U491&lt;($F$11-$E$11)/($G$11-$E$11),$E$11+SQRT(U491*($G$11-$E$11)*($F$11-$E$11)),$G$11-SQRT((1-U491)*($G$11-$E$11)*($G$11-$F$11))))</f>
        <v>0.0982366953729618</v>
      </c>
      <c r="H491" s="53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-2075629715.08276</v>
      </c>
      <c r="I491" s="53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-98669102.3653681</v>
      </c>
      <c r="J491" s="53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96933685.8042434</v>
      </c>
      <c r="K491" s="53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344427216.850924</v>
      </c>
      <c r="L491" s="53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434245908.927171</v>
      </c>
      <c r="M491" s="53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569643603.702239</v>
      </c>
      <c r="N491" s="53" t="n">
        <f aca="false">IF(COUNT('Business Case'!B11:G11)=0,"",H491+NPV(G491,I491:M491))</f>
        <v>-1170025559.76085</v>
      </c>
      <c r="P491" s="54" t="n">
        <f aca="true">RAND()</f>
        <v>0.365915567192382</v>
      </c>
      <c r="Q491" s="54" t="n">
        <f aca="true">RAND()</f>
        <v>0.00724289790229374</v>
      </c>
      <c r="R491" s="54" t="n">
        <f aca="true">RAND()</f>
        <v>0.727160560871963</v>
      </c>
      <c r="S491" s="54" t="n">
        <f aca="true">RAND()</f>
        <v>0.869011805295563</v>
      </c>
      <c r="T491" s="54" t="n">
        <f aca="true">RAND()</f>
        <v>0.399699537597524</v>
      </c>
      <c r="U491" s="54" t="n">
        <f aca="true">RAND()</f>
        <v>0.332577058126206</v>
      </c>
    </row>
    <row r="492" customFormat="false" ht="15" hidden="false" customHeight="false" outlineLevel="0" collapsed="false">
      <c r="A492" s="50" t="n">
        <v>412</v>
      </c>
      <c r="B492" s="51" t="n">
        <f aca="false">1+IF($G$6=$E$6,$F$6,IF(P492&lt;($F$6-$E$6)/($G$6-$E$6),$E$6+SQRT(P492*($G$6-$E$6)*($F$6-$E$6)),$G$6-SQRT((1-P492)*($G$6-$E$6)*($G$6-$F$6))))</f>
        <v>1.00881831447726</v>
      </c>
      <c r="C492" s="51" t="n">
        <f aca="false">1+IF($G$7=$E$7,$F$7,IF(Q492&lt;($F$7-$E$7)/($G$7-$E$7),$E$7+SQRT(Q492*($G$7-$E$7)*($F$7-$E$7)),$G$7-SQRT((1-Q492)*($G$7-$E$7)*($G$7-$F$7))))</f>
        <v>0.878984803173624</v>
      </c>
      <c r="D492" s="51" t="n">
        <f aca="false">1+IF($G$8=$E$8,$F$8,IF(R492&lt;($F$8-$E$8)/($G$8-$E$8),$E$8+SQRT(R492*($G$8-$E$8)*($F$8-$E$8)),$G$8-SQRT((1-R492)*($G$8-$E$8)*($G$8-$F$8))))</f>
        <v>1.02912046560886</v>
      </c>
      <c r="E492" s="51" t="n">
        <f aca="false">1+IF($G$9=$E$9,$F$9,IF(S492&lt;($F$9-$E$9)/($G$9-$E$9),$E$9+SQRT(S492*($G$9-$E$9)*($F$9-$E$9)),$G$9-SQRT((1-S492)*($G$9-$E$9)*($G$9-$F$9))))</f>
        <v>0.964875962718126</v>
      </c>
      <c r="F492" s="51" t="n">
        <f aca="false">1+IF($G$10=$E$10,$F$10,IF(T492&lt;($F$10-$E$10)/($G$10-$E$10),$E$10+SQRT(T492*($G$10-$E$10)*($F$10-$E$10)),$G$10-SQRT((1-T492)*($G$10-$E$10)*($G$10-$F$10))))</f>
        <v>0.966189643111297</v>
      </c>
      <c r="G492" s="52" t="n">
        <f aca="false">IF($G$11=$E$11,$F$11,IF(U492&lt;($F$11-$E$11)/($G$11-$E$11),$E$11+SQRT(U492*($G$11-$E$11)*($F$11-$E$11)),$G$11-SQRT((1-U492)*($G$11-$E$11)*($G$11-$F$11))))</f>
        <v>0.122544486200168</v>
      </c>
      <c r="H492" s="53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-1932379286.22259</v>
      </c>
      <c r="I492" s="53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-16565349.7760469</v>
      </c>
      <c r="J492" s="53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246662019.217354</v>
      </c>
      <c r="K492" s="53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558198870.366319</v>
      </c>
      <c r="L492" s="53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676586921.73732</v>
      </c>
      <c r="M492" s="53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845137694.456588</v>
      </c>
      <c r="N492" s="53" t="n">
        <f aca="false">IF(COUNT('Business Case'!B11:G11)=0,"",H492+NPV(G492,I492:M492))</f>
        <v>-456528762.342774</v>
      </c>
      <c r="P492" s="54" t="n">
        <f aca="true">RAND()</f>
        <v>0.773875837000825</v>
      </c>
      <c r="Q492" s="54" t="n">
        <f aca="true">RAND()</f>
        <v>0.237300442719266</v>
      </c>
      <c r="R492" s="54" t="n">
        <f aca="true">RAND()</f>
        <v>0.665072773633009</v>
      </c>
      <c r="S492" s="54" t="n">
        <f aca="true">RAND()</f>
        <v>0.168355621544147</v>
      </c>
      <c r="T492" s="54" t="n">
        <f aca="true">RAND()</f>
        <v>0.0174736362714118</v>
      </c>
      <c r="U492" s="54" t="n">
        <f aca="true">RAND()</f>
        <v>0.962943542653675</v>
      </c>
    </row>
    <row r="493" customFormat="false" ht="15" hidden="false" customHeight="false" outlineLevel="0" collapsed="false">
      <c r="A493" s="50" t="n">
        <v>413</v>
      </c>
      <c r="B493" s="51" t="n">
        <f aca="false">1+IF($G$6=$E$6,$F$6,IF(P493&lt;($F$6-$E$6)/($G$6-$E$6),$E$6+SQRT(P493*($G$6-$E$6)*($F$6-$E$6)),$G$6-SQRT((1-P493)*($G$6-$E$6)*($G$6-$F$6))))</f>
        <v>1.03245231187325</v>
      </c>
      <c r="C493" s="51" t="n">
        <f aca="false">1+IF($G$7=$E$7,$F$7,IF(Q493&lt;($F$7-$E$7)/($G$7-$E$7),$E$7+SQRT(Q493*($G$7-$E$7)*($F$7-$E$7)),$G$7-SQRT((1-Q493)*($G$7-$E$7)*($G$7-$F$7))))</f>
        <v>0.925838883704117</v>
      </c>
      <c r="D493" s="51" t="n">
        <f aca="false">1+IF($G$8=$E$8,$F$8,IF(R493&lt;($F$8-$E$8)/($G$8-$E$8),$E$8+SQRT(R493*($G$8-$E$8)*($F$8-$E$8)),$G$8-SQRT((1-R493)*($G$8-$E$8)*($G$8-$F$8))))</f>
        <v>1.03992012711459</v>
      </c>
      <c r="E493" s="51" t="n">
        <f aca="false">1+IF($G$9=$E$9,$F$9,IF(S493&lt;($F$9-$E$9)/($G$9-$E$9),$E$9+SQRT(S493*($G$9-$E$9)*($F$9-$E$9)),$G$9-SQRT((1-S493)*($G$9-$E$9)*($G$9-$F$9))))</f>
        <v>1.09148838589179</v>
      </c>
      <c r="F493" s="51" t="n">
        <f aca="false">1+IF($G$10=$E$10,$F$10,IF(T493&lt;($F$10-$E$10)/($G$10-$E$10),$E$10+SQRT(T493*($G$10-$E$10)*($F$10-$E$10)),$G$10-SQRT((1-T493)*($G$10-$E$10)*($G$10-$F$10))))</f>
        <v>0.966011524967255</v>
      </c>
      <c r="G493" s="52" t="n">
        <f aca="false">IF($G$11=$E$11,$F$11,IF(U493&lt;($F$11-$E$11)/($G$11-$E$11),$E$11+SQRT(U493*($G$11-$E$11)*($F$11-$E$11)),$G$11-SQRT((1-U493)*($G$11-$E$11)*($G$11-$F$11))))</f>
        <v>0.0941284209733456</v>
      </c>
      <c r="H493" s="53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-1932023049.93451</v>
      </c>
      <c r="I493" s="53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-11301430.2212828</v>
      </c>
      <c r="J493" s="53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278760992.795557</v>
      </c>
      <c r="K493" s="53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617123992.060759</v>
      </c>
      <c r="L493" s="53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746846834.578094</v>
      </c>
      <c r="M493" s="53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928541359.559235</v>
      </c>
      <c r="N493" s="53" t="n">
        <f aca="false">IF(COUNT('Business Case'!B11:G11)=0,"",H493+NPV(G493,I493:M493))</f>
        <v>-124999958.140667</v>
      </c>
      <c r="P493" s="54" t="n">
        <f aca="true">RAND()</f>
        <v>0.958943818854185</v>
      </c>
      <c r="Q493" s="54" t="n">
        <f aca="true">RAND()</f>
        <v>0.377801491797938</v>
      </c>
      <c r="R493" s="54" t="n">
        <f aca="true">RAND()</f>
        <v>0.759360591604825</v>
      </c>
      <c r="S493" s="54" t="n">
        <f aca="true">RAND()</f>
        <v>0.908703760385392</v>
      </c>
      <c r="T493" s="54" t="n">
        <f aca="true">RAND()</f>
        <v>0.017091262118469</v>
      </c>
      <c r="U493" s="54" t="n">
        <f aca="true">RAND()</f>
        <v>0.199612279200073</v>
      </c>
    </row>
    <row r="494" customFormat="false" ht="15" hidden="false" customHeight="false" outlineLevel="0" collapsed="false">
      <c r="A494" s="50" t="n">
        <v>414</v>
      </c>
      <c r="B494" s="51" t="n">
        <f aca="false">1+IF($G$6=$E$6,$F$6,IF(P494&lt;($F$6-$E$6)/($G$6-$E$6),$E$6+SQRT(P494*($G$6-$E$6)*($F$6-$E$6)),$G$6-SQRT((1-P494)*($G$6-$E$6)*($G$6-$F$6))))</f>
        <v>0.999338319755218</v>
      </c>
      <c r="C494" s="51" t="n">
        <f aca="false">1+IF($G$7=$E$7,$F$7,IF(Q494&lt;($F$7-$E$7)/($G$7-$E$7),$E$7+SQRT(Q494*($G$7-$E$7)*($F$7-$E$7)),$G$7-SQRT((1-Q494)*($G$7-$E$7)*($G$7-$F$7))))</f>
        <v>0.997034650989944</v>
      </c>
      <c r="D494" s="51" t="n">
        <f aca="false">1+IF($G$8=$E$8,$F$8,IF(R494&lt;($F$8-$E$8)/($G$8-$E$8),$E$8+SQRT(R494*($G$8-$E$8)*($F$8-$E$8)),$G$8-SQRT((1-R494)*($G$8-$E$8)*($G$8-$F$8))))</f>
        <v>1.05386133040039</v>
      </c>
      <c r="E494" s="51" t="n">
        <f aca="false">1+IF($G$9=$E$9,$F$9,IF(S494&lt;($F$9-$E$9)/($G$9-$E$9),$E$9+SQRT(S494*($G$9-$E$9)*($F$9-$E$9)),$G$9-SQRT((1-S494)*($G$9-$E$9)*($G$9-$F$9))))</f>
        <v>0.942140854366792</v>
      </c>
      <c r="F494" s="51" t="n">
        <f aca="false">1+IF($G$10=$E$10,$F$10,IF(T494&lt;($F$10-$E$10)/($G$10-$E$10),$E$10+SQRT(T494*($G$10-$E$10)*($F$10-$E$10)),$G$10-SQRT((1-T494)*($G$10-$E$10)*($G$10-$F$10))))</f>
        <v>1.03544612907682</v>
      </c>
      <c r="G494" s="52" t="n">
        <f aca="false">IF($G$11=$E$11,$F$11,IF(U494&lt;($F$11-$E$11)/($G$11-$E$11),$E$11+SQRT(U494*($G$11-$E$11)*($F$11-$E$11)),$G$11-SQRT((1-U494)*($G$11-$E$11)*($G$11-$F$11))))</f>
        <v>0.118159137185114</v>
      </c>
      <c r="H494" s="53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-2070892258.15364</v>
      </c>
      <c r="I494" s="53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-10959218.0497588</v>
      </c>
      <c r="J494" s="53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267250682.818482</v>
      </c>
      <c r="K494" s="53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597232890.140564</v>
      </c>
      <c r="L494" s="53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724404241.442884</v>
      </c>
      <c r="M494" s="53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913795188.680537</v>
      </c>
      <c r="N494" s="53" t="n">
        <f aca="false">IF(COUNT('Business Case'!B11:G11)=0,"",H494+NPV(G494,I494:M494))</f>
        <v>-453533683.149351</v>
      </c>
      <c r="P494" s="54" t="n">
        <f aca="true">RAND()</f>
        <v>0.657873451452658</v>
      </c>
      <c r="Q494" s="54" t="n">
        <f aca="true">RAND()</f>
        <v>0.653552473249761</v>
      </c>
      <c r="R494" s="54" t="n">
        <f aca="true">RAND()</f>
        <v>0.858081544505171</v>
      </c>
      <c r="S494" s="54" t="n">
        <f aca="true">RAND()</f>
        <v>0.0710340642705257</v>
      </c>
      <c r="T494" s="54" t="n">
        <f aca="true">RAND()</f>
        <v>0.386221819625066</v>
      </c>
      <c r="U494" s="54" t="n">
        <f aca="true">RAND()</f>
        <v>0.906529311866038</v>
      </c>
    </row>
    <row r="495" customFormat="false" ht="15" hidden="false" customHeight="false" outlineLevel="0" collapsed="false">
      <c r="A495" s="50" t="n">
        <v>415</v>
      </c>
      <c r="B495" s="51" t="n">
        <f aca="false">1+IF($G$6=$E$6,$F$6,IF(P495&lt;($F$6-$E$6)/($G$6-$E$6),$E$6+SQRT(P495*($G$6-$E$6)*($F$6-$E$6)),$G$6-SQRT((1-P495)*($G$6-$E$6)*($G$6-$F$6))))</f>
        <v>0.928306118338881</v>
      </c>
      <c r="C495" s="51" t="n">
        <f aca="false">1+IF($G$7=$E$7,$F$7,IF(Q495&lt;($F$7-$E$7)/($G$7-$E$7),$E$7+SQRT(Q495*($G$7-$E$7)*($F$7-$E$7)),$G$7-SQRT((1-Q495)*($G$7-$E$7)*($G$7-$F$7))))</f>
        <v>0.827144412883379</v>
      </c>
      <c r="D495" s="51" t="n">
        <f aca="false">1+IF($G$8=$E$8,$F$8,IF(R495&lt;($F$8-$E$8)/($G$8-$E$8),$E$8+SQRT(R495*($G$8-$E$8)*($F$8-$E$8)),$G$8-SQRT((1-R495)*($G$8-$E$8)*($G$8-$F$8))))</f>
        <v>1.02694820265706</v>
      </c>
      <c r="E495" s="51" t="n">
        <f aca="false">1+IF($G$9=$E$9,$F$9,IF(S495&lt;($F$9-$E$9)/($G$9-$E$9),$E$9+SQRT(S495*($G$9-$E$9)*($F$9-$E$9)),$G$9-SQRT((1-S495)*($G$9-$E$9)*($G$9-$F$9))))</f>
        <v>1.01417979061201</v>
      </c>
      <c r="F495" s="51" t="n">
        <f aca="false">1+IF($G$10=$E$10,$F$10,IF(T495&lt;($F$10-$E$10)/($G$10-$E$10),$E$10+SQRT(T495*($G$10-$E$10)*($F$10-$E$10)),$G$10-SQRT((1-T495)*($G$10-$E$10)*($G$10-$F$10))))</f>
        <v>1.04100059566172</v>
      </c>
      <c r="G495" s="52" t="n">
        <f aca="false">IF($G$11=$E$11,$F$11,IF(U495&lt;($F$11-$E$11)/($G$11-$E$11),$E$11+SQRT(U495*($G$11-$E$11)*($F$11-$E$11)),$G$11-SQRT((1-U495)*($G$11-$E$11)*($G$11-$F$11))))</f>
        <v>0.086962674585992</v>
      </c>
      <c r="H495" s="53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-2082001191.32343</v>
      </c>
      <c r="I495" s="53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-94045029.9498795</v>
      </c>
      <c r="J495" s="53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100031358.376296</v>
      </c>
      <c r="K495" s="53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346157776.485557</v>
      </c>
      <c r="L495" s="53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437386567.584186</v>
      </c>
      <c r="M495" s="53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583338206.695322</v>
      </c>
      <c r="N495" s="53" t="n">
        <f aca="false">IF(COUNT('Business Case'!B11:G11)=0,"",H495+NPV(G495,I495:M495))</f>
        <v>-1116522101.15718</v>
      </c>
      <c r="P495" s="54" t="n">
        <f aca="true">RAND()</f>
        <v>0.0534157556943144</v>
      </c>
      <c r="Q495" s="54" t="n">
        <f aca="true">RAND()</f>
        <v>0.119745938721919</v>
      </c>
      <c r="R495" s="54" t="n">
        <f aca="true">RAND()</f>
        <v>0.644228993664443</v>
      </c>
      <c r="S495" s="54" t="n">
        <f aca="true">RAND()</f>
        <v>0.508076552581405</v>
      </c>
      <c r="T495" s="54" t="n">
        <f aca="true">RAND()</f>
        <v>0.417589986483231</v>
      </c>
      <c r="U495" s="54" t="n">
        <f aca="true">RAND()</f>
        <v>0.0484788373904183</v>
      </c>
    </row>
    <row r="496" customFormat="false" ht="15" hidden="false" customHeight="false" outlineLevel="0" collapsed="false">
      <c r="A496" s="50" t="n">
        <v>416</v>
      </c>
      <c r="B496" s="51" t="n">
        <f aca="false">1+IF($G$6=$E$6,$F$6,IF(P496&lt;($F$6-$E$6)/($G$6-$E$6),$E$6+SQRT(P496*($G$6-$E$6)*($F$6-$E$6)),$G$6-SQRT((1-P496)*($G$6-$E$6)*($G$6-$F$6))))</f>
        <v>0.964399348820691</v>
      </c>
      <c r="C496" s="51" t="n">
        <f aca="false">1+IF($G$7=$E$7,$F$7,IF(Q496&lt;($F$7-$E$7)/($G$7-$E$7),$E$7+SQRT(Q496*($G$7-$E$7)*($F$7-$E$7)),$G$7-SQRT((1-Q496)*($G$7-$E$7)*($G$7-$F$7))))</f>
        <v>0.985026871835768</v>
      </c>
      <c r="D496" s="51" t="n">
        <f aca="false">1+IF($G$8=$E$8,$F$8,IF(R496&lt;($F$8-$E$8)/($G$8-$E$8),$E$8+SQRT(R496*($G$8-$E$8)*($F$8-$E$8)),$G$8-SQRT((1-R496)*($G$8-$E$8)*($G$8-$F$8))))</f>
        <v>1.02871506868131</v>
      </c>
      <c r="E496" s="51" t="n">
        <f aca="false">1+IF($G$9=$E$9,$F$9,IF(S496&lt;($F$9-$E$9)/($G$9-$E$9),$E$9+SQRT(S496*($G$9-$E$9)*($F$9-$E$9)),$G$9-SQRT((1-S496)*($G$9-$E$9)*($G$9-$F$9))))</f>
        <v>1.00922057669975</v>
      </c>
      <c r="F496" s="51" t="n">
        <f aca="false">1+IF($G$10=$E$10,$F$10,IF(T496&lt;($F$10-$E$10)/($G$10-$E$10),$E$10+SQRT(T496*($G$10-$E$10)*($F$10-$E$10)),$G$10-SQRT((1-T496)*($G$10-$E$10)*($G$10-$F$10))))</f>
        <v>0.991632600798751</v>
      </c>
      <c r="G496" s="52" t="n">
        <f aca="false">IF($G$11=$E$11,$F$11,IF(U496&lt;($F$11-$E$11)/($G$11-$E$11),$E$11+SQRT(U496*($G$11-$E$11)*($F$11-$E$11)),$G$11-SQRT((1-U496)*($G$11-$E$11)*($G$11-$F$11))))</f>
        <v>0.0996475969853836</v>
      </c>
      <c r="H496" s="53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-1983265201.5975</v>
      </c>
      <c r="I496" s="53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-32569944.4852222</v>
      </c>
      <c r="J496" s="53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226780425.868335</v>
      </c>
      <c r="K496" s="53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535712426.26183</v>
      </c>
      <c r="L496" s="53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654993142.214483</v>
      </c>
      <c r="M496" s="53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835561400.972551</v>
      </c>
      <c r="N496" s="53" t="n">
        <f aca="false">IF(COUNT('Business Case'!B11:G11)=0,"",H496+NPV(G496,I496:M496))</f>
        <v>-454873366.015176</v>
      </c>
      <c r="P496" s="54" t="n">
        <f aca="true">RAND()</f>
        <v>0.276485075235272</v>
      </c>
      <c r="Q496" s="54" t="n">
        <f aca="true">RAND()</f>
        <v>0.601780130877653</v>
      </c>
      <c r="R496" s="54" t="n">
        <f aca="true">RAND()</f>
        <v>0.661230571126012</v>
      </c>
      <c r="S496" s="54" t="n">
        <f aca="true">RAND()</f>
        <v>0.471497439339953</v>
      </c>
      <c r="T496" s="54" t="n">
        <f aca="true">RAND()</f>
        <v>0.115551563284542</v>
      </c>
      <c r="U496" s="54" t="n">
        <f aca="true">RAND()</f>
        <v>0.386028067300056</v>
      </c>
    </row>
    <row r="497" customFormat="false" ht="15" hidden="false" customHeight="false" outlineLevel="0" collapsed="false">
      <c r="A497" s="50" t="n">
        <v>417</v>
      </c>
      <c r="B497" s="51" t="n">
        <f aca="false">1+IF($G$6=$E$6,$F$6,IF(P497&lt;($F$6-$E$6)/($G$6-$E$6),$E$6+SQRT(P497*($G$6-$E$6)*($F$6-$E$6)),$G$6-SQRT((1-P497)*($G$6-$E$6)*($G$6-$F$6))))</f>
        <v>0.990418317498261</v>
      </c>
      <c r="C497" s="51" t="n">
        <f aca="false">1+IF($G$7=$E$7,$F$7,IF(Q497&lt;($F$7-$E$7)/($G$7-$E$7),$E$7+SQRT(Q497*($G$7-$E$7)*($F$7-$E$7)),$G$7-SQRT((1-Q497)*($G$7-$E$7)*($G$7-$F$7))))</f>
        <v>1.0372316008447</v>
      </c>
      <c r="D497" s="51" t="n">
        <f aca="false">1+IF($G$8=$E$8,$F$8,IF(R497&lt;($F$8-$E$8)/($G$8-$E$8),$E$8+SQRT(R497*($G$8-$E$8)*($F$8-$E$8)),$G$8-SQRT((1-R497)*($G$8-$E$8)*($G$8-$F$8))))</f>
        <v>0.981988001326517</v>
      </c>
      <c r="E497" s="51" t="n">
        <f aca="false">1+IF($G$9=$E$9,$F$9,IF(S497&lt;($F$9-$E$9)/($G$9-$E$9),$E$9+SQRT(S497*($G$9-$E$9)*($F$9-$E$9)),$G$9-SQRT((1-S497)*($G$9-$E$9)*($G$9-$F$9))))</f>
        <v>1.13271965277591</v>
      </c>
      <c r="F497" s="51" t="n">
        <f aca="false">1+IF($G$10=$E$10,$F$10,IF(T497&lt;($F$10-$E$10)/($G$10-$E$10),$E$10+SQRT(T497*($G$10-$E$10)*($F$10-$E$10)),$G$10-SQRT((1-T497)*($G$10-$E$10)*($G$10-$F$10))))</f>
        <v>1.0456803226565</v>
      </c>
      <c r="G497" s="52" t="n">
        <f aca="false">IF($G$11=$E$11,$F$11,IF(U497&lt;($F$11-$E$11)/($G$11-$E$11),$E$11+SQRT(U497*($G$11-$E$11)*($F$11-$E$11)),$G$11-SQRT((1-U497)*($G$11-$E$11)*($G$11-$F$11))))</f>
        <v>0.111074455890061</v>
      </c>
      <c r="H497" s="53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-2091360645.31301</v>
      </c>
      <c r="I497" s="53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1115834.62486774</v>
      </c>
      <c r="J497" s="53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321127314.433967</v>
      </c>
      <c r="K497" s="53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693422810.375891</v>
      </c>
      <c r="L497" s="53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835596555.841488</v>
      </c>
      <c r="M497" s="53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1030864442.91893</v>
      </c>
      <c r="N497" s="53" t="n">
        <f aca="false">IF(COUNT('Business Case'!B11:G11)=0,"",H497+NPV(G497,I497:M497))</f>
        <v>-167547999.754601</v>
      </c>
      <c r="P497" s="54" t="n">
        <f aca="true">RAND()</f>
        <v>0.545031475947754</v>
      </c>
      <c r="Q497" s="54" t="n">
        <f aca="true">RAND()</f>
        <v>0.811604268917798</v>
      </c>
      <c r="R497" s="54" t="n">
        <f aca="true">RAND()</f>
        <v>0.136430963848703</v>
      </c>
      <c r="S497" s="54" t="n">
        <f aca="true">RAND()</f>
        <v>0.99203705599506</v>
      </c>
      <c r="T497" s="54" t="n">
        <f aca="true">RAND()</f>
        <v>0.443379592669999</v>
      </c>
      <c r="U497" s="54" t="n">
        <f aca="true">RAND()</f>
        <v>0.761215853428494</v>
      </c>
    </row>
    <row r="498" customFormat="false" ht="15" hidden="false" customHeight="false" outlineLevel="0" collapsed="false">
      <c r="A498" s="50" t="n">
        <v>418</v>
      </c>
      <c r="B498" s="51" t="n">
        <f aca="false">1+IF($G$6=$E$6,$F$6,IF(P498&lt;($F$6-$E$6)/($G$6-$E$6),$E$6+SQRT(P498*($G$6-$E$6)*($F$6-$E$6)),$G$6-SQRT((1-P498)*($G$6-$E$6)*($G$6-$F$6))))</f>
        <v>0.962865603468514</v>
      </c>
      <c r="C498" s="51" t="n">
        <f aca="false">1+IF($G$7=$E$7,$F$7,IF(Q498&lt;($F$7-$E$7)/($G$7-$E$7),$E$7+SQRT(Q498*($G$7-$E$7)*($F$7-$E$7)),$G$7-SQRT((1-Q498)*($G$7-$E$7)*($G$7-$F$7))))</f>
        <v>1.01805783844888</v>
      </c>
      <c r="D498" s="51" t="n">
        <f aca="false">1+IF($G$8=$E$8,$F$8,IF(R498&lt;($F$8-$E$8)/($G$8-$E$8),$E$8+SQRT(R498*($G$8-$E$8)*($F$8-$E$8)),$G$8-SQRT((1-R498)*($G$8-$E$8)*($G$8-$F$8))))</f>
        <v>1.04792742187009</v>
      </c>
      <c r="E498" s="51" t="n">
        <f aca="false">1+IF($G$9=$E$9,$F$9,IF(S498&lt;($F$9-$E$9)/($G$9-$E$9),$E$9+SQRT(S498*($G$9-$E$9)*($F$9-$E$9)),$G$9-SQRT((1-S498)*($G$9-$E$9)*($G$9-$F$9))))</f>
        <v>1.0022823052403</v>
      </c>
      <c r="F498" s="51" t="n">
        <f aca="false">1+IF($G$10=$E$10,$F$10,IF(T498&lt;($F$10-$E$10)/($G$10-$E$10),$E$10+SQRT(T498*($G$10-$E$10)*($F$10-$E$10)),$G$10-SQRT((1-T498)*($G$10-$E$10)*($G$10-$F$10))))</f>
        <v>1.16182323164262</v>
      </c>
      <c r="G498" s="52" t="n">
        <f aca="false">IF($G$11=$E$11,$F$11,IF(U498&lt;($F$11-$E$11)/($G$11-$E$11),$E$11+SQRT(U498*($G$11-$E$11)*($F$11-$E$11)),$G$11-SQRT((1-U498)*($G$11-$E$11)*($G$11-$F$11))))</f>
        <v>0.101689194960004</v>
      </c>
      <c r="H498" s="53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-2323646463.28524</v>
      </c>
      <c r="I498" s="53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-52767716.8233954</v>
      </c>
      <c r="J498" s="53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203987742.361809</v>
      </c>
      <c r="K498" s="53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518834363.129145</v>
      </c>
      <c r="L498" s="53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638297055.550325</v>
      </c>
      <c r="M498" s="53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824623522.027271</v>
      </c>
      <c r="N498" s="53" t="n">
        <f aca="false">IF(COUNT('Business Case'!B11:G11)=0,"",H498+NPV(G498,I498:M498))</f>
        <v>-874046844.165166</v>
      </c>
      <c r="P498" s="54" t="n">
        <f aca="true">RAND()</f>
        <v>0.263472273297362</v>
      </c>
      <c r="Q498" s="54" t="n">
        <f aca="true">RAND()</f>
        <v>0.742092829706946</v>
      </c>
      <c r="R498" s="54" t="n">
        <f aca="true">RAND()</f>
        <v>0.819229773793649</v>
      </c>
      <c r="S498" s="54" t="n">
        <f aca="true">RAND()</f>
        <v>0.418119537463504</v>
      </c>
      <c r="T498" s="54" t="n">
        <f aca="true">RAND()</f>
        <v>0.896331433627314</v>
      </c>
      <c r="U498" s="54" t="n">
        <f aca="true">RAND()</f>
        <v>0.465665545324888</v>
      </c>
    </row>
    <row r="499" customFormat="false" ht="15" hidden="false" customHeight="false" outlineLevel="0" collapsed="false">
      <c r="A499" s="50" t="n">
        <v>419</v>
      </c>
      <c r="B499" s="51" t="n">
        <f aca="false">1+IF($G$6=$E$6,$F$6,IF(P499&lt;($F$6-$E$6)/($G$6-$E$6),$E$6+SQRT(P499*($G$6-$E$6)*($F$6-$E$6)),$G$6-SQRT((1-P499)*($G$6-$E$6)*($G$6-$F$6))))</f>
        <v>0.948731909163353</v>
      </c>
      <c r="C499" s="51" t="n">
        <f aca="false">1+IF($G$7=$E$7,$F$7,IF(Q499&lt;($F$7-$E$7)/($G$7-$E$7),$E$7+SQRT(Q499*($G$7-$E$7)*($F$7-$E$7)),$G$7-SQRT((1-Q499)*($G$7-$E$7)*($G$7-$F$7))))</f>
        <v>0.745404465259779</v>
      </c>
      <c r="D499" s="51" t="n">
        <f aca="false">1+IF($G$8=$E$8,$F$8,IF(R499&lt;($F$8-$E$8)/($G$8-$E$8),$E$8+SQRT(R499*($G$8-$E$8)*($F$8-$E$8)),$G$8-SQRT((1-R499)*($G$8-$E$8)*($G$8-$F$8))))</f>
        <v>1.06911958675114</v>
      </c>
      <c r="E499" s="51" t="n">
        <f aca="false">1+IF($G$9=$E$9,$F$9,IF(S499&lt;($F$9-$E$9)/($G$9-$E$9),$E$9+SQRT(S499*($G$9-$E$9)*($F$9-$E$9)),$G$9-SQRT((1-S499)*($G$9-$E$9)*($G$9-$F$9))))</f>
        <v>0.980963964839459</v>
      </c>
      <c r="F499" s="51" t="n">
        <f aca="false">1+IF($G$10=$E$10,$F$10,IF(T499&lt;($F$10-$E$10)/($G$10-$E$10),$E$10+SQRT(T499*($G$10-$E$10)*($F$10-$E$10)),$G$10-SQRT((1-T499)*($G$10-$E$10)*($G$10-$F$10))))</f>
        <v>1.12116627835055</v>
      </c>
      <c r="G499" s="52" t="n">
        <f aca="false">IF($G$11=$E$11,$F$11,IF(U499&lt;($F$11-$E$11)/($G$11-$E$11),$E$11+SQRT(U499*($G$11-$E$11)*($F$11-$E$11)),$G$11-SQRT((1-U499)*($G$11-$E$11)*($G$11-$F$11))))</f>
        <v>0.0964611911177295</v>
      </c>
      <c r="H499" s="53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-2242332556.70111</v>
      </c>
      <c r="I499" s="53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-116994292.669793</v>
      </c>
      <c r="J499" s="53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54281796.1295025</v>
      </c>
      <c r="K499" s="53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281616198.846326</v>
      </c>
      <c r="L499" s="53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363148680.335332</v>
      </c>
      <c r="M499" s="53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497571165.726158</v>
      </c>
      <c r="N499" s="53" t="n">
        <f aca="false">IF(COUNT('Business Case'!B11:G11)=0,"",H499+NPV(G499,I499:M499))</f>
        <v>-1525021952.44472</v>
      </c>
      <c r="P499" s="54" t="n">
        <f aca="true">RAND()</f>
        <v>0.158319931380354</v>
      </c>
      <c r="Q499" s="54" t="n">
        <f aca="true">RAND()</f>
        <v>0.0152708553001962</v>
      </c>
      <c r="R499" s="54" t="n">
        <f aca="true">RAND()</f>
        <v>0.936426671838638</v>
      </c>
      <c r="S499" s="54" t="n">
        <f aca="true">RAND()</f>
        <v>0.262206544101005</v>
      </c>
      <c r="T499" s="54" t="n">
        <f aca="true">RAND()</f>
        <v>0.778691628879376</v>
      </c>
      <c r="U499" s="54" t="n">
        <f aca="true">RAND()</f>
        <v>0.270970813014417</v>
      </c>
    </row>
    <row r="500" customFormat="false" ht="15" hidden="false" customHeight="false" outlineLevel="0" collapsed="false">
      <c r="A500" s="50" t="n">
        <v>420</v>
      </c>
      <c r="B500" s="51" t="n">
        <f aca="false">1+IF($G$6=$E$6,$F$6,IF(P500&lt;($F$6-$E$6)/($G$6-$E$6),$E$6+SQRT(P500*($G$6-$E$6)*($F$6-$E$6)),$G$6-SQRT((1-P500)*($G$6-$E$6)*($G$6-$F$6))))</f>
        <v>1.01398312763812</v>
      </c>
      <c r="C500" s="51" t="n">
        <f aca="false">1+IF($G$7=$E$7,$F$7,IF(Q500&lt;($F$7-$E$7)/($G$7-$E$7),$E$7+SQRT(Q500*($G$7-$E$7)*($F$7-$E$7)),$G$7-SQRT((1-Q500)*($G$7-$E$7)*($G$7-$F$7))))</f>
        <v>0.869269572491493</v>
      </c>
      <c r="D500" s="51" t="n">
        <f aca="false">1+IF($G$8=$E$8,$F$8,IF(R500&lt;($F$8-$E$8)/($G$8-$E$8),$E$8+SQRT(R500*($G$8-$E$8)*($F$8-$E$8)),$G$8-SQRT((1-R500)*($G$8-$E$8)*($G$8-$F$8))))</f>
        <v>1.03916546898458</v>
      </c>
      <c r="E500" s="51" t="n">
        <f aca="false">1+IF($G$9=$E$9,$F$9,IF(S500&lt;($F$9-$E$9)/($G$9-$E$9),$E$9+SQRT(S500*($G$9-$E$9)*($F$9-$E$9)),$G$9-SQRT((1-S500)*($G$9-$E$9)*($G$9-$F$9))))</f>
        <v>0.961414603072796</v>
      </c>
      <c r="F500" s="51" t="n">
        <f aca="false">1+IF($G$10=$E$10,$F$10,IF(T500&lt;($F$10-$E$10)/($G$10-$E$10),$E$10+SQRT(T500*($G$10-$E$10)*($F$10-$E$10)),$G$10-SQRT((1-T500)*($G$10-$E$10)*($G$10-$F$10))))</f>
        <v>0.999318779413431</v>
      </c>
      <c r="G500" s="52" t="n">
        <f aca="false">IF($G$11=$E$11,$F$11,IF(U500&lt;($F$11-$E$11)/($G$11-$E$11),$E$11+SQRT(U500*($G$11-$E$11)*($F$11-$E$11)),$G$11-SQRT((1-U500)*($G$11-$E$11)*($G$11-$F$11))))</f>
        <v>0.092375273282129</v>
      </c>
      <c r="H500" s="53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-1998637558.82686</v>
      </c>
      <c r="I500" s="53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-22812789.8758989</v>
      </c>
      <c r="J500" s="53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236712510.151247</v>
      </c>
      <c r="K500" s="53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546203749.149064</v>
      </c>
      <c r="L500" s="53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663174219.427946</v>
      </c>
      <c r="M500" s="53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830715422.578695</v>
      </c>
      <c r="N500" s="53" t="n">
        <f aca="false">IF(COUNT('Business Case'!B11:G11)=0,"",H500+NPV(G500,I500:M500))</f>
        <v>-402326346.854458</v>
      </c>
      <c r="P500" s="54" t="n">
        <f aca="true">RAND()</f>
        <v>0.827037987369069</v>
      </c>
      <c r="Q500" s="54" t="n">
        <f aca="true">RAND()</f>
        <v>0.21223843089965</v>
      </c>
      <c r="R500" s="54" t="n">
        <f aca="true">RAND()</f>
        <v>0.753277322408919</v>
      </c>
      <c r="S500" s="54" t="n">
        <f aca="true">RAND()</f>
        <v>0.150870138823564</v>
      </c>
      <c r="T500" s="54" t="n">
        <f aca="true">RAND()</f>
        <v>0.162156133522044</v>
      </c>
      <c r="U500" s="54" t="n">
        <f aca="true">RAND()</f>
        <v>0.153147388807375</v>
      </c>
    </row>
    <row r="501" customFormat="false" ht="15" hidden="false" customHeight="false" outlineLevel="0" collapsed="false">
      <c r="A501" s="50" t="n">
        <v>421</v>
      </c>
      <c r="B501" s="51" t="n">
        <f aca="false">1+IF($G$6=$E$6,$F$6,IF(P501&lt;($F$6-$E$6)/($G$6-$E$6),$E$6+SQRT(P501*($G$6-$E$6)*($F$6-$E$6)),$G$6-SQRT((1-P501)*($G$6-$E$6)*($G$6-$F$6))))</f>
        <v>1.00588330797167</v>
      </c>
      <c r="C501" s="51" t="n">
        <f aca="false">1+IF($G$7=$E$7,$F$7,IF(Q501&lt;($F$7-$E$7)/($G$7-$E$7),$E$7+SQRT(Q501*($G$7-$E$7)*($F$7-$E$7)),$G$7-SQRT((1-Q501)*($G$7-$E$7)*($G$7-$F$7))))</f>
        <v>0.859447371850254</v>
      </c>
      <c r="D501" s="51" t="n">
        <f aca="false">1+IF($G$8=$E$8,$F$8,IF(R501&lt;($F$8-$E$8)/($G$8-$E$8),$E$8+SQRT(R501*($G$8-$E$8)*($F$8-$E$8)),$G$8-SQRT((1-R501)*($G$8-$E$8)*($G$8-$F$8))))</f>
        <v>1.01692891351695</v>
      </c>
      <c r="E501" s="51" t="n">
        <f aca="false">1+IF($G$9=$E$9,$F$9,IF(S501&lt;($F$9-$E$9)/($G$9-$E$9),$E$9+SQRT(S501*($G$9-$E$9)*($F$9-$E$9)),$G$9-SQRT((1-S501)*($G$9-$E$9)*($G$9-$F$9))))</f>
        <v>1.01302632142206</v>
      </c>
      <c r="F501" s="51" t="n">
        <f aca="false">1+IF($G$10=$E$10,$F$10,IF(T501&lt;($F$10-$E$10)/($G$10-$E$10),$E$10+SQRT(T501*($G$10-$E$10)*($F$10-$E$10)),$G$10-SQRT((1-T501)*($G$10-$E$10)*($G$10-$F$10))))</f>
        <v>1.00956188472655</v>
      </c>
      <c r="G501" s="52" t="n">
        <f aca="false">IF($G$11=$E$11,$F$11,IF(U501&lt;($F$11-$E$11)/($G$11-$E$11),$E$11+SQRT(U501*($G$11-$E$11)*($F$11-$E$11)),$G$11-SQRT((1-U501)*($G$11-$E$11)*($G$11-$F$11))))</f>
        <v>0.113204023642242</v>
      </c>
      <c r="H501" s="53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-2019123769.45309</v>
      </c>
      <c r="I501" s="53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-29150062.2996001</v>
      </c>
      <c r="J501" s="53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231524281.979267</v>
      </c>
      <c r="K501" s="53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542676720.494461</v>
      </c>
      <c r="L501" s="53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659445418.72048</v>
      </c>
      <c r="M501" s="53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823770294.452329</v>
      </c>
      <c r="N501" s="53" t="n">
        <f aca="false">IF(COUNT('Business Case'!B11:G11)=0,"",H501+NPV(G501,I501:M501))</f>
        <v>-553804941.548478</v>
      </c>
      <c r="P501" s="54" t="n">
        <f aca="true">RAND()</f>
        <v>0.740495664597005</v>
      </c>
      <c r="Q501" s="54" t="n">
        <f aca="true">RAND()</f>
        <v>0.188321958444098</v>
      </c>
      <c r="R501" s="54" t="n">
        <f aca="true">RAND()</f>
        <v>0.539946306035009</v>
      </c>
      <c r="S501" s="54" t="n">
        <f aca="true">RAND()</f>
        <v>0.499685636715394</v>
      </c>
      <c r="T501" s="54" t="n">
        <f aca="true">RAND()</f>
        <v>0.22919350298332</v>
      </c>
      <c r="U501" s="54" t="n">
        <f aca="true">RAND()</f>
        <v>0.811930118793087</v>
      </c>
    </row>
    <row r="502" customFormat="false" ht="15" hidden="false" customHeight="false" outlineLevel="0" collapsed="false">
      <c r="A502" s="50" t="n">
        <v>422</v>
      </c>
      <c r="B502" s="51" t="n">
        <f aca="false">1+IF($G$6=$E$6,$F$6,IF(P502&lt;($F$6-$E$6)/($G$6-$E$6),$E$6+SQRT(P502*($G$6-$E$6)*($F$6-$E$6)),$G$6-SQRT((1-P502)*($G$6-$E$6)*($G$6-$F$6))))</f>
        <v>1.01957276341889</v>
      </c>
      <c r="C502" s="51" t="n">
        <f aca="false">1+IF($G$7=$E$7,$F$7,IF(Q502&lt;($F$7-$E$7)/($G$7-$E$7),$E$7+SQRT(Q502*($G$7-$E$7)*($F$7-$E$7)),$G$7-SQRT((1-Q502)*($G$7-$E$7)*($G$7-$F$7))))</f>
        <v>1.03329957743166</v>
      </c>
      <c r="D502" s="51" t="n">
        <f aca="false">1+IF($G$8=$E$8,$F$8,IF(R502&lt;($F$8-$E$8)/($G$8-$E$8),$E$8+SQRT(R502*($G$8-$E$8)*($F$8-$E$8)),$G$8-SQRT((1-R502)*($G$8-$E$8)*($G$8-$F$8))))</f>
        <v>0.971343621128192</v>
      </c>
      <c r="E502" s="51" t="n">
        <f aca="false">1+IF($G$9=$E$9,$F$9,IF(S502&lt;($F$9-$E$9)/($G$9-$E$9),$E$9+SQRT(S502*($G$9-$E$9)*($F$9-$E$9)),$G$9-SQRT((1-S502)*($G$9-$E$9)*($G$9-$F$9))))</f>
        <v>1.08021449325529</v>
      </c>
      <c r="F502" s="51" t="n">
        <f aca="false">1+IF($G$10=$E$10,$F$10,IF(T502&lt;($F$10-$E$10)/($G$10-$E$10),$E$10+SQRT(T502*($G$10-$E$10)*($F$10-$E$10)),$G$10-SQRT((1-T502)*($G$10-$E$10)*($G$10-$F$10))))</f>
        <v>0.973560105495115</v>
      </c>
      <c r="G502" s="52" t="n">
        <f aca="false">IF($G$11=$E$11,$F$11,IF(U502&lt;($F$11-$E$11)/($G$11-$E$11),$E$11+SQRT(U502*($G$11-$E$11)*($F$11-$E$11)),$G$11-SQRT((1-U502)*($G$11-$E$11)*($G$11-$F$11))))</f>
        <v>0.0895111550527499</v>
      </c>
      <c r="H502" s="53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-1947120210.99023</v>
      </c>
      <c r="I502" s="53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43526446.1493668</v>
      </c>
      <c r="J502" s="53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392630093.423533</v>
      </c>
      <c r="K502" s="53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790411745.972456</v>
      </c>
      <c r="L502" s="53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943189421.486768</v>
      </c>
      <c r="M502" s="53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1143443283.47951</v>
      </c>
      <c r="N502" s="53" t="n">
        <f aca="false">IF(COUNT('Business Case'!B11:G11)=0,"",H502+NPV(G502,I502:M502))</f>
        <v>448968114.776994</v>
      </c>
      <c r="P502" s="54" t="n">
        <f aca="true">RAND()</f>
        <v>0.876557769871619</v>
      </c>
      <c r="Q502" s="54" t="n">
        <f aca="true">RAND()</f>
        <v>0.798237205516607</v>
      </c>
      <c r="R502" s="54" t="n">
        <f aca="true">RAND()</f>
        <v>0.0607400217151731</v>
      </c>
      <c r="S502" s="54" t="n">
        <f aca="true">RAND()</f>
        <v>0.870132881290257</v>
      </c>
      <c r="T502" s="54" t="n">
        <f aca="true">RAND()</f>
        <v>0.0370052380627293</v>
      </c>
      <c r="U502" s="54" t="n">
        <f aca="true">RAND()</f>
        <v>0.0904620704374502</v>
      </c>
    </row>
    <row r="503" customFormat="false" ht="15" hidden="false" customHeight="false" outlineLevel="0" collapsed="false">
      <c r="A503" s="50" t="n">
        <v>423</v>
      </c>
      <c r="B503" s="51" t="n">
        <f aca="false">1+IF($G$6=$E$6,$F$6,IF(P503&lt;($F$6-$E$6)/($G$6-$E$6),$E$6+SQRT(P503*($G$6-$E$6)*($F$6-$E$6)),$G$6-SQRT((1-P503)*($G$6-$E$6)*($G$6-$F$6))))</f>
        <v>1.01301412542787</v>
      </c>
      <c r="C503" s="51" t="n">
        <f aca="false">1+IF($G$7=$E$7,$F$7,IF(Q503&lt;($F$7-$E$7)/($G$7-$E$7),$E$7+SQRT(Q503*($G$7-$E$7)*($F$7-$E$7)),$G$7-SQRT((1-Q503)*($G$7-$E$7)*($G$7-$F$7))))</f>
        <v>0.840346840159397</v>
      </c>
      <c r="D503" s="51" t="n">
        <f aca="false">1+IF($G$8=$E$8,$F$8,IF(R503&lt;($F$8-$E$8)/($G$8-$E$8),$E$8+SQRT(R503*($G$8-$E$8)*($F$8-$E$8)),$G$8-SQRT((1-R503)*($G$8-$E$8)*($G$8-$F$8))))</f>
        <v>1.00968312902581</v>
      </c>
      <c r="E503" s="51" t="n">
        <f aca="false">1+IF($G$9=$E$9,$F$9,IF(S503&lt;($F$9-$E$9)/($G$9-$E$9),$E$9+SQRT(S503*($G$9-$E$9)*($F$9-$E$9)),$G$9-SQRT((1-S503)*($G$9-$E$9)*($G$9-$F$9))))</f>
        <v>0.947494498506388</v>
      </c>
      <c r="F503" s="51" t="n">
        <f aca="false">1+IF($G$10=$E$10,$F$10,IF(T503&lt;($F$10-$E$10)/($G$10-$E$10),$E$10+SQRT(T503*($G$10-$E$10)*($F$10-$E$10)),$G$10-SQRT((1-T503)*($G$10-$E$10)*($G$10-$F$10))))</f>
        <v>1.11132653744819</v>
      </c>
      <c r="G503" s="52" t="n">
        <f aca="false">IF($G$11=$E$11,$F$11,IF(U503&lt;($F$11-$E$11)/($G$11-$E$11),$E$11+SQRT(U503*($G$11-$E$11)*($F$11-$E$11)),$G$11-SQRT((1-U503)*($G$11-$E$11)*($G$11-$F$11))))</f>
        <v>0.114704377173142</v>
      </c>
      <c r="H503" s="53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-2222653074.89639</v>
      </c>
      <c r="I503" s="53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-27090587.6135013</v>
      </c>
      <c r="J503" s="53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235815718.296018</v>
      </c>
      <c r="K503" s="53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554288351.077947</v>
      </c>
      <c r="L503" s="53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671344134.441516</v>
      </c>
      <c r="M503" s="53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833156048.77369</v>
      </c>
      <c r="N503" s="53" t="n">
        <f aca="false">IF(COUNT('Business Case'!B11:G11)=0,"",H503+NPV(G503,I503:M503))</f>
        <v>-738084829.992924</v>
      </c>
      <c r="P503" s="54" t="n">
        <f aca="true">RAND()</f>
        <v>0.817606010951256</v>
      </c>
      <c r="Q503" s="54" t="n">
        <f aca="true">RAND()</f>
        <v>0.145905448464647</v>
      </c>
      <c r="R503" s="54" t="n">
        <f aca="true">RAND()</f>
        <v>0.456190854495377</v>
      </c>
      <c r="S503" s="54" t="n">
        <f aca="true">RAND()</f>
        <v>0.0902290955349314</v>
      </c>
      <c r="T503" s="54" t="n">
        <f aca="true">RAND()</f>
        <v>0.743595610451907</v>
      </c>
      <c r="U503" s="54" t="n">
        <f aca="true">RAND()</f>
        <v>0.844029281558993</v>
      </c>
    </row>
    <row r="504" customFormat="false" ht="15" hidden="false" customHeight="false" outlineLevel="0" collapsed="false">
      <c r="A504" s="50" t="n">
        <v>424</v>
      </c>
      <c r="B504" s="51" t="n">
        <f aca="false">1+IF($G$6=$E$6,$F$6,IF(P504&lt;($F$6-$E$6)/($G$6-$E$6),$E$6+SQRT(P504*($G$6-$E$6)*($F$6-$E$6)),$G$6-SQRT((1-P504)*($G$6-$E$6)*($G$6-$F$6))))</f>
        <v>0.908483053892518</v>
      </c>
      <c r="C504" s="51" t="n">
        <f aca="false">1+IF($G$7=$E$7,$F$7,IF(Q504&lt;($F$7-$E$7)/($G$7-$E$7),$E$7+SQRT(Q504*($G$7-$E$7)*($F$7-$E$7)),$G$7-SQRT((1-Q504)*($G$7-$E$7)*($G$7-$F$7))))</f>
        <v>0.820137570022646</v>
      </c>
      <c r="D504" s="51" t="n">
        <f aca="false">1+IF($G$8=$E$8,$F$8,IF(R504&lt;($F$8-$E$8)/($G$8-$E$8),$E$8+SQRT(R504*($G$8-$E$8)*($F$8-$E$8)),$G$8-SQRT((1-R504)*($G$8-$E$8)*($G$8-$F$8))))</f>
        <v>1.00588840734175</v>
      </c>
      <c r="E504" s="51" t="n">
        <f aca="false">1+IF($G$9=$E$9,$F$9,IF(S504&lt;($F$9-$E$9)/($G$9-$E$9),$E$9+SQRT(S504*($G$9-$E$9)*($F$9-$E$9)),$G$9-SQRT((1-S504)*($G$9-$E$9)*($G$9-$F$9))))</f>
        <v>1.02063158372414</v>
      </c>
      <c r="F504" s="51" t="n">
        <f aca="false">1+IF($G$10=$E$10,$F$10,IF(T504&lt;($F$10-$E$10)/($G$10-$E$10),$E$10+SQRT(T504*($G$10-$E$10)*($F$10-$E$10)),$G$10-SQRT((1-T504)*($G$10-$E$10)*($G$10-$F$10))))</f>
        <v>1.03731389690561</v>
      </c>
      <c r="G504" s="52" t="n">
        <f aca="false">IF($G$11=$E$11,$F$11,IF(U504&lt;($F$11-$E$11)/($G$11-$E$11),$E$11+SQRT(U504*($G$11-$E$11)*($F$11-$E$11)),$G$11-SQRT((1-U504)*($G$11-$E$11)*($G$11-$F$11))))</f>
        <v>0.105623938470647</v>
      </c>
      <c r="H504" s="53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-2074627793.81121</v>
      </c>
      <c r="I504" s="53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-99532192.6781392</v>
      </c>
      <c r="J504" s="53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88425818.9461393</v>
      </c>
      <c r="K504" s="53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328249525.415698</v>
      </c>
      <c r="L504" s="53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416652198.22798</v>
      </c>
      <c r="M504" s="53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558277210.717689</v>
      </c>
      <c r="N504" s="53" t="n">
        <f aca="false">IF(COUNT('Business Case'!B11:G11)=0,"",H504+NPV(G504,I504:M504))</f>
        <v>-1232687336.67963</v>
      </c>
      <c r="P504" s="54" t="n">
        <f aca="true">RAND()</f>
        <v>0.0047974802228913</v>
      </c>
      <c r="Q504" s="54" t="n">
        <f aca="true">RAND()</f>
        <v>0.106911375784787</v>
      </c>
      <c r="R504" s="54" t="n">
        <f aca="true">RAND()</f>
        <v>0.409533875155213</v>
      </c>
      <c r="S504" s="54" t="n">
        <f aca="true">RAND()</f>
        <v>0.55370167654069</v>
      </c>
      <c r="T504" s="54" t="n">
        <f aca="true">RAND()</f>
        <v>0.396861620673612</v>
      </c>
      <c r="U504" s="54" t="n">
        <f aca="true">RAND()</f>
        <v>0.603871749544806</v>
      </c>
    </row>
    <row r="505" customFormat="false" ht="15" hidden="false" customHeight="false" outlineLevel="0" collapsed="false">
      <c r="A505" s="50" t="n">
        <v>425</v>
      </c>
      <c r="B505" s="51" t="n">
        <f aca="false">1+IF($G$6=$E$6,$F$6,IF(P505&lt;($F$6-$E$6)/($G$6-$E$6),$E$6+SQRT(P505*($G$6-$E$6)*($F$6-$E$6)),$G$6-SQRT((1-P505)*($G$6-$E$6)*($G$6-$F$6))))</f>
        <v>1.00171923451302</v>
      </c>
      <c r="C505" s="51" t="n">
        <f aca="false">1+IF($G$7=$E$7,$F$7,IF(Q505&lt;($F$7-$E$7)/($G$7-$E$7),$E$7+SQRT(Q505*($G$7-$E$7)*($F$7-$E$7)),$G$7-SQRT((1-Q505)*($G$7-$E$7)*($G$7-$F$7))))</f>
        <v>0.878477412029021</v>
      </c>
      <c r="D505" s="51" t="n">
        <f aca="false">1+IF($G$8=$E$8,$F$8,IF(R505&lt;($F$8-$E$8)/($G$8-$E$8),$E$8+SQRT(R505*($G$8-$E$8)*($F$8-$E$8)),$G$8-SQRT((1-R505)*($G$8-$E$8)*($G$8-$F$8))))</f>
        <v>0.98190750538498</v>
      </c>
      <c r="E505" s="51" t="n">
        <f aca="false">1+IF($G$9=$E$9,$F$9,IF(S505&lt;($F$9-$E$9)/($G$9-$E$9),$E$9+SQRT(S505*($G$9-$E$9)*($F$9-$E$9)),$G$9-SQRT((1-S505)*($G$9-$E$9)*($G$9-$F$9))))</f>
        <v>1.13143133849457</v>
      </c>
      <c r="F505" s="51" t="n">
        <f aca="false">1+IF($G$10=$E$10,$F$10,IF(T505&lt;($F$10-$E$10)/($G$10-$E$10),$E$10+SQRT(T505*($G$10-$E$10)*($F$10-$E$10)),$G$10-SQRT((1-T505)*($G$10-$E$10)*($G$10-$F$10))))</f>
        <v>1.00089564083052</v>
      </c>
      <c r="G505" s="52" t="n">
        <f aca="false">IF($G$11=$E$11,$F$11,IF(U505&lt;($F$11-$E$11)/($G$11-$E$11),$E$11+SQRT(U505*($G$11-$E$11)*($F$11-$E$11)),$G$11-SQRT((1-U505)*($G$11-$E$11)*($G$11-$F$11))))</f>
        <v>0.103773828387038</v>
      </c>
      <c r="H505" s="53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-2001791281.66105</v>
      </c>
      <c r="I505" s="53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-27398139.6538946</v>
      </c>
      <c r="J505" s="53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251801384.551041</v>
      </c>
      <c r="K505" s="53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581045690.797502</v>
      </c>
      <c r="L505" s="53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704524574.493714</v>
      </c>
      <c r="M505" s="53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871792640.447163</v>
      </c>
      <c r="N505" s="53" t="n">
        <f aca="false">IF(COUNT('Business Case'!B11:G11)=0,"",H505+NPV(G505,I505:M505))</f>
        <v>-381071587.590544</v>
      </c>
      <c r="P505" s="54" t="n">
        <f aca="true">RAND()</f>
        <v>0.689195691198883</v>
      </c>
      <c r="Q505" s="54" t="n">
        <f aca="true">RAND()</f>
        <v>0.23595693781168</v>
      </c>
      <c r="R505" s="54" t="n">
        <f aca="true">RAND()</f>
        <v>0.135745186652337</v>
      </c>
      <c r="S505" s="54" t="n">
        <f aca="true">RAND()</f>
        <v>0.990805461597248</v>
      </c>
      <c r="T505" s="54" t="n">
        <f aca="true">RAND()</f>
        <v>0.172626909903527</v>
      </c>
      <c r="U505" s="54" t="n">
        <f aca="true">RAND()</f>
        <v>0.541458615018318</v>
      </c>
    </row>
    <row r="506" customFormat="false" ht="15" hidden="false" customHeight="false" outlineLevel="0" collapsed="false">
      <c r="A506" s="50" t="n">
        <v>426</v>
      </c>
      <c r="B506" s="51" t="n">
        <f aca="false">1+IF($G$6=$E$6,$F$6,IF(P506&lt;($F$6-$E$6)/($G$6-$E$6),$E$6+SQRT(P506*($G$6-$E$6)*($F$6-$E$6)),$G$6-SQRT((1-P506)*($G$6-$E$6)*($G$6-$F$6))))</f>
        <v>0.9844572839465</v>
      </c>
      <c r="C506" s="51" t="n">
        <f aca="false">1+IF($G$7=$E$7,$F$7,IF(Q506&lt;($F$7-$E$7)/($G$7-$E$7),$E$7+SQRT(Q506*($G$7-$E$7)*($F$7-$E$7)),$G$7-SQRT((1-Q506)*($G$7-$E$7)*($G$7-$F$7))))</f>
        <v>0.913534160936743</v>
      </c>
      <c r="D506" s="51" t="n">
        <f aca="false">1+IF($G$8=$E$8,$F$8,IF(R506&lt;($F$8-$E$8)/($G$8-$E$8),$E$8+SQRT(R506*($G$8-$E$8)*($F$8-$E$8)),$G$8-SQRT((1-R506)*($G$8-$E$8)*($G$8-$F$8))))</f>
        <v>0.991529740102234</v>
      </c>
      <c r="E506" s="51" t="n">
        <f aca="false">1+IF($G$9=$E$9,$F$9,IF(S506&lt;($F$9-$E$9)/($G$9-$E$9),$E$9+SQRT(S506*($G$9-$E$9)*($F$9-$E$9)),$G$9-SQRT((1-S506)*($G$9-$E$9)*($G$9-$F$9))))</f>
        <v>0.999387017622597</v>
      </c>
      <c r="F506" s="51" t="n">
        <f aca="false">1+IF($G$10=$E$10,$F$10,IF(T506&lt;($F$10-$E$10)/($G$10-$E$10),$E$10+SQRT(T506*($G$10-$E$10)*($F$10-$E$10)),$G$10-SQRT((1-T506)*($G$10-$E$10)*($G$10-$F$10))))</f>
        <v>1.04735515666911</v>
      </c>
      <c r="G506" s="52" t="n">
        <f aca="false">IF($G$11=$E$11,$F$11,IF(U506&lt;($F$11-$E$11)/($G$11-$E$11),$E$11+SQRT(U506*($G$11-$E$11)*($F$11-$E$11)),$G$11-SQRT((1-U506)*($G$11-$E$11)*($G$11-$F$11))))</f>
        <v>0.116762226765855</v>
      </c>
      <c r="H506" s="53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-2094710313.33822</v>
      </c>
      <c r="I506" s="53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-20544719.8686756</v>
      </c>
      <c r="J506" s="53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252380454.839217</v>
      </c>
      <c r="K506" s="53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577673387.380566</v>
      </c>
      <c r="L506" s="53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699729475.619013</v>
      </c>
      <c r="M506" s="53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870675140.632667</v>
      </c>
      <c r="N506" s="53" t="n">
        <f aca="false">IF(COUNT('Business Case'!B11:G11)=0,"",H506+NPV(G506,I506:M506))</f>
        <v>-544861138.724626</v>
      </c>
      <c r="P506" s="54" t="n">
        <f aca="true">RAND()</f>
        <v>0.475535520774647</v>
      </c>
      <c r="Q506" s="54" t="n">
        <f aca="true">RAND()</f>
        <v>0.337754354718212</v>
      </c>
      <c r="R506" s="54" t="n">
        <f aca="true">RAND()</f>
        <v>0.229962575061212</v>
      </c>
      <c r="S506" s="54" t="n">
        <f aca="true">RAND()</f>
        <v>0.395111170876577</v>
      </c>
      <c r="T506" s="54" t="n">
        <f aca="true">RAND()</f>
        <v>0.452467566285332</v>
      </c>
      <c r="U506" s="54" t="n">
        <f aca="true">RAND()</f>
        <v>0.883174239867564</v>
      </c>
    </row>
    <row r="507" customFormat="false" ht="15" hidden="false" customHeight="false" outlineLevel="0" collapsed="false">
      <c r="A507" s="50" t="n">
        <v>427</v>
      </c>
      <c r="B507" s="51" t="n">
        <f aca="false">1+IF($G$6=$E$6,$F$6,IF(P507&lt;($F$6-$E$6)/($G$6-$E$6),$E$6+SQRT(P507*($G$6-$E$6)*($F$6-$E$6)),$G$6-SQRT((1-P507)*($G$6-$E$6)*($G$6-$F$6))))</f>
        <v>0.958224075332139</v>
      </c>
      <c r="C507" s="51" t="n">
        <f aca="false">1+IF($G$7=$E$7,$F$7,IF(Q507&lt;($F$7-$E$7)/($G$7-$E$7),$E$7+SQRT(Q507*($G$7-$E$7)*($F$7-$E$7)),$G$7-SQRT((1-Q507)*($G$7-$E$7)*($G$7-$F$7))))</f>
        <v>0.991994387656412</v>
      </c>
      <c r="D507" s="51" t="n">
        <f aca="false">1+IF($G$8=$E$8,$F$8,IF(R507&lt;($F$8-$E$8)/($G$8-$E$8),$E$8+SQRT(R507*($G$8-$E$8)*($F$8-$E$8)),$G$8-SQRT((1-R507)*($G$8-$E$8)*($G$8-$F$8))))</f>
        <v>0.970099268194209</v>
      </c>
      <c r="E507" s="51" t="n">
        <f aca="false">1+IF($G$9=$E$9,$F$9,IF(S507&lt;($F$9-$E$9)/($G$9-$E$9),$E$9+SQRT(S507*($G$9-$E$9)*($F$9-$E$9)),$G$9-SQRT((1-S507)*($G$9-$E$9)*($G$9-$F$9))))</f>
        <v>1.03491713140312</v>
      </c>
      <c r="F507" s="51" t="n">
        <f aca="false">1+IF($G$10=$E$10,$F$10,IF(T507&lt;($F$10-$E$10)/($G$10-$E$10),$E$10+SQRT(T507*($G$10-$E$10)*($F$10-$E$10)),$G$10-SQRT((1-T507)*($G$10-$E$10)*($G$10-$F$10))))</f>
        <v>1.08655239306026</v>
      </c>
      <c r="G507" s="52" t="n">
        <f aca="false">IF($G$11=$E$11,$F$11,IF(U507&lt;($F$11-$E$11)/($G$11-$E$11),$E$11+SQRT(U507*($G$11-$E$11)*($F$11-$E$11)),$G$11-SQRT((1-U507)*($G$11-$E$11)*($G$11-$F$11))))</f>
        <v>0.0932181083231704</v>
      </c>
      <c r="H507" s="53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-2173104786.12052</v>
      </c>
      <c r="I507" s="53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-19163373.5711598</v>
      </c>
      <c r="J507" s="53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266770370.836485</v>
      </c>
      <c r="K507" s="53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607031734.897143</v>
      </c>
      <c r="L507" s="53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735194091.424528</v>
      </c>
      <c r="M507" s="53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915875187.577796</v>
      </c>
      <c r="N507" s="53" t="n">
        <f aca="false">IF(COUNT('Business Case'!B11:G11)=0,"",H507+NPV(G507,I507:M507))</f>
        <v>-401535690.183607</v>
      </c>
      <c r="P507" s="54" t="n">
        <f aca="true">RAND()</f>
        <v>0.226002863218838</v>
      </c>
      <c r="Q507" s="54" t="n">
        <f aca="true">RAND()</f>
        <v>0.631560906835875</v>
      </c>
      <c r="R507" s="54" t="n">
        <f aca="true">RAND()</f>
        <v>0.053864077592366</v>
      </c>
      <c r="S507" s="54" t="n">
        <f aca="true">RAND()</f>
        <v>0.646824889480361</v>
      </c>
      <c r="T507" s="54" t="n">
        <f aca="true">RAND()</f>
        <v>0.643798397142291</v>
      </c>
      <c r="U507" s="54" t="n">
        <f aca="true">RAND()</f>
        <v>0.174718387643066</v>
      </c>
    </row>
    <row r="508" customFormat="false" ht="15" hidden="false" customHeight="false" outlineLevel="0" collapsed="false">
      <c r="A508" s="50" t="n">
        <v>428</v>
      </c>
      <c r="B508" s="51" t="n">
        <f aca="false">1+IF($G$6=$E$6,$F$6,IF(P508&lt;($F$6-$E$6)/($G$6-$E$6),$E$6+SQRT(P508*($G$6-$E$6)*($F$6-$E$6)),$G$6-SQRT((1-P508)*($G$6-$E$6)*($G$6-$F$6))))</f>
        <v>0.994092015009485</v>
      </c>
      <c r="C508" s="51" t="n">
        <f aca="false">1+IF($G$7=$E$7,$F$7,IF(Q508&lt;($F$7-$E$7)/($G$7-$E$7),$E$7+SQRT(Q508*($G$7-$E$7)*($F$7-$E$7)),$G$7-SQRT((1-Q508)*($G$7-$E$7)*($G$7-$F$7))))</f>
        <v>0.826675592318581</v>
      </c>
      <c r="D508" s="51" t="n">
        <f aca="false">1+IF($G$8=$E$8,$F$8,IF(R508&lt;($F$8-$E$8)/($G$8-$E$8),$E$8+SQRT(R508*($G$8-$E$8)*($F$8-$E$8)),$G$8-SQRT((1-R508)*($G$8-$E$8)*($G$8-$F$8))))</f>
        <v>1.00111113617333</v>
      </c>
      <c r="E508" s="51" t="n">
        <f aca="false">1+IF($G$9=$E$9,$F$9,IF(S508&lt;($F$9-$E$9)/($G$9-$E$9),$E$9+SQRT(S508*($G$9-$E$9)*($F$9-$E$9)),$G$9-SQRT((1-S508)*($G$9-$E$9)*($G$9-$F$9))))</f>
        <v>1.0139098504219</v>
      </c>
      <c r="F508" s="51" t="n">
        <f aca="false">1+IF($G$10=$E$10,$F$10,IF(T508&lt;($F$10-$E$10)/($G$10-$E$10),$E$10+SQRT(T508*($G$10-$E$10)*($F$10-$E$10)),$G$10-SQRT((1-T508)*($G$10-$E$10)*($G$10-$F$10))))</f>
        <v>1.15040407386732</v>
      </c>
      <c r="G508" s="52" t="n">
        <f aca="false">IF($G$11=$E$11,$F$11,IF(U508&lt;($F$11-$E$11)/($G$11-$E$11),$E$11+SQRT(U508*($G$11-$E$11)*($F$11-$E$11)),$G$11-SQRT((1-U508)*($G$11-$E$11)*($G$11-$F$11))))</f>
        <v>0.107822717959687</v>
      </c>
      <c r="H508" s="53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-2300808147.73464</v>
      </c>
      <c r="I508" s="53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-52375564.0811389</v>
      </c>
      <c r="J508" s="53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197068936.774607</v>
      </c>
      <c r="K508" s="53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504033641.323719</v>
      </c>
      <c r="L508" s="53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615582926.15574</v>
      </c>
      <c r="M508" s="53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771789074.496323</v>
      </c>
      <c r="N508" s="53" t="n">
        <f aca="false">IF(COUNT('Business Case'!B11:G11)=0,"",H508+NPV(G508,I508:M508))</f>
        <v>-945550198.943573</v>
      </c>
      <c r="P508" s="54" t="n">
        <f aca="true">RAND()</f>
        <v>0.59022048590301</v>
      </c>
      <c r="Q508" s="54" t="n">
        <f aca="true">RAND()</f>
        <v>0.118864486587136</v>
      </c>
      <c r="R508" s="54" t="n">
        <f aca="true">RAND()</f>
        <v>0.34806617407135</v>
      </c>
      <c r="S508" s="54" t="n">
        <f aca="true">RAND()</f>
        <v>0.506119231674949</v>
      </c>
      <c r="T508" s="54" t="n">
        <f aca="true">RAND()</f>
        <v>0.867742019970312</v>
      </c>
      <c r="U508" s="54" t="n">
        <f aca="true">RAND()</f>
        <v>0.672112107536277</v>
      </c>
    </row>
    <row r="509" customFormat="false" ht="15" hidden="false" customHeight="false" outlineLevel="0" collapsed="false">
      <c r="A509" s="50" t="n">
        <v>429</v>
      </c>
      <c r="B509" s="51" t="n">
        <f aca="false">1+IF($G$6=$E$6,$F$6,IF(P509&lt;($F$6-$E$6)/($G$6-$E$6),$E$6+SQRT(P509*($G$6-$E$6)*($F$6-$E$6)),$G$6-SQRT((1-P509)*($G$6-$E$6)*($G$6-$F$6))))</f>
        <v>1.0074875359432</v>
      </c>
      <c r="C509" s="51" t="n">
        <f aca="false">1+IF($G$7=$E$7,$F$7,IF(Q509&lt;($F$7-$E$7)/($G$7-$E$7),$E$7+SQRT(Q509*($G$7-$E$7)*($F$7-$E$7)),$G$7-SQRT((1-Q509)*($G$7-$E$7)*($G$7-$F$7))))</f>
        <v>0.919439180730751</v>
      </c>
      <c r="D509" s="51" t="n">
        <f aca="false">1+IF($G$8=$E$8,$F$8,IF(R509&lt;($F$8-$E$8)/($G$8-$E$8),$E$8+SQRT(R509*($G$8-$E$8)*($F$8-$E$8)),$G$8-SQRT((1-R509)*($G$8-$E$8)*($G$8-$F$8))))</f>
        <v>1.02009410528896</v>
      </c>
      <c r="E509" s="51" t="n">
        <f aca="false">1+IF($G$9=$E$9,$F$9,IF(S509&lt;($F$9-$E$9)/($G$9-$E$9),$E$9+SQRT(S509*($G$9-$E$9)*($F$9-$E$9)),$G$9-SQRT((1-S509)*($G$9-$E$9)*($G$9-$F$9))))</f>
        <v>1.06112402710481</v>
      </c>
      <c r="F509" s="51" t="n">
        <f aca="false">1+IF($G$10=$E$10,$F$10,IF(T509&lt;($F$10-$E$10)/($G$10-$E$10),$E$10+SQRT(T509*($G$10-$E$10)*($F$10-$E$10)),$G$10-SQRT((1-T509)*($G$10-$E$10)*($G$10-$F$10))))</f>
        <v>1.06413484657378</v>
      </c>
      <c r="G509" s="52" t="n">
        <f aca="false">IF($G$11=$E$11,$F$11,IF(U509&lt;($F$11-$E$11)/($G$11-$E$11),$E$11+SQRT(U509*($G$11-$E$11)*($F$11-$E$11)),$G$11-SQRT((1-U509)*($G$11-$E$11)*($G$11-$F$11))))</f>
        <v>0.100724737728131</v>
      </c>
      <c r="H509" s="53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-2128269693.14755</v>
      </c>
      <c r="I509" s="53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-26737463.4440116</v>
      </c>
      <c r="J509" s="53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251851005.422806</v>
      </c>
      <c r="K509" s="53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583646216.618313</v>
      </c>
      <c r="L509" s="53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708522780.240018</v>
      </c>
      <c r="M509" s="53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884598353.903561</v>
      </c>
      <c r="N509" s="53" t="n">
        <f aca="false">IF(COUNT('Business Case'!B11:G11)=0,"",H509+NPV(G509,I509:M509))</f>
        <v>-476939228.179611</v>
      </c>
      <c r="P509" s="54" t="n">
        <f aca="true">RAND()</f>
        <v>0.759025386642598</v>
      </c>
      <c r="Q509" s="54" t="n">
        <f aca="true">RAND()</f>
        <v>0.356692992887282</v>
      </c>
      <c r="R509" s="54" t="n">
        <f aca="true">RAND()</f>
        <v>0.574336532695222</v>
      </c>
      <c r="S509" s="54" t="n">
        <f aca="true">RAND()</f>
        <v>0.789361638451545</v>
      </c>
      <c r="T509" s="54" t="n">
        <f aca="true">RAND()</f>
        <v>0.539388596557956</v>
      </c>
      <c r="U509" s="54" t="n">
        <f aca="true">RAND()</f>
        <v>0.428639345942191</v>
      </c>
    </row>
    <row r="510" customFormat="false" ht="15" hidden="false" customHeight="false" outlineLevel="0" collapsed="false">
      <c r="A510" s="50" t="n">
        <v>430</v>
      </c>
      <c r="B510" s="51" t="n">
        <f aca="false">1+IF($G$6=$E$6,$F$6,IF(P510&lt;($F$6-$E$6)/($G$6-$E$6),$E$6+SQRT(P510*($G$6-$E$6)*($F$6-$E$6)),$G$6-SQRT((1-P510)*($G$6-$E$6)*($G$6-$F$6))))</f>
        <v>0.991963500732812</v>
      </c>
      <c r="C510" s="51" t="n">
        <f aca="false">1+IF($G$7=$E$7,$F$7,IF(Q510&lt;($F$7-$E$7)/($G$7-$E$7),$E$7+SQRT(Q510*($G$7-$E$7)*($F$7-$E$7)),$G$7-SQRT((1-Q510)*($G$7-$E$7)*($G$7-$F$7))))</f>
        <v>0.954914408902849</v>
      </c>
      <c r="D510" s="51" t="n">
        <f aca="false">1+IF($G$8=$E$8,$F$8,IF(R510&lt;($F$8-$E$8)/($G$8-$E$8),$E$8+SQRT(R510*($G$8-$E$8)*($F$8-$E$8)),$G$8-SQRT((1-R510)*($G$8-$E$8)*($G$8-$F$8))))</f>
        <v>0.97936560350533</v>
      </c>
      <c r="E510" s="51" t="n">
        <f aca="false">1+IF($G$9=$E$9,$F$9,IF(S510&lt;($F$9-$E$9)/($G$9-$E$9),$E$9+SQRT(S510*($G$9-$E$9)*($F$9-$E$9)),$G$9-SQRT((1-S510)*($G$9-$E$9)*($G$9-$F$9))))</f>
        <v>0.953176771066735</v>
      </c>
      <c r="F510" s="51" t="n">
        <f aca="false">1+IF($G$10=$E$10,$F$10,IF(T510&lt;($F$10-$E$10)/($G$10-$E$10),$E$10+SQRT(T510*($G$10-$E$10)*($F$10-$E$10)),$G$10-SQRT((1-T510)*($G$10-$E$10)*($G$10-$F$10))))</f>
        <v>0.992761532503616</v>
      </c>
      <c r="G510" s="52" t="n">
        <f aca="false">IF($G$11=$E$11,$F$11,IF(U510&lt;($F$11-$E$11)/($G$11-$E$11),$E$11+SQRT(U510*($G$11-$E$11)*($F$11-$E$11)),$G$11-SQRT((1-U510)*($G$11-$E$11)*($G$11-$F$11))))</f>
        <v>0.0906483098076015</v>
      </c>
      <c r="H510" s="53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-1985523065.00723</v>
      </c>
      <c r="I510" s="53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13182263.4095862</v>
      </c>
      <c r="J510" s="53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310287350.954516</v>
      </c>
      <c r="K510" s="53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657030515.124626</v>
      </c>
      <c r="L510" s="53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788802166.99913</v>
      </c>
      <c r="M510" s="53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968853591.809867</v>
      </c>
      <c r="N510" s="53" t="n">
        <f aca="false">IF(COUNT('Business Case'!B11:G11)=0,"",H510+NPV(G510,I510:M510))</f>
        <v>-20841352.8060553</v>
      </c>
      <c r="P510" s="54" t="n">
        <f aca="true">RAND()</f>
        <v>0.563819031135589</v>
      </c>
      <c r="Q510" s="54" t="n">
        <f aca="true">RAND()</f>
        <v>0.481343376787326</v>
      </c>
      <c r="R510" s="54" t="n">
        <f aca="true">RAND()</f>
        <v>0.114978489230968</v>
      </c>
      <c r="S510" s="54" t="n">
        <f aca="true">RAND()</f>
        <v>0.113110759243358</v>
      </c>
      <c r="T510" s="54" t="n">
        <f aca="true">RAND()</f>
        <v>0.121903244137187</v>
      </c>
      <c r="U510" s="54" t="n">
        <f aca="true">RAND()</f>
        <v>0.113386501758663</v>
      </c>
    </row>
    <row r="511" customFormat="false" ht="15" hidden="false" customHeight="false" outlineLevel="0" collapsed="false">
      <c r="A511" s="50" t="n">
        <v>431</v>
      </c>
      <c r="B511" s="51" t="n">
        <f aca="false">1+IF($G$6=$E$6,$F$6,IF(P511&lt;($F$6-$E$6)/($G$6-$E$6),$E$6+SQRT(P511*($G$6-$E$6)*($F$6-$E$6)),$G$6-SQRT((1-P511)*($G$6-$E$6)*($G$6-$F$6))))</f>
        <v>0.910050785424119</v>
      </c>
      <c r="C511" s="51" t="n">
        <f aca="false">1+IF($G$7=$E$7,$F$7,IF(Q511&lt;($F$7-$E$7)/($G$7-$E$7),$E$7+SQRT(Q511*($G$7-$E$7)*($F$7-$E$7)),$G$7-SQRT((1-Q511)*($G$7-$E$7)*($G$7-$F$7))))</f>
        <v>0.974507722237051</v>
      </c>
      <c r="D511" s="51" t="n">
        <f aca="false">1+IF($G$8=$E$8,$F$8,IF(R511&lt;($F$8-$E$8)/($G$8-$E$8),$E$8+SQRT(R511*($G$8-$E$8)*($F$8-$E$8)),$G$8-SQRT((1-R511)*($G$8-$E$8)*($G$8-$F$8))))</f>
        <v>1.05926872567196</v>
      </c>
      <c r="E511" s="51" t="n">
        <f aca="false">1+IF($G$9=$E$9,$F$9,IF(S511&lt;($F$9-$E$9)/($G$9-$E$9),$E$9+SQRT(S511*($G$9-$E$9)*($F$9-$E$9)),$G$9-SQRT((1-S511)*($G$9-$E$9)*($G$9-$F$9))))</f>
        <v>1.02155486114477</v>
      </c>
      <c r="F511" s="51" t="n">
        <f aca="false">1+IF($G$10=$E$10,$F$10,IF(T511&lt;($F$10-$E$10)/($G$10-$E$10),$E$10+SQRT(T511*($G$10-$E$10)*($F$10-$E$10)),$G$10-SQRT((1-T511)*($G$10-$E$10)*($G$10-$F$10))))</f>
        <v>1.05629330563111</v>
      </c>
      <c r="G511" s="52" t="n">
        <f aca="false">IF($G$11=$E$11,$F$11,IF(U511&lt;($F$11-$E$11)/($G$11-$E$11),$E$11+SQRT(U511*($G$11-$E$11)*($F$11-$E$11)),$G$11-SQRT((1-U511)*($G$11-$E$11)*($G$11-$F$11))))</f>
        <v>0.101515045113082</v>
      </c>
      <c r="H511" s="53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-2112586611.26222</v>
      </c>
      <c r="I511" s="53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-98910949.8801518</v>
      </c>
      <c r="J511" s="53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99046914.7519416</v>
      </c>
      <c r="K511" s="53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349819444.665591</v>
      </c>
      <c r="L511" s="53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446454988.005854</v>
      </c>
      <c r="M511" s="53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615027724.551798</v>
      </c>
      <c r="N511" s="53" t="n">
        <f aca="false">IF(COUNT('Business Case'!B11:G11)=0,"",H511+NPV(G511,I511:M511))</f>
        <v>-1176483150.53803</v>
      </c>
      <c r="P511" s="54" t="n">
        <f aca="true">RAND()</f>
        <v>0.00673455250944514</v>
      </c>
      <c r="Q511" s="54" t="n">
        <f aca="true">RAND()</f>
        <v>0.558181404205733</v>
      </c>
      <c r="R511" s="54" t="n">
        <f aca="true">RAND()</f>
        <v>0.889397552774247</v>
      </c>
      <c r="S511" s="54" t="n">
        <f aca="true">RAND()</f>
        <v>0.56004923478559</v>
      </c>
      <c r="T511" s="54" t="n">
        <f aca="true">RAND()</f>
        <v>0.499702887422365</v>
      </c>
      <c r="U511" s="54" t="n">
        <f aca="true">RAND()</f>
        <v>0.459071563393502</v>
      </c>
    </row>
    <row r="512" customFormat="false" ht="15" hidden="false" customHeight="false" outlineLevel="0" collapsed="false">
      <c r="A512" s="50" t="n">
        <v>432</v>
      </c>
      <c r="B512" s="51" t="n">
        <f aca="false">1+IF($G$6=$E$6,$F$6,IF(P512&lt;($F$6-$E$6)/($G$6-$E$6),$E$6+SQRT(P512*($G$6-$E$6)*($F$6-$E$6)),$G$6-SQRT((1-P512)*($G$6-$E$6)*($G$6-$F$6))))</f>
        <v>1.0333376000961</v>
      </c>
      <c r="C512" s="51" t="n">
        <f aca="false">1+IF($G$7=$E$7,$F$7,IF(Q512&lt;($F$7-$E$7)/($G$7-$E$7),$E$7+SQRT(Q512*($G$7-$E$7)*($F$7-$E$7)),$G$7-SQRT((1-Q512)*($G$7-$E$7)*($G$7-$F$7))))</f>
        <v>0.920860493981181</v>
      </c>
      <c r="D512" s="51" t="n">
        <f aca="false">1+IF($G$8=$E$8,$F$8,IF(R512&lt;($F$8-$E$8)/($G$8-$E$8),$E$8+SQRT(R512*($G$8-$E$8)*($F$8-$E$8)),$G$8-SQRT((1-R512)*($G$8-$E$8)*($G$8-$F$8))))</f>
        <v>0.987324677768231</v>
      </c>
      <c r="E512" s="51" t="n">
        <f aca="false">1+IF($G$9=$E$9,$F$9,IF(S512&lt;($F$9-$E$9)/($G$9-$E$9),$E$9+SQRT(S512*($G$9-$E$9)*($F$9-$E$9)),$G$9-SQRT((1-S512)*($G$9-$E$9)*($G$9-$F$9))))</f>
        <v>1.0854157164084</v>
      </c>
      <c r="F512" s="51" t="n">
        <f aca="false">1+IF($G$10=$E$10,$F$10,IF(T512&lt;($F$10-$E$10)/($G$10-$E$10),$E$10+SQRT(T512*($G$10-$E$10)*($F$10-$E$10)),$G$10-SQRT((1-T512)*($G$10-$E$10)*($G$10-$F$10))))</f>
        <v>1.05747030636744</v>
      </c>
      <c r="G512" s="52" t="n">
        <f aca="false">IF($G$11=$E$11,$F$11,IF(U512&lt;($F$11-$E$11)/($G$11-$E$11),$E$11+SQRT(U512*($G$11-$E$11)*($F$11-$E$11)),$G$11-SQRT((1-U512)*($G$11-$E$11)*($G$11-$F$11))))</f>
        <v>0.110783465399589</v>
      </c>
      <c r="H512" s="53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-2114940612.73488</v>
      </c>
      <c r="I512" s="53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4542292.48413974</v>
      </c>
      <c r="J512" s="53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318506589.104077</v>
      </c>
      <c r="K512" s="53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685344401.042388</v>
      </c>
      <c r="L512" s="53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822885072.332886</v>
      </c>
      <c r="M512" s="53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1003757553.96074</v>
      </c>
      <c r="N512" s="53" t="n">
        <f aca="false">IF(COUNT('Business Case'!B11:G11)=0,"",H512+NPV(G512,I512:M512))</f>
        <v>-218534825.083659</v>
      </c>
      <c r="P512" s="54" t="n">
        <f aca="true">RAND()</f>
        <v>0.962981923925646</v>
      </c>
      <c r="Q512" s="54" t="n">
        <f aca="true">RAND()</f>
        <v>0.361328576308232</v>
      </c>
      <c r="R512" s="54" t="n">
        <f aca="true">RAND()</f>
        <v>0.185750876066969</v>
      </c>
      <c r="S512" s="54" t="n">
        <f aca="true">RAND()</f>
        <v>0.888769875012276</v>
      </c>
      <c r="T512" s="54" t="n">
        <f aca="true">RAND()</f>
        <v>0.505764227596711</v>
      </c>
      <c r="U512" s="54" t="n">
        <f aca="true">RAND()</f>
        <v>0.753816531967466</v>
      </c>
    </row>
    <row r="513" customFormat="false" ht="15" hidden="false" customHeight="false" outlineLevel="0" collapsed="false">
      <c r="A513" s="50" t="n">
        <v>433</v>
      </c>
      <c r="B513" s="51" t="n">
        <f aca="false">1+IF($G$6=$E$6,$F$6,IF(P513&lt;($F$6-$E$6)/($G$6-$E$6),$E$6+SQRT(P513*($G$6-$E$6)*($F$6-$E$6)),$G$6-SQRT((1-P513)*($G$6-$E$6)*($G$6-$F$6))))</f>
        <v>0.962624387360699</v>
      </c>
      <c r="C513" s="51" t="n">
        <f aca="false">1+IF($G$7=$E$7,$F$7,IF(Q513&lt;($F$7-$E$7)/($G$7-$E$7),$E$7+SQRT(Q513*($G$7-$E$7)*($F$7-$E$7)),$G$7-SQRT((1-Q513)*($G$7-$E$7)*($G$7-$F$7))))</f>
        <v>1.08985628722988</v>
      </c>
      <c r="D513" s="51" t="n">
        <f aca="false">1+IF($G$8=$E$8,$F$8,IF(R513&lt;($F$8-$E$8)/($G$8-$E$8),$E$8+SQRT(R513*($G$8-$E$8)*($F$8-$E$8)),$G$8-SQRT((1-R513)*($G$8-$E$8)*($G$8-$F$8))))</f>
        <v>1.00585103534825</v>
      </c>
      <c r="E513" s="51" t="n">
        <f aca="false">1+IF($G$9=$E$9,$F$9,IF(S513&lt;($F$9-$E$9)/($G$9-$E$9),$E$9+SQRT(S513*($G$9-$E$9)*($F$9-$E$9)),$G$9-SQRT((1-S513)*($G$9-$E$9)*($G$9-$F$9))))</f>
        <v>0.922763346950012</v>
      </c>
      <c r="F513" s="51" t="n">
        <f aca="false">1+IF($G$10=$E$10,$F$10,IF(T513&lt;($F$10-$E$10)/($G$10-$E$10),$E$10+SQRT(T513*($G$10-$E$10)*($F$10-$E$10)),$G$10-SQRT((1-T513)*($G$10-$E$10)*($G$10-$F$10))))</f>
        <v>1.05331030766037</v>
      </c>
      <c r="G513" s="52" t="n">
        <f aca="false">IF($G$11=$E$11,$F$11,IF(U513&lt;($F$11-$E$11)/($G$11-$E$11),$E$11+SQRT(U513*($G$11-$E$11)*($F$11-$E$11)),$G$11-SQRT((1-U513)*($G$11-$E$11)*($G$11-$F$11))))</f>
        <v>0.0900078773822994</v>
      </c>
      <c r="H513" s="53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-2106620615.32074</v>
      </c>
      <c r="I513" s="53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7188540.65745428</v>
      </c>
      <c r="J513" s="53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305311556.980613</v>
      </c>
      <c r="K513" s="53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656100088.686791</v>
      </c>
      <c r="L513" s="53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791732092.103428</v>
      </c>
      <c r="M513" s="53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991149247.635807</v>
      </c>
      <c r="N513" s="53" t="n">
        <f aca="false">IF(COUNT('Business Case'!B11:G11)=0,"",H513+NPV(G513,I513:M513))</f>
        <v>-131413602.216417</v>
      </c>
      <c r="P513" s="54" t="n">
        <f aca="true">RAND()</f>
        <v>0.261454259486859</v>
      </c>
      <c r="Q513" s="54" t="n">
        <f aca="true">RAND()</f>
        <v>0.946410871321851</v>
      </c>
      <c r="R513" s="54" t="n">
        <f aca="true">RAND()</f>
        <v>0.409064830333513</v>
      </c>
      <c r="S513" s="54" t="n">
        <f aca="true">RAND()</f>
        <v>0.0207267985746655</v>
      </c>
      <c r="T513" s="54" t="n">
        <f aca="true">RAND()</f>
        <v>0.484175532364545</v>
      </c>
      <c r="U513" s="54" t="n">
        <f aca="true">RAND()</f>
        <v>0.100157609699141</v>
      </c>
    </row>
    <row r="514" customFormat="false" ht="15" hidden="false" customHeight="false" outlineLevel="0" collapsed="false">
      <c r="A514" s="50" t="n">
        <v>434</v>
      </c>
      <c r="B514" s="51" t="n">
        <f aca="false">1+IF($G$6=$E$6,$F$6,IF(P514&lt;($F$6-$E$6)/($G$6-$E$6),$E$6+SQRT(P514*($G$6-$E$6)*($F$6-$E$6)),$G$6-SQRT((1-P514)*($G$6-$E$6)*($G$6-$F$6))))</f>
        <v>0.950922710884244</v>
      </c>
      <c r="C514" s="51" t="n">
        <f aca="false">1+IF($G$7=$E$7,$F$7,IF(Q514&lt;($F$7-$E$7)/($G$7-$E$7),$E$7+SQRT(Q514*($G$7-$E$7)*($F$7-$E$7)),$G$7-SQRT((1-Q514)*($G$7-$E$7)*($G$7-$F$7))))</f>
        <v>0.78608491191447</v>
      </c>
      <c r="D514" s="51" t="n">
        <f aca="false">1+IF($G$8=$E$8,$F$8,IF(R514&lt;($F$8-$E$8)/($G$8-$E$8),$E$8+SQRT(R514*($G$8-$E$8)*($F$8-$E$8)),$G$8-SQRT((1-R514)*($G$8-$E$8)*($G$8-$F$8))))</f>
        <v>1.03379353987429</v>
      </c>
      <c r="E514" s="51" t="n">
        <f aca="false">1+IF($G$9=$E$9,$F$9,IF(S514&lt;($F$9-$E$9)/($G$9-$E$9),$E$9+SQRT(S514*($G$9-$E$9)*($F$9-$E$9)),$G$9-SQRT((1-S514)*($G$9-$E$9)*($G$9-$F$9))))</f>
        <v>1.06543963826128</v>
      </c>
      <c r="F514" s="51" t="n">
        <f aca="false">1+IF($G$10=$E$10,$F$10,IF(T514&lt;($F$10-$E$10)/($G$10-$E$10),$E$10+SQRT(T514*($G$10-$E$10)*($F$10-$E$10)),$G$10-SQRT((1-T514)*($G$10-$E$10)*($G$10-$F$10))))</f>
        <v>1.18246899864524</v>
      </c>
      <c r="G514" s="52" t="n">
        <f aca="false">IF($G$11=$E$11,$F$11,IF(U514&lt;($F$11-$E$11)/($G$11-$E$11),$E$11+SQRT(U514*($G$11-$E$11)*($F$11-$E$11)),$G$11-SQRT((1-U514)*($G$11-$E$11)*($G$11-$F$11))))</f>
        <v>0.121868503966373</v>
      </c>
      <c r="H514" s="53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-2364937997.29049</v>
      </c>
      <c r="I514" s="53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-112253430.494345</v>
      </c>
      <c r="J514" s="53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83996266.2393129</v>
      </c>
      <c r="K514" s="53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339369412.905233</v>
      </c>
      <c r="L514" s="53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430619785.684934</v>
      </c>
      <c r="M514" s="53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572705725.294921</v>
      </c>
      <c r="N514" s="53" t="n">
        <f aca="false">IF(COUNT('Business Case'!B11:G11)=0,"",H514+NPV(G514,I514:M514))</f>
        <v>-1563788009.09837</v>
      </c>
      <c r="P514" s="54" t="n">
        <f aca="true">RAND()</f>
        <v>0.172874832253355</v>
      </c>
      <c r="Q514" s="54" t="n">
        <f aca="true">RAND()</f>
        <v>0.054893422661645</v>
      </c>
      <c r="R514" s="54" t="n">
        <f aca="true">RAND()</f>
        <v>0.707780309174893</v>
      </c>
      <c r="S514" s="54" t="n">
        <f aca="true">RAND()</f>
        <v>0.809321205936459</v>
      </c>
      <c r="T514" s="54" t="n">
        <f aca="true">RAND()</f>
        <v>0.939194184746987</v>
      </c>
      <c r="U514" s="54" t="n">
        <f aca="true">RAND()</f>
        <v>0.955919181503402</v>
      </c>
    </row>
    <row r="515" customFormat="false" ht="15" hidden="false" customHeight="false" outlineLevel="0" collapsed="false">
      <c r="A515" s="50" t="n">
        <v>435</v>
      </c>
      <c r="B515" s="51" t="n">
        <f aca="false">1+IF($G$6=$E$6,$F$6,IF(P515&lt;($F$6-$E$6)/($G$6-$E$6),$E$6+SQRT(P515*($G$6-$E$6)*($F$6-$E$6)),$G$6-SQRT((1-P515)*($G$6-$E$6)*($G$6-$F$6))))</f>
        <v>0.98163893696519</v>
      </c>
      <c r="C515" s="51" t="n">
        <f aca="false">1+IF($G$7=$E$7,$F$7,IF(Q515&lt;($F$7-$E$7)/($G$7-$E$7),$E$7+SQRT(Q515*($G$7-$E$7)*($F$7-$E$7)),$G$7-SQRT((1-Q515)*($G$7-$E$7)*($G$7-$F$7))))</f>
        <v>1.03698895437523</v>
      </c>
      <c r="D515" s="51" t="n">
        <f aca="false">1+IF($G$8=$E$8,$F$8,IF(R515&lt;($F$8-$E$8)/($G$8-$E$8),$E$8+SQRT(R515*($G$8-$E$8)*($F$8-$E$8)),$G$8-SQRT((1-R515)*($G$8-$E$8)*($G$8-$F$8))))</f>
        <v>1.007442250957</v>
      </c>
      <c r="E515" s="51" t="n">
        <f aca="false">1+IF($G$9=$E$9,$F$9,IF(S515&lt;($F$9-$E$9)/($G$9-$E$9),$E$9+SQRT(S515*($G$9-$E$9)*($F$9-$E$9)),$G$9-SQRT((1-S515)*($G$9-$E$9)*($G$9-$F$9))))</f>
        <v>0.923210389516387</v>
      </c>
      <c r="F515" s="51" t="n">
        <f aca="false">1+IF($G$10=$E$10,$F$10,IF(T515&lt;($F$10-$E$10)/($G$10-$E$10),$E$10+SQRT(T515*($G$10-$E$10)*($F$10-$E$10)),$G$10-SQRT((1-T515)*($G$10-$E$10)*($G$10-$F$10))))</f>
        <v>1.03048403541818</v>
      </c>
      <c r="G515" s="52" t="n">
        <f aca="false">IF($G$11=$E$11,$F$11,IF(U515&lt;($F$11-$E$11)/($G$11-$E$11),$E$11+SQRT(U515*($G$11-$E$11)*($F$11-$E$11)),$G$11-SQRT((1-U515)*($G$11-$E$11)*($G$11-$F$11))))</f>
        <v>0.127512529021762</v>
      </c>
      <c r="H515" s="53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-2060968070.83636</v>
      </c>
      <c r="I515" s="53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11867778.255773</v>
      </c>
      <c r="J515" s="53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310834939.855535</v>
      </c>
      <c r="K515" s="53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661326303.226206</v>
      </c>
      <c r="L515" s="53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796162332.034755</v>
      </c>
      <c r="M515" s="53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989654027.548873</v>
      </c>
      <c r="N515" s="53" t="n">
        <f aca="false">IF(COUNT('Business Case'!B11:G11)=0,"",H515+NPV(G515,I515:M515))</f>
        <v>-308844842.345618</v>
      </c>
      <c r="P515" s="54" t="n">
        <f aca="true">RAND()</f>
        <v>0.44432773525375</v>
      </c>
      <c r="Q515" s="54" t="n">
        <f aca="true">RAND()</f>
        <v>0.810792645434006</v>
      </c>
      <c r="R515" s="54" t="n">
        <f aca="true">RAND()</f>
        <v>0.428870872806245</v>
      </c>
      <c r="S515" s="54" t="n">
        <f aca="true">RAND()</f>
        <v>0.0215488872600954</v>
      </c>
      <c r="T515" s="54" t="n">
        <f aca="true">RAND()</f>
        <v>0.357503217249515</v>
      </c>
      <c r="U515" s="54" t="n">
        <f aca="true">RAND()</f>
        <v>0.995874992088284</v>
      </c>
    </row>
    <row r="516" customFormat="false" ht="15" hidden="false" customHeight="false" outlineLevel="0" collapsed="false">
      <c r="A516" s="50" t="n">
        <v>436</v>
      </c>
      <c r="B516" s="51" t="n">
        <f aca="false">1+IF($G$6=$E$6,$F$6,IF(P516&lt;($F$6-$E$6)/($G$6-$E$6),$E$6+SQRT(P516*($G$6-$E$6)*($F$6-$E$6)),$G$6-SQRT((1-P516)*($G$6-$E$6)*($G$6-$F$6))))</f>
        <v>0.941715788259422</v>
      </c>
      <c r="C516" s="51" t="n">
        <f aca="false">1+IF($G$7=$E$7,$F$7,IF(Q516&lt;($F$7-$E$7)/($G$7-$E$7),$E$7+SQRT(Q516*($G$7-$E$7)*($F$7-$E$7)),$G$7-SQRT((1-Q516)*($G$7-$E$7)*($G$7-$F$7))))</f>
        <v>0.921178995443231</v>
      </c>
      <c r="D516" s="51" t="n">
        <f aca="false">1+IF($G$8=$E$8,$F$8,IF(R516&lt;($F$8-$E$8)/($G$8-$E$8),$E$8+SQRT(R516*($G$8-$E$8)*($F$8-$E$8)),$G$8-SQRT((1-R516)*($G$8-$E$8)*($G$8-$F$8))))</f>
        <v>1.01287491374581</v>
      </c>
      <c r="E516" s="51" t="n">
        <f aca="false">1+IF($G$9=$E$9,$F$9,IF(S516&lt;($F$9-$E$9)/($G$9-$E$9),$E$9+SQRT(S516*($G$9-$E$9)*($F$9-$E$9)),$G$9-SQRT((1-S516)*($G$9-$E$9)*($G$9-$F$9))))</f>
        <v>1.001822061227</v>
      </c>
      <c r="F516" s="51" t="n">
        <f aca="false">1+IF($G$10=$E$10,$F$10,IF(T516&lt;($F$10-$E$10)/($G$10-$E$10),$E$10+SQRT(T516*($G$10-$E$10)*($F$10-$E$10)),$G$10-SQRT((1-T516)*($G$10-$E$10)*($G$10-$F$10))))</f>
        <v>0.982179724620801</v>
      </c>
      <c r="G516" s="52" t="n">
        <f aca="false">IF($G$11=$E$11,$F$11,IF(U516&lt;($F$11-$E$11)/($G$11-$E$11),$E$11+SQRT(U516*($G$11-$E$11)*($F$11-$E$11)),$G$11-SQRT((1-U516)*($G$11-$E$11)*($G$11-$F$11))))</f>
        <v>0.117760885419878</v>
      </c>
      <c r="H516" s="53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-1964359449.2416</v>
      </c>
      <c r="I516" s="53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-52753273.4307301</v>
      </c>
      <c r="J516" s="53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180141142.297223</v>
      </c>
      <c r="K516" s="53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462144544.256217</v>
      </c>
      <c r="L516" s="53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569756429.225617</v>
      </c>
      <c r="M516" s="53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734648701.056074</v>
      </c>
      <c r="N516" s="53" t="n">
        <f aca="false">IF(COUNT('Business Case'!B11:G11)=0,"",H516+NPV(G516,I516:M516))</f>
        <v>-750393351.983264</v>
      </c>
      <c r="P516" s="54" t="n">
        <f aca="true">RAND()</f>
        <v>0.116013799340327</v>
      </c>
      <c r="Q516" s="54" t="n">
        <f aca="true">RAND()</f>
        <v>0.362371466853902</v>
      </c>
      <c r="R516" s="54" t="n">
        <f aca="true">RAND()</f>
        <v>0.493947956346694</v>
      </c>
      <c r="S516" s="54" t="n">
        <f aca="true">RAND()</f>
        <v>0.414487958959587</v>
      </c>
      <c r="T516" s="54" t="n">
        <f aca="true">RAND()</f>
        <v>0.0690356451113712</v>
      </c>
      <c r="U516" s="54" t="n">
        <f aca="true">RAND()</f>
        <v>0.900136049529765</v>
      </c>
    </row>
    <row r="517" customFormat="false" ht="15" hidden="false" customHeight="false" outlineLevel="0" collapsed="false">
      <c r="A517" s="50" t="n">
        <v>437</v>
      </c>
      <c r="B517" s="51" t="n">
        <f aca="false">1+IF($G$6=$E$6,$F$6,IF(P517&lt;($F$6-$E$6)/($G$6-$E$6),$E$6+SQRT(P517*($G$6-$E$6)*($F$6-$E$6)),$G$6-SQRT((1-P517)*($G$6-$E$6)*($G$6-$F$6))))</f>
        <v>0.989406590926949</v>
      </c>
      <c r="C517" s="51" t="n">
        <f aca="false">1+IF($G$7=$E$7,$F$7,IF(Q517&lt;($F$7-$E$7)/($G$7-$E$7),$E$7+SQRT(Q517*($G$7-$E$7)*($F$7-$E$7)),$G$7-SQRT((1-Q517)*($G$7-$E$7)*($G$7-$F$7))))</f>
        <v>0.814093601648588</v>
      </c>
      <c r="D517" s="51" t="n">
        <f aca="false">1+IF($G$8=$E$8,$F$8,IF(R517&lt;($F$8-$E$8)/($G$8-$E$8),$E$8+SQRT(R517*($G$8-$E$8)*($F$8-$E$8)),$G$8-SQRT((1-R517)*($G$8-$E$8)*($G$8-$F$8))))</f>
        <v>1.06409226040692</v>
      </c>
      <c r="E517" s="51" t="n">
        <f aca="false">1+IF($G$9=$E$9,$F$9,IF(S517&lt;($F$9-$E$9)/($G$9-$E$9),$E$9+SQRT(S517*($G$9-$E$9)*($F$9-$E$9)),$G$9-SQRT((1-S517)*($G$9-$E$9)*($G$9-$F$9))))</f>
        <v>0.928216682209141</v>
      </c>
      <c r="F517" s="51" t="n">
        <f aca="false">1+IF($G$10=$E$10,$F$10,IF(T517&lt;($F$10-$E$10)/($G$10-$E$10),$E$10+SQRT(T517*($G$10-$E$10)*($F$10-$E$10)),$G$10-SQRT((1-T517)*($G$10-$E$10)*($G$10-$F$10))))</f>
        <v>0.95805209520121</v>
      </c>
      <c r="G517" s="52" t="n">
        <f aca="false">IF($G$11=$E$11,$F$11,IF(U517&lt;($F$11-$E$11)/($G$11-$E$11),$E$11+SQRT(U517*($G$11-$E$11)*($F$11-$E$11)),$G$11-SQRT((1-U517)*($G$11-$E$11)*($G$11-$F$11))))</f>
        <v>0.108537524330372</v>
      </c>
      <c r="H517" s="53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-1916104190.40242</v>
      </c>
      <c r="I517" s="53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-53276885.8187657</v>
      </c>
      <c r="J517" s="53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162999392.866047</v>
      </c>
      <c r="K517" s="53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427178276.310919</v>
      </c>
      <c r="L517" s="53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527107397.721402</v>
      </c>
      <c r="M517" s="53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680211054.556899</v>
      </c>
      <c r="N517" s="53" t="n">
        <f aca="false">IF(COUNT('Business Case'!B11:G11)=0,"",H517+NPV(G517,I517:M517))</f>
        <v>-762534593.294721</v>
      </c>
      <c r="P517" s="54" t="n">
        <f aca="true">RAND()</f>
        <v>0.532902566745256</v>
      </c>
      <c r="Q517" s="54" t="n">
        <f aca="true">RAND()</f>
        <v>0.0964248143492343</v>
      </c>
      <c r="R517" s="54" t="n">
        <f aca="true">RAND()</f>
        <v>0.914042282487712</v>
      </c>
      <c r="S517" s="54" t="n">
        <f aca="true">RAND()</f>
        <v>0.0318472461956656</v>
      </c>
      <c r="T517" s="54" t="n">
        <f aca="true">RAND()</f>
        <v>0.00432241580862289</v>
      </c>
      <c r="U517" s="54" t="n">
        <f aca="true">RAND()</f>
        <v>0.692908092087079</v>
      </c>
    </row>
    <row r="518" customFormat="false" ht="15" hidden="false" customHeight="false" outlineLevel="0" collapsed="false">
      <c r="A518" s="50" t="n">
        <v>438</v>
      </c>
      <c r="B518" s="51" t="n">
        <f aca="false">1+IF($G$6=$E$6,$F$6,IF(P518&lt;($F$6-$E$6)/($G$6-$E$6),$E$6+SQRT(P518*($G$6-$E$6)*($F$6-$E$6)),$G$6-SQRT((1-P518)*($G$6-$E$6)*($G$6-$F$6))))</f>
        <v>0.984546354037834</v>
      </c>
      <c r="C518" s="51" t="n">
        <f aca="false">1+IF($G$7=$E$7,$F$7,IF(Q518&lt;($F$7-$E$7)/($G$7-$E$7),$E$7+SQRT(Q518*($G$7-$E$7)*($F$7-$E$7)),$G$7-SQRT((1-Q518)*($G$7-$E$7)*($G$7-$F$7))))</f>
        <v>0.989051660510379</v>
      </c>
      <c r="D518" s="51" t="n">
        <f aca="false">1+IF($G$8=$E$8,$F$8,IF(R518&lt;($F$8-$E$8)/($G$8-$E$8),$E$8+SQRT(R518*($G$8-$E$8)*($F$8-$E$8)),$G$8-SQRT((1-R518)*($G$8-$E$8)*($G$8-$F$8))))</f>
        <v>1.00251935296346</v>
      </c>
      <c r="E518" s="51" t="n">
        <f aca="false">1+IF($G$9=$E$9,$F$9,IF(S518&lt;($F$9-$E$9)/($G$9-$E$9),$E$9+SQRT(S518*($G$9-$E$9)*($F$9-$E$9)),$G$9-SQRT((1-S518)*($G$9-$E$9)*($G$9-$F$9))))</f>
        <v>0.955074094056756</v>
      </c>
      <c r="F518" s="51" t="n">
        <f aca="false">1+IF($G$10=$E$10,$F$10,IF(T518&lt;($F$10-$E$10)/($G$10-$E$10),$E$10+SQRT(T518*($G$10-$E$10)*($F$10-$E$10)),$G$10-SQRT((1-T518)*($G$10-$E$10)*($G$10-$F$10))))</f>
        <v>1.03793147902315</v>
      </c>
      <c r="G518" s="52" t="n">
        <f aca="false">IF($G$11=$E$11,$F$11,IF(U518&lt;($F$11-$E$11)/($G$11-$E$11),$E$11+SQRT(U518*($G$11-$E$11)*($F$11-$E$11)),$G$11-SQRT((1-U518)*($G$11-$E$11)*($G$11-$F$11))))</f>
        <v>0.0885005013988436</v>
      </c>
      <c r="H518" s="53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-2075862958.04631</v>
      </c>
      <c r="I518" s="53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-90235.9107236713</v>
      </c>
      <c r="J518" s="53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289904304.230878</v>
      </c>
      <c r="K518" s="53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631795418.323637</v>
      </c>
      <c r="L518" s="53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762113659.687598</v>
      </c>
      <c r="M518" s="53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947207330.263109</v>
      </c>
      <c r="N518" s="53" t="n">
        <f aca="false">IF(COUNT('Business Case'!B11:G11)=0,"",H518+NPV(G518,I518:M518))</f>
        <v>-178631972.309867</v>
      </c>
      <c r="P518" s="54" t="n">
        <f aca="true">RAND()</f>
        <v>0.476539065406055</v>
      </c>
      <c r="Q518" s="54" t="n">
        <f aca="true">RAND()</f>
        <v>0.618895277361535</v>
      </c>
      <c r="R518" s="54" t="n">
        <f aca="true">RAND()</f>
        <v>0.366501563555889</v>
      </c>
      <c r="S518" s="54" t="n">
        <f aca="true">RAND()</f>
        <v>0.121326233446894</v>
      </c>
      <c r="T518" s="54" t="n">
        <f aca="true">RAND()</f>
        <v>0.400359232142575</v>
      </c>
      <c r="U518" s="54" t="n">
        <f aca="true">RAND()</f>
        <v>0.0722585240317425</v>
      </c>
    </row>
    <row r="519" customFormat="false" ht="15" hidden="false" customHeight="false" outlineLevel="0" collapsed="false">
      <c r="A519" s="50" t="n">
        <v>439</v>
      </c>
      <c r="B519" s="51" t="n">
        <f aca="false">1+IF($G$6=$E$6,$F$6,IF(P519&lt;($F$6-$E$6)/($G$6-$E$6),$E$6+SQRT(P519*($G$6-$E$6)*($F$6-$E$6)),$G$6-SQRT((1-P519)*($G$6-$E$6)*($G$6-$F$6))))</f>
        <v>1.01153214589978</v>
      </c>
      <c r="C519" s="51" t="n">
        <f aca="false">1+IF($G$7=$E$7,$F$7,IF(Q519&lt;($F$7-$E$7)/($G$7-$E$7),$E$7+SQRT(Q519*($G$7-$E$7)*($F$7-$E$7)),$G$7-SQRT((1-Q519)*($G$7-$E$7)*($G$7-$F$7))))</f>
        <v>0.902523069279764</v>
      </c>
      <c r="D519" s="51" t="n">
        <f aca="false">1+IF($G$8=$E$8,$F$8,IF(R519&lt;($F$8-$E$8)/($G$8-$E$8),$E$8+SQRT(R519*($G$8-$E$8)*($F$8-$E$8)),$G$8-SQRT((1-R519)*($G$8-$E$8)*($G$8-$F$8))))</f>
        <v>0.97595307824765</v>
      </c>
      <c r="E519" s="51" t="n">
        <f aca="false">1+IF($G$9=$E$9,$F$9,IF(S519&lt;($F$9-$E$9)/($G$9-$E$9),$E$9+SQRT(S519*($G$9-$E$9)*($F$9-$E$9)),$G$9-SQRT((1-S519)*($G$9-$E$9)*($G$9-$F$9))))</f>
        <v>1.04462078756253</v>
      </c>
      <c r="F519" s="51" t="n">
        <f aca="false">1+IF($G$10=$E$10,$F$10,IF(T519&lt;($F$10-$E$10)/($G$10-$E$10),$E$10+SQRT(T519*($G$10-$E$10)*($F$10-$E$10)),$G$10-SQRT((1-T519)*($G$10-$E$10)*($G$10-$F$10))))</f>
        <v>1.11684392192867</v>
      </c>
      <c r="G519" s="52" t="n">
        <f aca="false">IF($G$11=$E$11,$F$11,IF(U519&lt;($F$11-$E$11)/($G$11-$E$11),$E$11+SQRT(U519*($G$11-$E$11)*($F$11-$E$11)),$G$11-SQRT((1-U519)*($G$11-$E$11)*($G$11-$F$11))))</f>
        <v>0.0959751768188969</v>
      </c>
      <c r="H519" s="53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-2233687843.85735</v>
      </c>
      <c r="I519" s="53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-10708977.0013946</v>
      </c>
      <c r="J519" s="53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286137862.249567</v>
      </c>
      <c r="K519" s="53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638826897.596961</v>
      </c>
      <c r="L519" s="53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769326742.726014</v>
      </c>
      <c r="M519" s="53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942856685.642371</v>
      </c>
      <c r="N519" s="53" t="n">
        <f aca="false">IF(COUNT('Business Case'!B11:G11)=0,"",H519+NPV(G519,I519:M519))</f>
        <v>-390483397.833576</v>
      </c>
      <c r="P519" s="54" t="n">
        <f aca="true">RAND()</f>
        <v>0.802696560123257</v>
      </c>
      <c r="Q519" s="54" t="n">
        <f aca="true">RAND()</f>
        <v>0.303819211781452</v>
      </c>
      <c r="R519" s="54" t="n">
        <f aca="true">RAND()</f>
        <v>0.0898083027371523</v>
      </c>
      <c r="S519" s="54" t="n">
        <f aca="true">RAND()</f>
        <v>0.703872575628213</v>
      </c>
      <c r="T519" s="54" t="n">
        <f aca="true">RAND()</f>
        <v>0.763592784968834</v>
      </c>
      <c r="U519" s="54" t="n">
        <f aca="true">RAND()</f>
        <v>0.255206274395019</v>
      </c>
    </row>
    <row r="520" customFormat="false" ht="15" hidden="false" customHeight="false" outlineLevel="0" collapsed="false">
      <c r="A520" s="50" t="n">
        <v>440</v>
      </c>
      <c r="B520" s="51" t="n">
        <f aca="false">1+IF($G$6=$E$6,$F$6,IF(P520&lt;($F$6-$E$6)/($G$6-$E$6),$E$6+SQRT(P520*($G$6-$E$6)*($F$6-$E$6)),$G$6-SQRT((1-P520)*($G$6-$E$6)*($G$6-$F$6))))</f>
        <v>1.02200059621428</v>
      </c>
      <c r="C520" s="51" t="n">
        <f aca="false">1+IF($G$7=$E$7,$F$7,IF(Q520&lt;($F$7-$E$7)/($G$7-$E$7),$E$7+SQRT(Q520*($G$7-$E$7)*($F$7-$E$7)),$G$7-SQRT((1-Q520)*($G$7-$E$7)*($G$7-$F$7))))</f>
        <v>0.96691107416215</v>
      </c>
      <c r="D520" s="51" t="n">
        <f aca="false">1+IF($G$8=$E$8,$F$8,IF(R520&lt;($F$8-$E$8)/($G$8-$E$8),$E$8+SQRT(R520*($G$8-$E$8)*($F$8-$E$8)),$G$8-SQRT((1-R520)*($G$8-$E$8)*($G$8-$F$8))))</f>
        <v>0.991820129206486</v>
      </c>
      <c r="E520" s="51" t="n">
        <f aca="false">1+IF($G$9=$E$9,$F$9,IF(S520&lt;($F$9-$E$9)/($G$9-$E$9),$E$9+SQRT(S520*($G$9-$E$9)*($F$9-$E$9)),$G$9-SQRT((1-S520)*($G$9-$E$9)*($G$9-$F$9))))</f>
        <v>0.960066611936426</v>
      </c>
      <c r="F520" s="51" t="n">
        <f aca="false">1+IF($G$10=$E$10,$F$10,IF(T520&lt;($F$10-$E$10)/($G$10-$E$10),$E$10+SQRT(T520*($G$10-$E$10)*($F$10-$E$10)),$G$10-SQRT((1-T520)*($G$10-$E$10)*($G$10-$F$10))))</f>
        <v>1.12483919782285</v>
      </c>
      <c r="G520" s="52" t="n">
        <f aca="false">IF($G$11=$E$11,$F$11,IF(U520&lt;($F$11-$E$11)/($G$11-$E$11),$E$11+SQRT(U520*($G$11-$E$11)*($F$11-$E$11)),$G$11-SQRT((1-U520)*($G$11-$E$11)*($G$11-$F$11))))</f>
        <v>0.110670819646436</v>
      </c>
      <c r="H520" s="53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-2249678395.64571</v>
      </c>
      <c r="I520" s="53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18228524.6280145</v>
      </c>
      <c r="J520" s="53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336689883.967145</v>
      </c>
      <c r="K520" s="53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711393203.197417</v>
      </c>
      <c r="L520" s="53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851698618.118108</v>
      </c>
      <c r="M520" s="53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1039532574.72683</v>
      </c>
      <c r="N520" s="53" t="n">
        <f aca="false">IF(COUNT('Business Case'!B11:G11)=0,"",H520+NPV(G520,I520:M520))</f>
        <v>-266371204.382591</v>
      </c>
      <c r="P520" s="54" t="n">
        <f aca="true">RAND()</f>
        <v>0.895471118352567</v>
      </c>
      <c r="Q520" s="54" t="n">
        <f aca="true">RAND()</f>
        <v>0.527714974151058</v>
      </c>
      <c r="R520" s="54" t="n">
        <f aca="true">RAND()</f>
        <v>0.23318976091296</v>
      </c>
      <c r="S520" s="54" t="n">
        <f aca="true">RAND()</f>
        <v>0.144319914780849</v>
      </c>
      <c r="T520" s="54" t="n">
        <f aca="true">RAND()</f>
        <v>0.791130314644978</v>
      </c>
      <c r="U520" s="54" t="n">
        <f aca="true">RAND()</f>
        <v>0.750921857906275</v>
      </c>
    </row>
    <row r="521" customFormat="false" ht="15" hidden="false" customHeight="false" outlineLevel="0" collapsed="false">
      <c r="A521" s="50" t="n">
        <v>441</v>
      </c>
      <c r="B521" s="51" t="n">
        <f aca="false">1+IF($G$6=$E$6,$F$6,IF(P521&lt;($F$6-$E$6)/($G$6-$E$6),$E$6+SQRT(P521*($G$6-$E$6)*($F$6-$E$6)),$G$6-SQRT((1-P521)*($G$6-$E$6)*($G$6-$F$6))))</f>
        <v>0.98199934092448</v>
      </c>
      <c r="C521" s="51" t="n">
        <f aca="false">1+IF($G$7=$E$7,$F$7,IF(Q521&lt;($F$7-$E$7)/($G$7-$E$7),$E$7+SQRT(Q521*($G$7-$E$7)*($F$7-$E$7)),$G$7-SQRT((1-Q521)*($G$7-$E$7)*($G$7-$F$7))))</f>
        <v>0.948827357607062</v>
      </c>
      <c r="D521" s="51" t="n">
        <f aca="false">1+IF($G$8=$E$8,$F$8,IF(R521&lt;($F$8-$E$8)/($G$8-$E$8),$E$8+SQRT(R521*($G$8-$E$8)*($F$8-$E$8)),$G$8-SQRT((1-R521)*($G$8-$E$8)*($G$8-$F$8))))</f>
        <v>1.04787113193701</v>
      </c>
      <c r="E521" s="51" t="n">
        <f aca="false">1+IF($G$9=$E$9,$F$9,IF(S521&lt;($F$9-$E$9)/($G$9-$E$9),$E$9+SQRT(S521*($G$9-$E$9)*($F$9-$E$9)),$G$9-SQRT((1-S521)*($G$9-$E$9)*($G$9-$F$9))))</f>
        <v>0.989643192812117</v>
      </c>
      <c r="F521" s="51" t="n">
        <f aca="false">1+IF($G$10=$E$10,$F$10,IF(T521&lt;($F$10-$E$10)/($G$10-$E$10),$E$10+SQRT(T521*($G$10-$E$10)*($F$10-$E$10)),$G$10-SQRT((1-T521)*($G$10-$E$10)*($G$10-$F$10))))</f>
        <v>1.15035745192828</v>
      </c>
      <c r="G521" s="52" t="n">
        <f aca="false">IF($G$11=$E$11,$F$11,IF(U521&lt;($F$11-$E$11)/($G$11-$E$11),$E$11+SQRT(U521*($G$11-$E$11)*($F$11-$E$11)),$G$11-SQRT((1-U521)*($G$11-$E$11)*($G$11-$F$11))))</f>
        <v>0.105468183081209</v>
      </c>
      <c r="H521" s="53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-2300714903.85655</v>
      </c>
      <c r="I521" s="53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-49872092.8461942</v>
      </c>
      <c r="J521" s="53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204320629.534656</v>
      </c>
      <c r="K521" s="53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516031224.51192</v>
      </c>
      <c r="L521" s="53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632963337.316426</v>
      </c>
      <c r="M521" s="53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810069966.709649</v>
      </c>
      <c r="N521" s="53" t="n">
        <f aca="false">IF(COUNT('Business Case'!B11:G11)=0,"",H521+NPV(G521,I521:M521))</f>
        <v>-882154408.167942</v>
      </c>
      <c r="P521" s="54" t="n">
        <f aca="true">RAND()</f>
        <v>0.448259460803275</v>
      </c>
      <c r="Q521" s="54" t="n">
        <f aca="true">RAND()</f>
        <v>0.458630028842316</v>
      </c>
      <c r="R521" s="54" t="n">
        <f aca="true">RAND()</f>
        <v>0.818838740964766</v>
      </c>
      <c r="S521" s="54" t="n">
        <f aca="true">RAND()</f>
        <v>0.321436080702019</v>
      </c>
      <c r="T521" s="54" t="n">
        <f aca="true">RAND()</f>
        <v>0.867618168183653</v>
      </c>
      <c r="U521" s="54" t="n">
        <f aca="true">RAND()</f>
        <v>0.598793305775265</v>
      </c>
    </row>
    <row r="522" customFormat="false" ht="15" hidden="false" customHeight="false" outlineLevel="0" collapsed="false">
      <c r="A522" s="50" t="n">
        <v>442</v>
      </c>
      <c r="B522" s="51" t="n">
        <f aca="false">1+IF($G$6=$E$6,$F$6,IF(P522&lt;($F$6-$E$6)/($G$6-$E$6),$E$6+SQRT(P522*($G$6-$E$6)*($F$6-$E$6)),$G$6-SQRT((1-P522)*($G$6-$E$6)*($G$6-$F$6))))</f>
        <v>0.978160438317304</v>
      </c>
      <c r="C522" s="51" t="n">
        <f aca="false">1+IF($G$7=$E$7,$F$7,IF(Q522&lt;($F$7-$E$7)/($G$7-$E$7),$E$7+SQRT(Q522*($G$7-$E$7)*($F$7-$E$7)),$G$7-SQRT((1-Q522)*($G$7-$E$7)*($G$7-$F$7))))</f>
        <v>1.08043950850222</v>
      </c>
      <c r="D522" s="51" t="n">
        <f aca="false">1+IF($G$8=$E$8,$F$8,IF(R522&lt;($F$8-$E$8)/($G$8-$E$8),$E$8+SQRT(R522*($G$8-$E$8)*($F$8-$E$8)),$G$8-SQRT((1-R522)*($G$8-$E$8)*($G$8-$F$8))))</f>
        <v>0.993847902027806</v>
      </c>
      <c r="E522" s="51" t="n">
        <f aca="false">1+IF($G$9=$E$9,$F$9,IF(S522&lt;($F$9-$E$9)/($G$9-$E$9),$E$9+SQRT(S522*($G$9-$E$9)*($F$9-$E$9)),$G$9-SQRT((1-S522)*($G$9-$E$9)*($G$9-$F$9))))</f>
        <v>0.916761291204573</v>
      </c>
      <c r="F522" s="51" t="n">
        <f aca="false">1+IF($G$10=$E$10,$F$10,IF(T522&lt;($F$10-$E$10)/($G$10-$E$10),$E$10+SQRT(T522*($G$10-$E$10)*($F$10-$E$10)),$G$10-SQRT((1-T522)*($G$10-$E$10)*($G$10-$F$10))))</f>
        <v>1.06450822966907</v>
      </c>
      <c r="G522" s="52" t="n">
        <f aca="false">IF($G$11=$E$11,$F$11,IF(U522&lt;($F$11-$E$11)/($G$11-$E$11),$E$11+SQRT(U522*($G$11-$E$11)*($F$11-$E$11)),$G$11-SQRT((1-U522)*($G$11-$E$11)*($G$11-$F$11))))</f>
        <v>0.0907218811763755</v>
      </c>
      <c r="H522" s="53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-2129016459.33815</v>
      </c>
      <c r="I522" s="53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24333754.106953</v>
      </c>
      <c r="J522" s="53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340268537.407807</v>
      </c>
      <c r="K522" s="53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709428732.192113</v>
      </c>
      <c r="L522" s="53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851264827.037534</v>
      </c>
      <c r="M522" s="53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1052149579.30244</v>
      </c>
      <c r="N522" s="53" t="n">
        <f aca="false">IF(COUNT('Business Case'!B11:G11)=0,"",H522+NPV(G522,I522:M522))</f>
        <v>9061408.12774682</v>
      </c>
      <c r="P522" s="54" t="n">
        <f aca="true">RAND()</f>
        <v>0.407270274530206</v>
      </c>
      <c r="Q522" s="54" t="n">
        <f aca="true">RAND()</f>
        <v>0.928316118853141</v>
      </c>
      <c r="R522" s="54" t="n">
        <f aca="true">RAND()</f>
        <v>0.25635180163201</v>
      </c>
      <c r="S522" s="54" t="n">
        <f aca="true">RAND()</f>
        <v>0.0112376353137799</v>
      </c>
      <c r="T522" s="54" t="n">
        <f aca="true">RAND()</f>
        <v>0.54123737519332</v>
      </c>
      <c r="U522" s="54" t="n">
        <f aca="true">RAND()</f>
        <v>0.114958735960315</v>
      </c>
    </row>
    <row r="523" customFormat="false" ht="15" hidden="false" customHeight="false" outlineLevel="0" collapsed="false">
      <c r="A523" s="50" t="n">
        <v>443</v>
      </c>
      <c r="B523" s="51" t="n">
        <f aca="false">1+IF($G$6=$E$6,$F$6,IF(P523&lt;($F$6-$E$6)/($G$6-$E$6),$E$6+SQRT(P523*($G$6-$E$6)*($F$6-$E$6)),$G$6-SQRT((1-P523)*($G$6-$E$6)*($G$6-$F$6))))</f>
        <v>0.975169154786047</v>
      </c>
      <c r="C523" s="51" t="n">
        <f aca="false">1+IF($G$7=$E$7,$F$7,IF(Q523&lt;($F$7-$E$7)/($G$7-$E$7),$E$7+SQRT(Q523*($G$7-$E$7)*($F$7-$E$7)),$G$7-SQRT((1-Q523)*($G$7-$E$7)*($G$7-$F$7))))</f>
        <v>0.915831154261061</v>
      </c>
      <c r="D523" s="51" t="n">
        <f aca="false">1+IF($G$8=$E$8,$F$8,IF(R523&lt;($F$8-$E$8)/($G$8-$E$8),$E$8+SQRT(R523*($G$8-$E$8)*($F$8-$E$8)),$G$8-SQRT((1-R523)*($G$8-$E$8)*($G$8-$F$8))))</f>
        <v>1.02398441464831</v>
      </c>
      <c r="E523" s="51" t="n">
        <f aca="false">1+IF($G$9=$E$9,$F$9,IF(S523&lt;($F$9-$E$9)/($G$9-$E$9),$E$9+SQRT(S523*($G$9-$E$9)*($F$9-$E$9)),$G$9-SQRT((1-S523)*($G$9-$E$9)*($G$9-$F$9))))</f>
        <v>1.07090310584677</v>
      </c>
      <c r="F523" s="51" t="n">
        <f aca="false">1+IF($G$10=$E$10,$F$10,IF(T523&lt;($F$10-$E$10)/($G$10-$E$10),$E$10+SQRT(T523*($G$10-$E$10)*($F$10-$E$10)),$G$10-SQRT((1-T523)*($G$10-$E$10)*($G$10-$F$10))))</f>
        <v>0.964758891226863</v>
      </c>
      <c r="G523" s="52" t="n">
        <f aca="false">IF($G$11=$E$11,$F$11,IF(U523&lt;($F$11-$E$11)/($G$11-$E$11),$E$11+SQRT(U523*($G$11-$E$11)*($F$11-$E$11)),$G$11-SQRT((1-U523)*($G$11-$E$11)*($G$11-$F$11))))</f>
        <v>0.1042970067269</v>
      </c>
      <c r="H523" s="53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-1929517782.45373</v>
      </c>
      <c r="I523" s="53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-43627811.7819541</v>
      </c>
      <c r="J523" s="53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207800487.979998</v>
      </c>
      <c r="K523" s="53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507466732.303294</v>
      </c>
      <c r="L523" s="53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622141366.070484</v>
      </c>
      <c r="M523" s="53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791899968.893117</v>
      </c>
      <c r="N523" s="53" t="n">
        <f aca="false">IF(COUNT('Business Case'!B11:G11)=0,"",H523+NPV(G523,I523:M523))</f>
        <v>-521218564.03558</v>
      </c>
      <c r="P523" s="54" t="n">
        <f aca="true">RAND()</f>
        <v>0.376693455416575</v>
      </c>
      <c r="Q523" s="54" t="n">
        <f aca="true">RAND()</f>
        <v>0.34505990481231</v>
      </c>
      <c r="R523" s="54" t="n">
        <f aca="true">RAND()</f>
        <v>0.614775385576013</v>
      </c>
      <c r="S523" s="54" t="n">
        <f aca="true">RAND()</f>
        <v>0.833164835608357</v>
      </c>
      <c r="T523" s="54" t="n">
        <f aca="true">RAND()</f>
        <v>0.0145216580164248</v>
      </c>
      <c r="U523" s="54" t="n">
        <f aca="true">RAND()</f>
        <v>0.55957075786865</v>
      </c>
    </row>
    <row r="524" customFormat="false" ht="15" hidden="false" customHeight="false" outlineLevel="0" collapsed="false">
      <c r="A524" s="50" t="n">
        <v>444</v>
      </c>
      <c r="B524" s="51" t="n">
        <f aca="false">1+IF($G$6=$E$6,$F$6,IF(P524&lt;($F$6-$E$6)/($G$6-$E$6),$E$6+SQRT(P524*($G$6-$E$6)*($F$6-$E$6)),$G$6-SQRT((1-P524)*($G$6-$E$6)*($G$6-$F$6))))</f>
        <v>0.969611401500787</v>
      </c>
      <c r="C524" s="51" t="n">
        <f aca="false">1+IF($G$7=$E$7,$F$7,IF(Q524&lt;($F$7-$E$7)/($G$7-$E$7),$E$7+SQRT(Q524*($G$7-$E$7)*($F$7-$E$7)),$G$7-SQRT((1-Q524)*($G$7-$E$7)*($G$7-$F$7))))</f>
        <v>1.09491828590723</v>
      </c>
      <c r="D524" s="51" t="n">
        <f aca="false">1+IF($G$8=$E$8,$F$8,IF(R524&lt;($F$8-$E$8)/($G$8-$E$8),$E$8+SQRT(R524*($G$8-$E$8)*($F$8-$E$8)),$G$8-SQRT((1-R524)*($G$8-$E$8)*($G$8-$F$8))))</f>
        <v>1.00286010968092</v>
      </c>
      <c r="E524" s="51" t="n">
        <f aca="false">1+IF($G$9=$E$9,$F$9,IF(S524&lt;($F$9-$E$9)/($G$9-$E$9),$E$9+SQRT(S524*($G$9-$E$9)*($F$9-$E$9)),$G$9-SQRT((1-S524)*($G$9-$E$9)*($G$9-$F$9))))</f>
        <v>1.03358750641064</v>
      </c>
      <c r="F524" s="51" t="n">
        <f aca="false">1+IF($G$10=$E$10,$F$10,IF(T524&lt;($F$10-$E$10)/($G$10-$E$10),$E$10+SQRT(T524*($G$10-$E$10)*($F$10-$E$10)),$G$10-SQRT((1-T524)*($G$10-$E$10)*($G$10-$F$10))))</f>
        <v>1.09821549591315</v>
      </c>
      <c r="G524" s="52" t="n">
        <f aca="false">IF($G$11=$E$11,$F$11,IF(U524&lt;($F$11-$E$11)/($G$11-$E$11),$E$11+SQRT(U524*($G$11-$E$11)*($F$11-$E$11)),$G$11-SQRT((1-U524)*($G$11-$E$11)*($G$11-$F$11))))</f>
        <v>0.0824307818855199</v>
      </c>
      <c r="H524" s="53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-2196430991.8263</v>
      </c>
      <c r="I524" s="53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-4383172.32122764</v>
      </c>
      <c r="J524" s="53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303067038.313678</v>
      </c>
      <c r="K524" s="53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665428023.744241</v>
      </c>
      <c r="L524" s="53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804601887.258027</v>
      </c>
      <c r="M524" s="53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1006399417.08652</v>
      </c>
      <c r="N524" s="53" t="n">
        <f aca="false">IF(COUNT('Business Case'!B11:G11)=0,"",H524+NPV(G524,I524:M524))</f>
        <v>-153733323.26172</v>
      </c>
      <c r="P524" s="54" t="n">
        <f aca="true">RAND()</f>
        <v>0.323049814593585</v>
      </c>
      <c r="Q524" s="54" t="n">
        <f aca="true">RAND()</f>
        <v>0.955051922557073</v>
      </c>
      <c r="R524" s="54" t="n">
        <f aca="true">RAND()</f>
        <v>0.370922780586514</v>
      </c>
      <c r="S524" s="54" t="n">
        <f aca="true">RAND()</f>
        <v>0.638616835634829</v>
      </c>
      <c r="T524" s="54" t="n">
        <f aca="true">RAND()</f>
        <v>0.692819524254791</v>
      </c>
      <c r="U524" s="54" t="n">
        <f aca="true">RAND()</f>
        <v>0.00590870057497178</v>
      </c>
    </row>
    <row r="525" customFormat="false" ht="15" hidden="false" customHeight="false" outlineLevel="0" collapsed="false">
      <c r="A525" s="50" t="n">
        <v>445</v>
      </c>
      <c r="B525" s="51" t="n">
        <f aca="false">1+IF($G$6=$E$6,$F$6,IF(P525&lt;($F$6-$E$6)/($G$6-$E$6),$E$6+SQRT(P525*($G$6-$E$6)*($F$6-$E$6)),$G$6-SQRT((1-P525)*($G$6-$E$6)*($G$6-$F$6))))</f>
        <v>0.959403233788713</v>
      </c>
      <c r="C525" s="51" t="n">
        <f aca="false">1+IF($G$7=$E$7,$F$7,IF(Q525&lt;($F$7-$E$7)/($G$7-$E$7),$E$7+SQRT(Q525*($G$7-$E$7)*($F$7-$E$7)),$G$7-SQRT((1-Q525)*($G$7-$E$7)*($G$7-$F$7))))</f>
        <v>1.1097116144907</v>
      </c>
      <c r="D525" s="51" t="n">
        <f aca="false">1+IF($G$8=$E$8,$F$8,IF(R525&lt;($F$8-$E$8)/($G$8-$E$8),$E$8+SQRT(R525*($G$8-$E$8)*($F$8-$E$8)),$G$8-SQRT((1-R525)*($G$8-$E$8)*($G$8-$F$8))))</f>
        <v>1.03066336761772</v>
      </c>
      <c r="E525" s="51" t="n">
        <f aca="false">1+IF($G$9=$E$9,$F$9,IF(S525&lt;($F$9-$E$9)/($G$9-$E$9),$E$9+SQRT(S525*($G$9-$E$9)*($F$9-$E$9)),$G$9-SQRT((1-S525)*($G$9-$E$9)*($G$9-$F$9))))</f>
        <v>0.989070151944974</v>
      </c>
      <c r="F525" s="51" t="n">
        <f aca="false">1+IF($G$10=$E$10,$F$10,IF(T525&lt;($F$10-$E$10)/($G$10-$E$10),$E$10+SQRT(T525*($G$10-$E$10)*($F$10-$E$10)),$G$10-SQRT((1-T525)*($G$10-$E$10)*($G$10-$F$10))))</f>
        <v>1.13561134310544</v>
      </c>
      <c r="G525" s="52" t="n">
        <f aca="false">IF($G$11=$E$11,$F$11,IF(U525&lt;($F$11-$E$11)/($G$11-$E$11),$E$11+SQRT(U525*($G$11-$E$11)*($F$11-$E$11)),$G$11-SQRT((1-U525)*($G$11-$E$11)*($G$11-$F$11))))</f>
        <v>0.114621549620568</v>
      </c>
      <c r="H525" s="53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-2271222686.21087</v>
      </c>
      <c r="I525" s="53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-22867914.4785078</v>
      </c>
      <c r="J525" s="53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263663102.613055</v>
      </c>
      <c r="K525" s="53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606974686.85989</v>
      </c>
      <c r="L525" s="53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739279706.992379</v>
      </c>
      <c r="M525" s="53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941650453.053203</v>
      </c>
      <c r="N525" s="53" t="n">
        <f aca="false">IF(COUNT('Business Case'!B11:G11)=0,"",H525+NPV(G525,I525:M525))</f>
        <v>-614904110.728327</v>
      </c>
      <c r="P525" s="54" t="n">
        <f aca="true">RAND()</f>
        <v>0.235249612303769</v>
      </c>
      <c r="Q525" s="54" t="n">
        <f aca="true">RAND()</f>
        <v>0.975953273971172</v>
      </c>
      <c r="R525" s="54" t="n">
        <f aca="true">RAND()</f>
        <v>0.679495427325658</v>
      </c>
      <c r="S525" s="54" t="n">
        <f aca="true">RAND()</f>
        <v>0.317339678700027</v>
      </c>
      <c r="T525" s="54" t="n">
        <f aca="true">RAND()</f>
        <v>0.825536468984774</v>
      </c>
      <c r="U525" s="54" t="n">
        <f aca="true">RAND()</f>
        <v>0.842335509284892</v>
      </c>
    </row>
    <row r="526" customFormat="false" ht="15" hidden="false" customHeight="false" outlineLevel="0" collapsed="false">
      <c r="A526" s="50" t="n">
        <v>446</v>
      </c>
      <c r="B526" s="51" t="n">
        <f aca="false">1+IF($G$6=$E$6,$F$6,IF(P526&lt;($F$6-$E$6)/($G$6-$E$6),$E$6+SQRT(P526*($G$6-$E$6)*($F$6-$E$6)),$G$6-SQRT((1-P526)*($G$6-$E$6)*($G$6-$F$6))))</f>
        <v>1.0102435695358</v>
      </c>
      <c r="C526" s="51" t="n">
        <f aca="false">1+IF($G$7=$E$7,$F$7,IF(Q526&lt;($F$7-$E$7)/($G$7-$E$7),$E$7+SQRT(Q526*($G$7-$E$7)*($F$7-$E$7)),$G$7-SQRT((1-Q526)*($G$7-$E$7)*($G$7-$F$7))))</f>
        <v>0.839752712708875</v>
      </c>
      <c r="D526" s="51" t="n">
        <f aca="false">1+IF($G$8=$E$8,$F$8,IF(R526&lt;($F$8-$E$8)/($G$8-$E$8),$E$8+SQRT(R526*($G$8-$E$8)*($F$8-$E$8)),$G$8-SQRT((1-R526)*($G$8-$E$8)*($G$8-$F$8))))</f>
        <v>1.0175226483033</v>
      </c>
      <c r="E526" s="51" t="n">
        <f aca="false">1+IF($G$9=$E$9,$F$9,IF(S526&lt;($F$9-$E$9)/($G$9-$E$9),$E$9+SQRT(S526*($G$9-$E$9)*($F$9-$E$9)),$G$9-SQRT((1-S526)*($G$9-$E$9)*($G$9-$F$9))))</f>
        <v>1.00623499264176</v>
      </c>
      <c r="F526" s="51" t="n">
        <f aca="false">1+IF($G$10=$E$10,$F$10,IF(T526&lt;($F$10-$E$10)/($G$10-$E$10),$E$10+SQRT(T526*($G$10-$E$10)*($F$10-$E$10)),$G$10-SQRT((1-T526)*($G$10-$E$10)*($G$10-$F$10))))</f>
        <v>0.969737318513866</v>
      </c>
      <c r="G526" s="52" t="n">
        <f aca="false">IF($G$11=$E$11,$F$11,IF(U526&lt;($F$11-$E$11)/($G$11-$E$11),$E$11+SQRT(U526*($G$11-$E$11)*($F$11-$E$11)),$G$11-SQRT((1-U526)*($G$11-$E$11)*($G$11-$F$11))))</f>
        <v>0.113069054579178</v>
      </c>
      <c r="H526" s="53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-1939474637.02773</v>
      </c>
      <c r="I526" s="53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-26594368.294751</v>
      </c>
      <c r="J526" s="53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230850322.907809</v>
      </c>
      <c r="K526" s="53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536781880.036062</v>
      </c>
      <c r="L526" s="53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651915918.231759</v>
      </c>
      <c r="M526" s="53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813171194.436734</v>
      </c>
      <c r="N526" s="53" t="n">
        <f aca="false">IF(COUNT('Business Case'!B11:G11)=0,"",H526+NPV(G526,I526:M526))</f>
        <v>-487101861.716907</v>
      </c>
      <c r="P526" s="54" t="n">
        <f aca="true">RAND()</f>
        <v>0.78925683156603</v>
      </c>
      <c r="Q526" s="54" t="n">
        <f aca="true">RAND()</f>
        <v>0.144672745996218</v>
      </c>
      <c r="R526" s="54" t="n">
        <f aca="true">RAND()</f>
        <v>0.54649909713989</v>
      </c>
      <c r="S526" s="54" t="n">
        <f aca="true">RAND()</f>
        <v>0.448843270914287</v>
      </c>
      <c r="T526" s="54" t="n">
        <f aca="true">RAND()</f>
        <v>0.0259707828078519</v>
      </c>
      <c r="U526" s="54" t="n">
        <f aca="true">RAND()</f>
        <v>0.808895391438102</v>
      </c>
    </row>
    <row r="527" customFormat="false" ht="15" hidden="false" customHeight="false" outlineLevel="0" collapsed="false">
      <c r="A527" s="50" t="n">
        <v>447</v>
      </c>
      <c r="B527" s="51" t="n">
        <f aca="false">1+IF($G$6=$E$6,$F$6,IF(P527&lt;($F$6-$E$6)/($G$6-$E$6),$E$6+SQRT(P527*($G$6-$E$6)*($F$6-$E$6)),$G$6-SQRT((1-P527)*($G$6-$E$6)*($G$6-$F$6))))</f>
        <v>0.987142828367069</v>
      </c>
      <c r="C527" s="51" t="n">
        <f aca="false">1+IF($G$7=$E$7,$F$7,IF(Q527&lt;($F$7-$E$7)/($G$7-$E$7),$E$7+SQRT(Q527*($G$7-$E$7)*($F$7-$E$7)),$G$7-SQRT((1-Q527)*($G$7-$E$7)*($G$7-$F$7))))</f>
        <v>0.976707729069725</v>
      </c>
      <c r="D527" s="51" t="n">
        <f aca="false">1+IF($G$8=$E$8,$F$8,IF(R527&lt;($F$8-$E$8)/($G$8-$E$8),$E$8+SQRT(R527*($G$8-$E$8)*($F$8-$E$8)),$G$8-SQRT((1-R527)*($G$8-$E$8)*($G$8-$F$8))))</f>
        <v>1.00275434194948</v>
      </c>
      <c r="E527" s="51" t="n">
        <f aca="false">1+IF($G$9=$E$9,$F$9,IF(S527&lt;($F$9-$E$9)/($G$9-$E$9),$E$9+SQRT(S527*($G$9-$E$9)*($F$9-$E$9)),$G$9-SQRT((1-S527)*($G$9-$E$9)*($G$9-$F$9))))</f>
        <v>1.02497383514986</v>
      </c>
      <c r="F527" s="51" t="n">
        <f aca="false">1+IF($G$10=$E$10,$F$10,IF(T527&lt;($F$10-$E$10)/($G$10-$E$10),$E$10+SQRT(T527*($G$10-$E$10)*($F$10-$E$10)),$G$10-SQRT((1-T527)*($G$10-$E$10)*($G$10-$F$10))))</f>
        <v>0.968914473656377</v>
      </c>
      <c r="G527" s="52" t="n">
        <f aca="false">IF($G$11=$E$11,$F$11,IF(U527&lt;($F$11-$E$11)/($G$11-$E$11),$E$11+SQRT(U527*($G$11-$E$11)*($F$11-$E$11)),$G$11-SQRT((1-U527)*($G$11-$E$11)*($G$11-$F$11))))</f>
        <v>0.0897605484572552</v>
      </c>
      <c r="H527" s="53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-1937828947.31275</v>
      </c>
      <c r="I527" s="53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-4289352.01333225</v>
      </c>
      <c r="J527" s="53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284045560.260875</v>
      </c>
      <c r="K527" s="53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620826196.2179</v>
      </c>
      <c r="L527" s="53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750258858.68503</v>
      </c>
      <c r="M527" s="53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933524496.418198</v>
      </c>
      <c r="N527" s="53" t="n">
        <f aca="false">IF(COUNT('Business Case'!B11:G11)=0,"",H527+NPV(G527,I527:M527))</f>
        <v>-83513318.1813078</v>
      </c>
      <c r="P527" s="54" t="n">
        <f aca="true">RAND()</f>
        <v>0.506258169054167</v>
      </c>
      <c r="Q527" s="54" t="n">
        <f aca="true">RAND()</f>
        <v>0.567164202421663</v>
      </c>
      <c r="R527" s="54" t="n">
        <f aca="true">RAND()</f>
        <v>0.369552132688066</v>
      </c>
      <c r="S527" s="54" t="n">
        <f aca="true">RAND()</f>
        <v>0.583158882743095</v>
      </c>
      <c r="T527" s="54" t="n">
        <f aca="true">RAND()</f>
        <v>0.0238504875798516</v>
      </c>
      <c r="U527" s="54" t="n">
        <f aca="true">RAND()</f>
        <v>0.0952683061864263</v>
      </c>
    </row>
    <row r="528" customFormat="false" ht="15" hidden="false" customHeight="false" outlineLevel="0" collapsed="false">
      <c r="A528" s="50" t="n">
        <v>448</v>
      </c>
      <c r="B528" s="51" t="n">
        <f aca="false">1+IF($G$6=$E$6,$F$6,IF(P528&lt;($F$6-$E$6)/($G$6-$E$6),$E$6+SQRT(P528*($G$6-$E$6)*($F$6-$E$6)),$G$6-SQRT((1-P528)*($G$6-$E$6)*($G$6-$F$6))))</f>
        <v>1.0366130534437</v>
      </c>
      <c r="C528" s="51" t="n">
        <f aca="false">1+IF($G$7=$E$7,$F$7,IF(Q528&lt;($F$7-$E$7)/($G$7-$E$7),$E$7+SQRT(Q528*($G$7-$E$7)*($F$7-$E$7)),$G$7-SQRT((1-Q528)*($G$7-$E$7)*($G$7-$F$7))))</f>
        <v>0.984005271379322</v>
      </c>
      <c r="D528" s="51" t="n">
        <f aca="false">1+IF($G$8=$E$8,$F$8,IF(R528&lt;($F$8-$E$8)/($G$8-$E$8),$E$8+SQRT(R528*($G$8-$E$8)*($F$8-$E$8)),$G$8-SQRT((1-R528)*($G$8-$E$8)*($G$8-$F$8))))</f>
        <v>1.01304102397076</v>
      </c>
      <c r="E528" s="51" t="n">
        <f aca="false">1+IF($G$9=$E$9,$F$9,IF(S528&lt;($F$9-$E$9)/($G$9-$E$9),$E$9+SQRT(S528*($G$9-$E$9)*($F$9-$E$9)),$G$9-SQRT((1-S528)*($G$9-$E$9)*($G$9-$F$9))))</f>
        <v>0.956341139747023</v>
      </c>
      <c r="F528" s="51" t="n">
        <f aca="false">1+IF($G$10=$E$10,$F$10,IF(T528&lt;($F$10-$E$10)/($G$10-$E$10),$E$10+SQRT(T528*($G$10-$E$10)*($F$10-$E$10)),$G$10-SQRT((1-T528)*($G$10-$E$10)*($G$10-$F$10))))</f>
        <v>1.02692058355081</v>
      </c>
      <c r="G528" s="52" t="n">
        <f aca="false">IF($G$11=$E$11,$F$11,IF(U528&lt;($F$11-$E$11)/($G$11-$E$11),$E$11+SQRT(U528*($G$11-$E$11)*($F$11-$E$11)),$G$11-SQRT((1-U528)*($G$11-$E$11)*($G$11-$F$11))))</f>
        <v>0.107465057908736</v>
      </c>
      <c r="H528" s="53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-2053841167.10162</v>
      </c>
      <c r="I528" s="53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33616807.6094886</v>
      </c>
      <c r="J528" s="53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358795879.279049</v>
      </c>
      <c r="K528" s="53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735320980.12615</v>
      </c>
      <c r="L528" s="53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878966334.437979</v>
      </c>
      <c r="M528" s="53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1072854151.75885</v>
      </c>
      <c r="N528" s="53" t="n">
        <f aca="false">IF(COUNT('Business Case'!B11:G11)=0,"",H528+NPV(G528,I528:M528))</f>
        <v>38744600.6569567</v>
      </c>
      <c r="P528" s="54" t="n">
        <f aca="true">RAND()</f>
        <v>0.976105288253184</v>
      </c>
      <c r="Q528" s="54" t="n">
        <f aca="true">RAND()</f>
        <v>0.597474030898092</v>
      </c>
      <c r="R528" s="54" t="n">
        <f aca="true">RAND()</f>
        <v>0.495875765863013</v>
      </c>
      <c r="S528" s="54" t="n">
        <f aca="true">RAND()</f>
        <v>0.126972961119742</v>
      </c>
      <c r="T528" s="54" t="n">
        <f aca="true">RAND()</f>
        <v>0.336474319422503</v>
      </c>
      <c r="U528" s="54" t="n">
        <f aca="true">RAND()</f>
        <v>0.661450923295597</v>
      </c>
    </row>
    <row r="529" customFormat="false" ht="15" hidden="false" customHeight="false" outlineLevel="0" collapsed="false">
      <c r="A529" s="50" t="n">
        <v>449</v>
      </c>
      <c r="B529" s="51" t="n">
        <f aca="false">1+IF($G$6=$E$6,$F$6,IF(P529&lt;($F$6-$E$6)/($G$6-$E$6),$E$6+SQRT(P529*($G$6-$E$6)*($F$6-$E$6)),$G$6-SQRT((1-P529)*($G$6-$E$6)*($G$6-$F$6))))</f>
        <v>1.00619331232318</v>
      </c>
      <c r="C529" s="51" t="n">
        <f aca="false">1+IF($G$7=$E$7,$F$7,IF(Q529&lt;($F$7-$E$7)/($G$7-$E$7),$E$7+SQRT(Q529*($G$7-$E$7)*($F$7-$E$7)),$G$7-SQRT((1-Q529)*($G$7-$E$7)*($G$7-$F$7))))</f>
        <v>0.837694159657775</v>
      </c>
      <c r="D529" s="51" t="n">
        <f aca="false">1+IF($G$8=$E$8,$F$8,IF(R529&lt;($F$8-$E$8)/($G$8-$E$8),$E$8+SQRT(R529*($G$8-$E$8)*($F$8-$E$8)),$G$8-SQRT((1-R529)*($G$8-$E$8)*($G$8-$F$8))))</f>
        <v>1.00708805287276</v>
      </c>
      <c r="E529" s="51" t="n">
        <f aca="false">1+IF($G$9=$E$9,$F$9,IF(S529&lt;($F$9-$E$9)/($G$9-$E$9),$E$9+SQRT(S529*($G$9-$E$9)*($F$9-$E$9)),$G$9-SQRT((1-S529)*($G$9-$E$9)*($G$9-$F$9))))</f>
        <v>1.10003841197803</v>
      </c>
      <c r="F529" s="51" t="n">
        <f aca="false">1+IF($G$10=$E$10,$F$10,IF(T529&lt;($F$10-$E$10)/($G$10-$E$10),$E$10+SQRT(T529*($G$10-$E$10)*($F$10-$E$10)),$G$10-SQRT((1-T529)*($G$10-$E$10)*($G$10-$F$10))))</f>
        <v>1.17350893925645</v>
      </c>
      <c r="G529" s="52" t="n">
        <f aca="false">IF($G$11=$E$11,$F$11,IF(U529&lt;($F$11-$E$11)/($G$11-$E$11),$E$11+SQRT(U529*($G$11-$E$11)*($F$11-$E$11)),$G$11-SQRT((1-U529)*($G$11-$E$11)*($G$11-$F$11))))</f>
        <v>0.118751756364286</v>
      </c>
      <c r="H529" s="53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-2347017878.5129</v>
      </c>
      <c r="I529" s="53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-58962093.9644348</v>
      </c>
      <c r="J529" s="53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199547184.601688</v>
      </c>
      <c r="K529" s="53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516731910.130632</v>
      </c>
      <c r="L529" s="53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632031680.600431</v>
      </c>
      <c r="M529" s="53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792246740.813098</v>
      </c>
      <c r="N529" s="53" t="n">
        <f aca="false">IF(COUNT('Business Case'!B11:G11)=0,"",H529+NPV(G529,I529:M529))</f>
        <v>-1015737561.95247</v>
      </c>
      <c r="P529" s="54" t="n">
        <f aca="true">RAND()</f>
        <v>0.744129881971407</v>
      </c>
      <c r="Q529" s="54" t="n">
        <f aca="true">RAND()</f>
        <v>0.140442085954524</v>
      </c>
      <c r="R529" s="54" t="n">
        <f aca="true">RAND()</f>
        <v>0.424491338734965</v>
      </c>
      <c r="S529" s="54" t="n">
        <f aca="true">RAND()</f>
        <v>0.933435725928603</v>
      </c>
      <c r="T529" s="54" t="n">
        <f aca="true">RAND()</f>
        <v>0.921988235017691</v>
      </c>
      <c r="U529" s="54" t="n">
        <f aca="true">RAND()</f>
        <v>0.915651343407752</v>
      </c>
    </row>
    <row r="530" customFormat="false" ht="15" hidden="false" customHeight="false" outlineLevel="0" collapsed="false">
      <c r="A530" s="50" t="n">
        <v>450</v>
      </c>
      <c r="B530" s="51" t="n">
        <f aca="false">1+IF($G$6=$E$6,$F$6,IF(P530&lt;($F$6-$E$6)/($G$6-$E$6),$E$6+SQRT(P530*($G$6-$E$6)*($F$6-$E$6)),$G$6-SQRT((1-P530)*($G$6-$E$6)*($G$6-$F$6))))</f>
        <v>0.942298127754773</v>
      </c>
      <c r="C530" s="51" t="n">
        <f aca="false">1+IF($G$7=$E$7,$F$7,IF(Q530&lt;($F$7-$E$7)/($G$7-$E$7),$E$7+SQRT(Q530*($G$7-$E$7)*($F$7-$E$7)),$G$7-SQRT((1-Q530)*($G$7-$E$7)*($G$7-$F$7))))</f>
        <v>0.741628718614178</v>
      </c>
      <c r="D530" s="51" t="n">
        <f aca="false">1+IF($G$8=$E$8,$F$8,IF(R530&lt;($F$8-$E$8)/($G$8-$E$8),$E$8+SQRT(R530*($G$8-$E$8)*($F$8-$E$8)),$G$8-SQRT((1-R530)*($G$8-$E$8)*($G$8-$F$8))))</f>
        <v>0.994441671718313</v>
      </c>
      <c r="E530" s="51" t="n">
        <f aca="false">1+IF($G$9=$E$9,$F$9,IF(S530&lt;($F$9-$E$9)/($G$9-$E$9),$E$9+SQRT(S530*($G$9-$E$9)*($F$9-$E$9)),$G$9-SQRT((1-S530)*($G$9-$E$9)*($G$9-$F$9))))</f>
        <v>1.08743655179187</v>
      </c>
      <c r="F530" s="51" t="n">
        <f aca="false">1+IF($G$10=$E$10,$F$10,IF(T530&lt;($F$10-$E$10)/($G$10-$E$10),$E$10+SQRT(T530*($G$10-$E$10)*($F$10-$E$10)),$G$10-SQRT((1-T530)*($G$10-$E$10)*($G$10-$F$10))))</f>
        <v>1.00252903494848</v>
      </c>
      <c r="G530" s="52" t="n">
        <f aca="false">IF($G$11=$E$11,$F$11,IF(U530&lt;($F$11-$E$11)/($G$11-$E$11),$E$11+SQRT(U530*($G$11-$E$11)*($F$11-$E$11)),$G$11-SQRT((1-U530)*($G$11-$E$11)*($G$11-$F$11))))</f>
        <v>0.11345488636375</v>
      </c>
      <c r="H530" s="53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-2005058069.89697</v>
      </c>
      <c r="I530" s="53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-96261864.4556693</v>
      </c>
      <c r="J530" s="53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98590276.9498715</v>
      </c>
      <c r="K530" s="53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343568870.102837</v>
      </c>
      <c r="L530" s="53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432671333.705723</v>
      </c>
      <c r="M530" s="53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565505957.611435</v>
      </c>
      <c r="N530" s="53" t="n">
        <f aca="false">IF(COUNT('Business Case'!B11:G11)=0,"",H530+NPV(G530,I530:M530))</f>
        <v>-1151186806.94821</v>
      </c>
      <c r="P530" s="54" t="n">
        <f aca="true">RAND()</f>
        <v>0.119275440770607</v>
      </c>
      <c r="Q530" s="54" t="n">
        <f aca="true">RAND()</f>
        <v>0.0128366682478397</v>
      </c>
      <c r="R530" s="54" t="n">
        <f aca="true">RAND()</f>
        <v>0.263341624682435</v>
      </c>
      <c r="S530" s="54" t="n">
        <f aca="true">RAND()</f>
        <v>0.895621731954896</v>
      </c>
      <c r="T530" s="54" t="n">
        <f aca="true">RAND()</f>
        <v>0.183441619419619</v>
      </c>
      <c r="U530" s="54" t="n">
        <f aca="true">RAND()</f>
        <v>0.817506143175724</v>
      </c>
    </row>
    <row r="531" customFormat="false" ht="15" hidden="false" customHeight="false" outlineLevel="0" collapsed="false">
      <c r="A531" s="50" t="n">
        <v>451</v>
      </c>
      <c r="B531" s="51" t="n">
        <f aca="false">1+IF($G$6=$E$6,$F$6,IF(P531&lt;($F$6-$E$6)/($G$6-$E$6),$E$6+SQRT(P531*($G$6-$E$6)*($F$6-$E$6)),$G$6-SQRT((1-P531)*($G$6-$E$6)*($G$6-$F$6))))</f>
        <v>1.02673467695068</v>
      </c>
      <c r="C531" s="51" t="n">
        <f aca="false">1+IF($G$7=$E$7,$F$7,IF(Q531&lt;($F$7-$E$7)/($G$7-$E$7),$E$7+SQRT(Q531*($G$7-$E$7)*($F$7-$E$7)),$G$7-SQRT((1-Q531)*($G$7-$E$7)*($G$7-$F$7))))</f>
        <v>1.00717484530466</v>
      </c>
      <c r="D531" s="51" t="n">
        <f aca="false">1+IF($G$8=$E$8,$F$8,IF(R531&lt;($F$8-$E$8)/($G$8-$E$8),$E$8+SQRT(R531*($G$8-$E$8)*($F$8-$E$8)),$G$8-SQRT((1-R531)*($G$8-$E$8)*($G$8-$F$8))))</f>
        <v>1.06224316846129</v>
      </c>
      <c r="E531" s="51" t="n">
        <f aca="false">1+IF($G$9=$E$9,$F$9,IF(S531&lt;($F$9-$E$9)/($G$9-$E$9),$E$9+SQRT(S531*($G$9-$E$9)*($F$9-$E$9)),$G$9-SQRT((1-S531)*($G$9-$E$9)*($G$9-$F$9))))</f>
        <v>0.971199187612191</v>
      </c>
      <c r="F531" s="51" t="n">
        <f aca="false">1+IF($G$10=$E$10,$F$10,IF(T531&lt;($F$10-$E$10)/($G$10-$E$10),$E$10+SQRT(T531*($G$10-$E$10)*($F$10-$E$10)),$G$10-SQRT((1-T531)*($G$10-$E$10)*($G$10-$F$10))))</f>
        <v>1.03109366784756</v>
      </c>
      <c r="G531" s="52" t="n">
        <f aca="false">IF($G$11=$E$11,$F$11,IF(U531&lt;($F$11-$E$11)/($G$11-$E$11),$E$11+SQRT(U531*($G$11-$E$11)*($F$11-$E$11)),$G$11-SQRT((1-U531)*($G$11-$E$11)*($G$11-$F$11))))</f>
        <v>0.10944825748014</v>
      </c>
      <c r="H531" s="53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-2062187335.69511</v>
      </c>
      <c r="I531" s="53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4496662.13383503</v>
      </c>
      <c r="J531" s="53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303815028.966761</v>
      </c>
      <c r="K531" s="53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654688079.192065</v>
      </c>
      <c r="L531" s="53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790199410.426962</v>
      </c>
      <c r="M531" s="53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986761393.025196</v>
      </c>
      <c r="N531" s="53" t="n">
        <f aca="false">IF(COUNT('Business Case'!B11:G11)=0,"",H531+NPV(G531,I531:M531))</f>
        <v>-223271543.611883</v>
      </c>
      <c r="P531" s="54" t="n">
        <f aca="true">RAND()</f>
        <v>0.927829965788104</v>
      </c>
      <c r="Q531" s="54" t="n">
        <f aca="true">RAND()</f>
        <v>0.697792224981521</v>
      </c>
      <c r="R531" s="54" t="n">
        <f aca="true">RAND()</f>
        <v>0.904961444810484</v>
      </c>
      <c r="S531" s="54" t="n">
        <f aca="true">RAND()</f>
        <v>0.202772972665438</v>
      </c>
      <c r="T531" s="54" t="n">
        <f aca="true">RAND()</f>
        <v>0.361066903247524</v>
      </c>
      <c r="U531" s="54" t="n">
        <f aca="true">RAND()</f>
        <v>0.718417252931586</v>
      </c>
    </row>
    <row r="532" customFormat="false" ht="15" hidden="false" customHeight="false" outlineLevel="0" collapsed="false">
      <c r="A532" s="50" t="n">
        <v>452</v>
      </c>
      <c r="B532" s="51" t="n">
        <f aca="false">1+IF($G$6=$E$6,$F$6,IF(P532&lt;($F$6-$E$6)/($G$6-$E$6),$E$6+SQRT(P532*($G$6-$E$6)*($F$6-$E$6)),$G$6-SQRT((1-P532)*($G$6-$E$6)*($G$6-$F$6))))</f>
        <v>1.01713660976148</v>
      </c>
      <c r="C532" s="51" t="n">
        <f aca="false">1+IF($G$7=$E$7,$F$7,IF(Q532&lt;($F$7-$E$7)/($G$7-$E$7),$E$7+SQRT(Q532*($G$7-$E$7)*($F$7-$E$7)),$G$7-SQRT((1-Q532)*($G$7-$E$7)*($G$7-$F$7))))</f>
        <v>0.950989861116893</v>
      </c>
      <c r="D532" s="51" t="n">
        <f aca="false">1+IF($G$8=$E$8,$F$8,IF(R532&lt;($F$8-$E$8)/($G$8-$E$8),$E$8+SQRT(R532*($G$8-$E$8)*($F$8-$E$8)),$G$8-SQRT((1-R532)*($G$8-$E$8)*($G$8-$F$8))))</f>
        <v>1.02851283661635</v>
      </c>
      <c r="E532" s="51" t="n">
        <f aca="false">1+IF($G$9=$E$9,$F$9,IF(S532&lt;($F$9-$E$9)/($G$9-$E$9),$E$9+SQRT(S532*($G$9-$E$9)*($F$9-$E$9)),$G$9-SQRT((1-S532)*($G$9-$E$9)*($G$9-$F$9))))</f>
        <v>0.952426578251945</v>
      </c>
      <c r="F532" s="51" t="n">
        <f aca="false">1+IF($G$10=$E$10,$F$10,IF(T532&lt;($F$10-$E$10)/($G$10-$E$10),$E$10+SQRT(T532*($G$10-$E$10)*($F$10-$E$10)),$G$10-SQRT((1-T532)*($G$10-$E$10)*($G$10-$F$10))))</f>
        <v>1.10392019961028</v>
      </c>
      <c r="G532" s="52" t="n">
        <f aca="false">IF($G$11=$E$11,$F$11,IF(U532&lt;($F$11-$E$11)/($G$11-$E$11),$E$11+SQRT(U532*($G$11-$E$11)*($F$11-$E$11)),$G$11-SQRT((1-U532)*($G$11-$E$11)*($G$11-$F$11))))</f>
        <v>0.101354770165783</v>
      </c>
      <c r="H532" s="53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-2207840399.22057</v>
      </c>
      <c r="I532" s="53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-4405498.95949461</v>
      </c>
      <c r="J532" s="53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287160218.982152</v>
      </c>
      <c r="K532" s="53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633921946.904313</v>
      </c>
      <c r="L532" s="53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764539944.559986</v>
      </c>
      <c r="M532" s="53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948401782.106503</v>
      </c>
      <c r="N532" s="53" t="n">
        <f aca="false">IF(COUNT('Business Case'!B11:G11)=0,"",H532+NPV(G532,I532:M532))</f>
        <v>-395685651.403116</v>
      </c>
      <c r="P532" s="54" t="n">
        <f aca="true">RAND()</f>
        <v>0.855999677604136</v>
      </c>
      <c r="Q532" s="54" t="n">
        <f aca="true">RAND()</f>
        <v>0.466636373210941</v>
      </c>
      <c r="R532" s="54" t="n">
        <f aca="true">RAND()</f>
        <v>0.659305698090605</v>
      </c>
      <c r="S532" s="54" t="n">
        <f aca="true">RAND()</f>
        <v>0.109941844288293</v>
      </c>
      <c r="T532" s="54" t="n">
        <f aca="true">RAND()</f>
        <v>0.715475892241343</v>
      </c>
      <c r="U532" s="54" t="n">
        <f aca="true">RAND()</f>
        <v>0.452967205163273</v>
      </c>
    </row>
    <row r="533" customFormat="false" ht="15" hidden="false" customHeight="false" outlineLevel="0" collapsed="false">
      <c r="A533" s="50" t="n">
        <v>453</v>
      </c>
      <c r="B533" s="51" t="n">
        <f aca="false">1+IF($G$6=$E$6,$F$6,IF(P533&lt;($F$6-$E$6)/($G$6-$E$6),$E$6+SQRT(P533*($G$6-$E$6)*($F$6-$E$6)),$G$6-SQRT((1-P533)*($G$6-$E$6)*($G$6-$F$6))))</f>
        <v>0.972809214748172</v>
      </c>
      <c r="C533" s="51" t="n">
        <f aca="false">1+IF($G$7=$E$7,$F$7,IF(Q533&lt;($F$7-$E$7)/($G$7-$E$7),$E$7+SQRT(Q533*($G$7-$E$7)*($F$7-$E$7)),$G$7-SQRT((1-Q533)*($G$7-$E$7)*($G$7-$F$7))))</f>
        <v>0.765016567320622</v>
      </c>
      <c r="D533" s="51" t="n">
        <f aca="false">1+IF($G$8=$E$8,$F$8,IF(R533&lt;($F$8-$E$8)/($G$8-$E$8),$E$8+SQRT(R533*($G$8-$E$8)*($F$8-$E$8)),$G$8-SQRT((1-R533)*($G$8-$E$8)*($G$8-$F$8))))</f>
        <v>1.02336893661239</v>
      </c>
      <c r="E533" s="51" t="n">
        <f aca="false">1+IF($G$9=$E$9,$F$9,IF(S533&lt;($F$9-$E$9)/($G$9-$E$9),$E$9+SQRT(S533*($G$9-$E$9)*($F$9-$E$9)),$G$9-SQRT((1-S533)*($G$9-$E$9)*($G$9-$F$9))))</f>
        <v>0.974443513667146</v>
      </c>
      <c r="F533" s="51" t="n">
        <f aca="false">1+IF($G$10=$E$10,$F$10,IF(T533&lt;($F$10-$E$10)/($G$10-$E$10),$E$10+SQRT(T533*($G$10-$E$10)*($F$10-$E$10)),$G$10-SQRT((1-T533)*($G$10-$E$10)*($G$10-$F$10))))</f>
        <v>1.21269660653246</v>
      </c>
      <c r="G533" s="52" t="n">
        <f aca="false">IF($G$11=$E$11,$F$11,IF(U533&lt;($F$11-$E$11)/($G$11-$E$11),$E$11+SQRT(U533*($G$11-$E$11)*($F$11-$E$11)),$G$11-SQRT((1-U533)*($G$11-$E$11)*($G$11-$F$11))))</f>
        <v>0.110689942400259</v>
      </c>
      <c r="H533" s="53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-2425393213.06492</v>
      </c>
      <c r="I533" s="53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-89629032.2121504</v>
      </c>
      <c r="J533" s="53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119157578.084308</v>
      </c>
      <c r="K533" s="53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388579018.70739</v>
      </c>
      <c r="L533" s="53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483894631.614139</v>
      </c>
      <c r="M533" s="53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625355050.391087</v>
      </c>
      <c r="N533" s="53" t="n">
        <f aca="false">IF(COUNT('Business Case'!B11:G11)=0,"",H533+NPV(G533,I533:M533))</f>
        <v>-1437970954.70665</v>
      </c>
      <c r="P533" s="54" t="n">
        <f aca="true">RAND()</f>
        <v>0.353412116816361</v>
      </c>
      <c r="Q533" s="54" t="n">
        <f aca="true">RAND()</f>
        <v>0.0313122520456069</v>
      </c>
      <c r="R533" s="54" t="n">
        <f aca="true">RAND()</f>
        <v>0.608512008272278</v>
      </c>
      <c r="S533" s="54" t="n">
        <f aca="true">RAND()</f>
        <v>0.221673469084423</v>
      </c>
      <c r="T533" s="54" t="n">
        <f aca="true">RAND()</f>
        <v>0.981446091144078</v>
      </c>
      <c r="U533" s="54" t="n">
        <f aca="true">RAND()</f>
        <v>0.751414450329782</v>
      </c>
    </row>
    <row r="534" customFormat="false" ht="15" hidden="false" customHeight="false" outlineLevel="0" collapsed="false">
      <c r="A534" s="50" t="n">
        <v>454</v>
      </c>
      <c r="B534" s="51" t="n">
        <f aca="false">1+IF($G$6=$E$6,$F$6,IF(P534&lt;($F$6-$E$6)/($G$6-$E$6),$E$6+SQRT(P534*($G$6-$E$6)*($F$6-$E$6)),$G$6-SQRT((1-P534)*($G$6-$E$6)*($G$6-$F$6))))</f>
        <v>0.994330447046112</v>
      </c>
      <c r="C534" s="51" t="n">
        <f aca="false">1+IF($G$7=$E$7,$F$7,IF(Q534&lt;($F$7-$E$7)/($G$7-$E$7),$E$7+SQRT(Q534*($G$7-$E$7)*($F$7-$E$7)),$G$7-SQRT((1-Q534)*($G$7-$E$7)*($G$7-$F$7))))</f>
        <v>0.914046977813068</v>
      </c>
      <c r="D534" s="51" t="n">
        <f aca="false">1+IF($G$8=$E$8,$F$8,IF(R534&lt;($F$8-$E$8)/($G$8-$E$8),$E$8+SQRT(R534*($G$8-$E$8)*($F$8-$E$8)),$G$8-SQRT((1-R534)*($G$8-$E$8)*($G$8-$F$8))))</f>
        <v>1.04008617881306</v>
      </c>
      <c r="E534" s="51" t="n">
        <f aca="false">1+IF($G$9=$E$9,$F$9,IF(S534&lt;($F$9-$E$9)/($G$9-$E$9),$E$9+SQRT(S534*($G$9-$E$9)*($F$9-$E$9)),$G$9-SQRT((1-S534)*($G$9-$E$9)*($G$9-$F$9))))</f>
        <v>0.955095681411959</v>
      </c>
      <c r="F534" s="51" t="n">
        <f aca="false">1+IF($G$10=$E$10,$F$10,IF(T534&lt;($F$10-$E$10)/($G$10-$E$10),$E$10+SQRT(T534*($G$10-$E$10)*($F$10-$E$10)),$G$10-SQRT((1-T534)*($G$10-$E$10)*($G$10-$F$10))))</f>
        <v>1.08975671826628</v>
      </c>
      <c r="G534" s="52" t="n">
        <f aca="false">IF($G$11=$E$11,$F$11,IF(U534&lt;($F$11-$E$11)/($G$11-$E$11),$E$11+SQRT(U534*($G$11-$E$11)*($F$11-$E$11)),$G$11-SQRT((1-U534)*($G$11-$E$11)*($G$11-$F$11))))</f>
        <v>0.104918369143628</v>
      </c>
      <c r="H534" s="53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-2179513436.53257</v>
      </c>
      <c r="I534" s="53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-34156176.2052571</v>
      </c>
      <c r="J534" s="53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223593473.438124</v>
      </c>
      <c r="K534" s="53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535830958.99482</v>
      </c>
      <c r="L534" s="53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653157874.292767</v>
      </c>
      <c r="M534" s="53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825914884.085276</v>
      </c>
      <c r="N534" s="53" t="n">
        <f aca="false">IF(COUNT('Business Case'!B11:G11)=0,"",H534+NPV(G534,I534:M534))</f>
        <v>-690313444.508865</v>
      </c>
      <c r="P534" s="54" t="n">
        <f aca="true">RAND()</f>
        <v>0.593215549327956</v>
      </c>
      <c r="Q534" s="54" t="n">
        <f aca="true">RAND()</f>
        <v>0.339378583043765</v>
      </c>
      <c r="R534" s="54" t="n">
        <f aca="true">RAND()</f>
        <v>0.760688935385268</v>
      </c>
      <c r="S534" s="54" t="n">
        <f aca="true">RAND()</f>
        <v>0.121421364409921</v>
      </c>
      <c r="T534" s="54" t="n">
        <f aca="true">RAND()</f>
        <v>0.657627875456117</v>
      </c>
      <c r="U534" s="54" t="n">
        <f aca="true">RAND()</f>
        <v>0.58060786238979</v>
      </c>
    </row>
    <row r="535" customFormat="false" ht="15" hidden="false" customHeight="false" outlineLevel="0" collapsed="false">
      <c r="A535" s="50" t="n">
        <v>455</v>
      </c>
      <c r="B535" s="51" t="n">
        <f aca="false">1+IF($G$6=$E$6,$F$6,IF(P535&lt;($F$6-$E$6)/($G$6-$E$6),$E$6+SQRT(P535*($G$6-$E$6)*($F$6-$E$6)),$G$6-SQRT((1-P535)*($G$6-$E$6)*($G$6-$F$6))))</f>
        <v>0.990442707131454</v>
      </c>
      <c r="C535" s="51" t="n">
        <f aca="false">1+IF($G$7=$E$7,$F$7,IF(Q535&lt;($F$7-$E$7)/($G$7-$E$7),$E$7+SQRT(Q535*($G$7-$E$7)*($F$7-$E$7)),$G$7-SQRT((1-Q535)*($G$7-$E$7)*($G$7-$F$7))))</f>
        <v>0.807114214708476</v>
      </c>
      <c r="D535" s="51" t="n">
        <f aca="false">1+IF($G$8=$E$8,$F$8,IF(R535&lt;($F$8-$E$8)/($G$8-$E$8),$E$8+SQRT(R535*($G$8-$E$8)*($F$8-$E$8)),$G$8-SQRT((1-R535)*($G$8-$E$8)*($G$8-$F$8))))</f>
        <v>1.03231569161579</v>
      </c>
      <c r="E535" s="51" t="n">
        <f aca="false">1+IF($G$9=$E$9,$F$9,IF(S535&lt;($F$9-$E$9)/($G$9-$E$9),$E$9+SQRT(S535*($G$9-$E$9)*($F$9-$E$9)),$G$9-SQRT((1-S535)*($G$9-$E$9)*($G$9-$F$9))))</f>
        <v>0.990502930694685</v>
      </c>
      <c r="F535" s="51" t="n">
        <f aca="false">1+IF($G$10=$E$10,$F$10,IF(T535&lt;($F$10-$E$10)/($G$10-$E$10),$E$10+SQRT(T535*($G$10-$E$10)*($F$10-$E$10)),$G$10-SQRT((1-T535)*($G$10-$E$10)*($G$10-$F$10))))</f>
        <v>1.03111924759336</v>
      </c>
      <c r="G535" s="52" t="n">
        <f aca="false">IF($G$11=$E$11,$F$11,IF(U535&lt;($F$11-$E$11)/($G$11-$E$11),$E$11+SQRT(U535*($G$11-$E$11)*($F$11-$E$11)),$G$11-SQRT((1-U535)*($G$11-$E$11)*($G$11-$F$11))))</f>
        <v>0.0965077570387772</v>
      </c>
      <c r="H535" s="53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-2062238495.18671</v>
      </c>
      <c r="I535" s="53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-57165921.8633811</v>
      </c>
      <c r="J535" s="53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171070513.87988</v>
      </c>
      <c r="K535" s="53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450862912.002809</v>
      </c>
      <c r="L535" s="53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554569001.318911</v>
      </c>
      <c r="M535" s="53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706519027.02816</v>
      </c>
      <c r="N535" s="53" t="n">
        <f aca="false">IF(COUNT('Business Case'!B11:G11)=0,"",H535+NPV(G535,I535:M535))</f>
        <v>-800753690.683653</v>
      </c>
      <c r="P535" s="54" t="n">
        <f aca="true">RAND()</f>
        <v>0.545325551551066</v>
      </c>
      <c r="Q535" s="54" t="n">
        <f aca="true">RAND()</f>
        <v>0.08498855550084</v>
      </c>
      <c r="R535" s="54" t="n">
        <f aca="true">RAND()</f>
        <v>0.694588959903435</v>
      </c>
      <c r="S535" s="54" t="n">
        <f aca="true">RAND()</f>
        <v>0.327631218573077</v>
      </c>
      <c r="T535" s="54" t="n">
        <f aca="true">RAND()</f>
        <v>0.361216216345357</v>
      </c>
      <c r="U535" s="54" t="n">
        <f aca="true">RAND()</f>
        <v>0.272506042451299</v>
      </c>
    </row>
    <row r="536" customFormat="false" ht="15" hidden="false" customHeight="false" outlineLevel="0" collapsed="false">
      <c r="A536" s="50" t="n">
        <v>456</v>
      </c>
      <c r="B536" s="51" t="n">
        <f aca="false">1+IF($G$6=$E$6,$F$6,IF(P536&lt;($F$6-$E$6)/($G$6-$E$6),$E$6+SQRT(P536*($G$6-$E$6)*($F$6-$E$6)),$G$6-SQRT((1-P536)*($G$6-$E$6)*($G$6-$F$6))))</f>
        <v>1.01034178492268</v>
      </c>
      <c r="C536" s="51" t="n">
        <f aca="false">1+IF($G$7=$E$7,$F$7,IF(Q536&lt;($F$7-$E$7)/($G$7-$E$7),$E$7+SQRT(Q536*($G$7-$E$7)*($F$7-$E$7)),$G$7-SQRT((1-Q536)*($G$7-$E$7)*($G$7-$F$7))))</f>
        <v>0.967545770286486</v>
      </c>
      <c r="D536" s="51" t="n">
        <f aca="false">1+IF($G$8=$E$8,$F$8,IF(R536&lt;($F$8-$E$8)/($G$8-$E$8),$E$8+SQRT(R536*($G$8-$E$8)*($F$8-$E$8)),$G$8-SQRT((1-R536)*($G$8-$E$8)*($G$8-$F$8))))</f>
        <v>1.03061430943185</v>
      </c>
      <c r="E536" s="51" t="n">
        <f aca="false">1+IF($G$9=$E$9,$F$9,IF(S536&lt;($F$9-$E$9)/($G$9-$E$9),$E$9+SQRT(S536*($G$9-$E$9)*($F$9-$E$9)),$G$9-SQRT((1-S536)*($G$9-$E$9)*($G$9-$F$9))))</f>
        <v>0.989656278920902</v>
      </c>
      <c r="F536" s="51" t="n">
        <f aca="false">1+IF($G$10=$E$10,$F$10,IF(T536&lt;($F$10-$E$10)/($G$10-$E$10),$E$10+SQRT(T536*($G$10-$E$10)*($F$10-$E$10)),$G$10-SQRT((1-T536)*($G$10-$E$10)*($G$10-$F$10))))</f>
        <v>1.14209127300604</v>
      </c>
      <c r="G536" s="52" t="n">
        <f aca="false">IF($G$11=$E$11,$F$11,IF(U536&lt;($F$11-$E$11)/($G$11-$E$11),$E$11+SQRT(U536*($G$11-$E$11)*($F$11-$E$11)),$G$11-SQRT((1-U536)*($G$11-$E$11)*($G$11-$F$11))))</f>
        <v>0.0933166743745897</v>
      </c>
      <c r="H536" s="53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-2284182546.01209</v>
      </c>
      <c r="I536" s="53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-15398617.8722247</v>
      </c>
      <c r="J536" s="53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274817305.979793</v>
      </c>
      <c r="K536" s="53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622137793.482112</v>
      </c>
      <c r="L536" s="53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752660629.140175</v>
      </c>
      <c r="M536" s="53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938473698.197489</v>
      </c>
      <c r="N536" s="53" t="n">
        <f aca="false">IF(COUNT('Business Case'!B11:G11)=0,"",H536+NPV(G536,I536:M536))</f>
        <v>-464803227.585693</v>
      </c>
      <c r="P536" s="54" t="n">
        <f aca="true">RAND()</f>
        <v>0.790296796917429</v>
      </c>
      <c r="Q536" s="54" t="n">
        <f aca="true">RAND()</f>
        <v>0.530227697764363</v>
      </c>
      <c r="R536" s="54" t="n">
        <f aca="true">RAND()</f>
        <v>0.679041729625389</v>
      </c>
      <c r="S536" s="54" t="n">
        <f aca="true">RAND()</f>
        <v>0.3215299339977</v>
      </c>
      <c r="T536" s="54" t="n">
        <f aca="true">RAND()</f>
        <v>0.844742755180585</v>
      </c>
      <c r="U536" s="54" t="n">
        <f aca="true">RAND()</f>
        <v>0.177333816398853</v>
      </c>
    </row>
    <row r="537" customFormat="false" ht="15" hidden="false" customHeight="false" outlineLevel="0" collapsed="false">
      <c r="A537" s="50" t="n">
        <v>457</v>
      </c>
      <c r="B537" s="51" t="n">
        <f aca="false">1+IF($G$6=$E$6,$F$6,IF(P537&lt;($F$6-$E$6)/($G$6-$E$6),$E$6+SQRT(P537*($G$6-$E$6)*($F$6-$E$6)),$G$6-SQRT((1-P537)*($G$6-$E$6)*($G$6-$F$6))))</f>
        <v>0.994939911959045</v>
      </c>
      <c r="C537" s="51" t="n">
        <f aca="false">1+IF($G$7=$E$7,$F$7,IF(Q537&lt;($F$7-$E$7)/($G$7-$E$7),$E$7+SQRT(Q537*($G$7-$E$7)*($F$7-$E$7)),$G$7-SQRT((1-Q537)*($G$7-$E$7)*($G$7-$F$7))))</f>
        <v>0.794133152211977</v>
      </c>
      <c r="D537" s="51" t="n">
        <f aca="false">1+IF($G$8=$E$8,$F$8,IF(R537&lt;($F$8-$E$8)/($G$8-$E$8),$E$8+SQRT(R537*($G$8-$E$8)*($F$8-$E$8)),$G$8-SQRT((1-R537)*($G$8-$E$8)*($G$8-$F$8))))</f>
        <v>0.979798244512083</v>
      </c>
      <c r="E537" s="51" t="n">
        <f aca="false">1+IF($G$9=$E$9,$F$9,IF(S537&lt;($F$9-$E$9)/($G$9-$E$9),$E$9+SQRT(S537*($G$9-$E$9)*($F$9-$E$9)),$G$9-SQRT((1-S537)*($G$9-$E$9)*($G$9-$F$9))))</f>
        <v>1.02739970214165</v>
      </c>
      <c r="F537" s="51" t="n">
        <f aca="false">1+IF($G$10=$E$10,$F$10,IF(T537&lt;($F$10-$E$10)/($G$10-$E$10),$E$10+SQRT(T537*($G$10-$E$10)*($F$10-$E$10)),$G$10-SQRT((1-T537)*($G$10-$E$10)*($G$10-$F$10))))</f>
        <v>1.22444463333103</v>
      </c>
      <c r="G537" s="52" t="n">
        <f aca="false">IF($G$11=$E$11,$F$11,IF(U537&lt;($F$11-$E$11)/($G$11-$E$11),$E$11+SQRT(U537*($G$11-$E$11)*($F$11-$E$11)),$G$11-SQRT((1-U537)*($G$11-$E$11)*($G$11-$F$11))))</f>
        <v>0.103222647807338</v>
      </c>
      <c r="H537" s="53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-2448889266.66206</v>
      </c>
      <c r="I537" s="53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-60659337.0998602</v>
      </c>
      <c r="J537" s="53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188181576.379326</v>
      </c>
      <c r="K537" s="53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498244721.525063</v>
      </c>
      <c r="L537" s="53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608498059.085726</v>
      </c>
      <c r="M537" s="53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758683074.290863</v>
      </c>
      <c r="N537" s="53" t="n">
        <f aca="false">IF(COUNT('Business Case'!B11:G11)=0,"",H537+NPV(G537,I537:M537))</f>
        <v>-1103171086.40379</v>
      </c>
      <c r="P537" s="54" t="n">
        <f aca="true">RAND()</f>
        <v>0.600905792186078</v>
      </c>
      <c r="Q537" s="54" t="n">
        <f aca="true">RAND()</f>
        <v>0.0656374099656539</v>
      </c>
      <c r="R537" s="54" t="n">
        <f aca="true">RAND()</f>
        <v>0.118391383466918</v>
      </c>
      <c r="S537" s="54" t="n">
        <f aca="true">RAND()</f>
        <v>0.599177785734507</v>
      </c>
      <c r="T537" s="54" t="n">
        <f aca="true">RAND()</f>
        <v>0.991292309792192</v>
      </c>
      <c r="U537" s="54" t="n">
        <f aca="true">RAND()</f>
        <v>0.521982273033432</v>
      </c>
    </row>
    <row r="538" customFormat="false" ht="15" hidden="false" customHeight="false" outlineLevel="0" collapsed="false">
      <c r="A538" s="50" t="n">
        <v>458</v>
      </c>
      <c r="B538" s="51" t="n">
        <f aca="false">1+IF($G$6=$E$6,$F$6,IF(P538&lt;($F$6-$E$6)/($G$6-$E$6),$E$6+SQRT(P538*($G$6-$E$6)*($F$6-$E$6)),$G$6-SQRT((1-P538)*($G$6-$E$6)*($G$6-$F$6))))</f>
        <v>0.995151291732196</v>
      </c>
      <c r="C538" s="51" t="n">
        <f aca="false">1+IF($G$7=$E$7,$F$7,IF(Q538&lt;($F$7-$E$7)/($G$7-$E$7),$E$7+SQRT(Q538*($G$7-$E$7)*($F$7-$E$7)),$G$7-SQRT((1-Q538)*($G$7-$E$7)*($G$7-$F$7))))</f>
        <v>0.952628901229913</v>
      </c>
      <c r="D538" s="51" t="n">
        <f aca="false">1+IF($G$8=$E$8,$F$8,IF(R538&lt;($F$8-$E$8)/($G$8-$E$8),$E$8+SQRT(R538*($G$8-$E$8)*($F$8-$E$8)),$G$8-SQRT((1-R538)*($G$8-$E$8)*($G$8-$F$8))))</f>
        <v>1.05809969219589</v>
      </c>
      <c r="E538" s="51" t="n">
        <f aca="false">1+IF($G$9=$E$9,$F$9,IF(S538&lt;($F$9-$E$9)/($G$9-$E$9),$E$9+SQRT(S538*($G$9-$E$9)*($F$9-$E$9)),$G$9-SQRT((1-S538)*($G$9-$E$9)*($G$9-$F$9))))</f>
        <v>1.10253607077443</v>
      </c>
      <c r="F538" s="51" t="n">
        <f aca="false">1+IF($G$10=$E$10,$F$10,IF(T538&lt;($F$10-$E$10)/($G$10-$E$10),$E$10+SQRT(T538*($G$10-$E$10)*($F$10-$E$10)),$G$10-SQRT((1-T538)*($G$10-$E$10)*($G$10-$F$10))))</f>
        <v>1.11303081600876</v>
      </c>
      <c r="G538" s="52" t="n">
        <f aca="false">IF($G$11=$E$11,$F$11,IF(U538&lt;($F$11-$E$11)/($G$11-$E$11),$E$11+SQRT(U538*($G$11-$E$11)*($F$11-$E$11)),$G$11-SQRT((1-U538)*($G$11-$E$11)*($G$11-$F$11))))</f>
        <v>0.0998388075332489</v>
      </c>
      <c r="H538" s="53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-2226061632.01751</v>
      </c>
      <c r="I538" s="53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-56743445.0273679</v>
      </c>
      <c r="J538" s="53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203741653.072427</v>
      </c>
      <c r="K538" s="53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519878291.972659</v>
      </c>
      <c r="L538" s="53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639469879.514033</v>
      </c>
      <c r="M538" s="53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819667597.808631</v>
      </c>
      <c r="N538" s="53" t="n">
        <f aca="false">IF(COUNT('Business Case'!B11:G11)=0,"",H538+NPV(G538,I538:M538))</f>
        <v>-772114439.733735</v>
      </c>
      <c r="P538" s="54" t="n">
        <f aca="true">RAND()</f>
        <v>0.603584554553698</v>
      </c>
      <c r="Q538" s="54" t="n">
        <f aca="true">RAND()</f>
        <v>0.472750827678762</v>
      </c>
      <c r="R538" s="54" t="n">
        <f aca="true">RAND()</f>
        <v>0.882957613728033</v>
      </c>
      <c r="S538" s="54" t="n">
        <f aca="true">RAND()</f>
        <v>0.939924677932532</v>
      </c>
      <c r="T538" s="54" t="n">
        <f aca="true">RAND()</f>
        <v>0.749859235156971</v>
      </c>
      <c r="U538" s="54" t="n">
        <f aca="true">RAND()</f>
        <v>0.393578284341294</v>
      </c>
    </row>
    <row r="539" customFormat="false" ht="15" hidden="false" customHeight="false" outlineLevel="0" collapsed="false">
      <c r="A539" s="50" t="n">
        <v>459</v>
      </c>
      <c r="B539" s="51" t="n">
        <f aca="false">1+IF($G$6=$E$6,$F$6,IF(P539&lt;($F$6-$E$6)/($G$6-$E$6),$E$6+SQRT(P539*($G$6-$E$6)*($F$6-$E$6)),$G$6-SQRT((1-P539)*($G$6-$E$6)*($G$6-$F$6))))</f>
        <v>0.968229871325279</v>
      </c>
      <c r="C539" s="51" t="n">
        <f aca="false">1+IF($G$7=$E$7,$F$7,IF(Q539&lt;($F$7-$E$7)/($G$7-$E$7),$E$7+SQRT(Q539*($G$7-$E$7)*($F$7-$E$7)),$G$7-SQRT((1-Q539)*($G$7-$E$7)*($G$7-$F$7))))</f>
        <v>1.06992669128909</v>
      </c>
      <c r="D539" s="51" t="n">
        <f aca="false">1+IF($G$8=$E$8,$F$8,IF(R539&lt;($F$8-$E$8)/($G$8-$E$8),$E$8+SQRT(R539*($G$8-$E$8)*($F$8-$E$8)),$G$8-SQRT((1-R539)*($G$8-$E$8)*($G$8-$F$8))))</f>
        <v>0.977831545880579</v>
      </c>
      <c r="E539" s="51" t="n">
        <f aca="false">1+IF($G$9=$E$9,$F$9,IF(S539&lt;($F$9-$E$9)/($G$9-$E$9),$E$9+SQRT(S539*($G$9-$E$9)*($F$9-$E$9)),$G$9-SQRT((1-S539)*($G$9-$E$9)*($G$9-$F$9))))</f>
        <v>0.959609828495128</v>
      </c>
      <c r="F539" s="51" t="n">
        <f aca="false">1+IF($G$10=$E$10,$F$10,IF(T539&lt;($F$10-$E$10)/($G$10-$E$10),$E$10+SQRT(T539*($G$10-$E$10)*($F$10-$E$10)),$G$10-SQRT((1-T539)*($G$10-$E$10)*($G$10-$F$10))))</f>
        <v>1.21893977044583</v>
      </c>
      <c r="G539" s="52" t="n">
        <f aca="false">IF($G$11=$E$11,$F$11,IF(U539&lt;($F$11-$E$11)/($G$11-$E$11),$E$11+SQRT(U539*($G$11-$E$11)*($F$11-$E$11)),$G$11-SQRT((1-U539)*($G$11-$E$11)*($G$11-$F$11))))</f>
        <v>0.0812037555056935</v>
      </c>
      <c r="H539" s="53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-2437879540.89166</v>
      </c>
      <c r="I539" s="53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877138.478225648</v>
      </c>
      <c r="J539" s="53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313807641.112804</v>
      </c>
      <c r="K539" s="53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687685132.269675</v>
      </c>
      <c r="L539" s="53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827797212.814377</v>
      </c>
      <c r="M539" s="53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1024707734.31351</v>
      </c>
      <c r="N539" s="53" t="n">
        <f aca="false">IF(COUNT('Business Case'!B11:G11)=0,"",H539+NPV(G539,I539:M539))</f>
        <v>-325266475.49146</v>
      </c>
      <c r="P539" s="54" t="n">
        <f aca="true">RAND()</f>
        <v>0.310354356070942</v>
      </c>
      <c r="Q539" s="54" t="n">
        <f aca="true">RAND()</f>
        <v>0.905011336771652</v>
      </c>
      <c r="R539" s="54" t="n">
        <f aca="true">RAND()</f>
        <v>0.103279326147034</v>
      </c>
      <c r="S539" s="54" t="n">
        <f aca="true">RAND()</f>
        <v>0.142133266128743</v>
      </c>
      <c r="T539" s="54" t="n">
        <f aca="true">RAND()</f>
        <v>0.987136828533898</v>
      </c>
      <c r="U539" s="54" t="n">
        <f aca="true">RAND()</f>
        <v>0.00144902731748738</v>
      </c>
    </row>
    <row r="540" customFormat="false" ht="15" hidden="false" customHeight="false" outlineLevel="0" collapsed="false">
      <c r="A540" s="50" t="n">
        <v>460</v>
      </c>
      <c r="B540" s="51" t="n">
        <f aca="false">1+IF($G$6=$E$6,$F$6,IF(P540&lt;($F$6-$E$6)/($G$6-$E$6),$E$6+SQRT(P540*($G$6-$E$6)*($F$6-$E$6)),$G$6-SQRT((1-P540)*($G$6-$E$6)*($G$6-$F$6))))</f>
        <v>0.946990116538021</v>
      </c>
      <c r="C540" s="51" t="n">
        <f aca="false">1+IF($G$7=$E$7,$F$7,IF(Q540&lt;($F$7-$E$7)/($G$7-$E$7),$E$7+SQRT(Q540*($G$7-$E$7)*($F$7-$E$7)),$G$7-SQRT((1-Q540)*($G$7-$E$7)*($G$7-$F$7))))</f>
        <v>0.833847217021464</v>
      </c>
      <c r="D540" s="51" t="n">
        <f aca="false">1+IF($G$8=$E$8,$F$8,IF(R540&lt;($F$8-$E$8)/($G$8-$E$8),$E$8+SQRT(R540*($G$8-$E$8)*($F$8-$E$8)),$G$8-SQRT((1-R540)*($G$8-$E$8)*($G$8-$F$8))))</f>
        <v>1.04366886406445</v>
      </c>
      <c r="E540" s="51" t="n">
        <f aca="false">1+IF($G$9=$E$9,$F$9,IF(S540&lt;($F$9-$E$9)/($G$9-$E$9),$E$9+SQRT(S540*($G$9-$E$9)*($F$9-$E$9)),$G$9-SQRT((1-S540)*($G$9-$E$9)*($G$9-$F$9))))</f>
        <v>1.08366153028532</v>
      </c>
      <c r="F540" s="51" t="n">
        <f aca="false">1+IF($G$10=$E$10,$F$10,IF(T540&lt;($F$10-$E$10)/($G$10-$E$10),$E$10+SQRT(T540*($G$10-$E$10)*($F$10-$E$10)),$G$10-SQRT((1-T540)*($G$10-$E$10)*($G$10-$F$10))))</f>
        <v>1.06633090837837</v>
      </c>
      <c r="G540" s="52" t="n">
        <f aca="false">IF($G$11=$E$11,$F$11,IF(U540&lt;($F$11-$E$11)/($G$11-$E$11),$E$11+SQRT(U540*($G$11-$E$11)*($F$11-$E$11)),$G$11-SQRT((1-U540)*($G$11-$E$11)*($G$11-$F$11))))</f>
        <v>0.099199184632623</v>
      </c>
      <c r="H540" s="53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-2132661816.75675</v>
      </c>
      <c r="I540" s="53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-100392484.225432</v>
      </c>
      <c r="J540" s="53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100879992.589377</v>
      </c>
      <c r="K540" s="53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355469014.823105</v>
      </c>
      <c r="L540" s="53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449849974.158596</v>
      </c>
      <c r="M540" s="53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599945709.676645</v>
      </c>
      <c r="N540" s="53" t="n">
        <f aca="false">IF(COUNT('Business Case'!B11:G11)=0,"",H540+NPV(G540,I540:M540))</f>
        <v>-1190819509.38548</v>
      </c>
      <c r="P540" s="54" t="n">
        <f aca="true">RAND()</f>
        <v>0.147204736817121</v>
      </c>
      <c r="Q540" s="54" t="n">
        <f aca="true">RAND()</f>
        <v>0.132704277810303</v>
      </c>
      <c r="R540" s="54" t="n">
        <f aca="true">RAND()</f>
        <v>0.788453541614073</v>
      </c>
      <c r="S540" s="54" t="n">
        <f aca="true">RAND()</f>
        <v>0.882645531624371</v>
      </c>
      <c r="T540" s="54" t="n">
        <f aca="true">RAND()</f>
        <v>0.550208863771823</v>
      </c>
      <c r="U540" s="54" t="n">
        <f aca="true">RAND()</f>
        <v>0.368608690557547</v>
      </c>
    </row>
    <row r="541" customFormat="false" ht="15" hidden="false" customHeight="false" outlineLevel="0" collapsed="false">
      <c r="A541" s="50" t="n">
        <v>461</v>
      </c>
      <c r="B541" s="51" t="n">
        <f aca="false">1+IF($G$6=$E$6,$F$6,IF(P541&lt;($F$6-$E$6)/($G$6-$E$6),$E$6+SQRT(P541*($G$6-$E$6)*($F$6-$E$6)),$G$6-SQRT((1-P541)*($G$6-$E$6)*($G$6-$F$6))))</f>
        <v>1.02391955897171</v>
      </c>
      <c r="C541" s="51" t="n">
        <f aca="false">1+IF($G$7=$E$7,$F$7,IF(Q541&lt;($F$7-$E$7)/($G$7-$E$7),$E$7+SQRT(Q541*($G$7-$E$7)*($F$7-$E$7)),$G$7-SQRT((1-Q541)*($G$7-$E$7)*($G$7-$F$7))))</f>
        <v>0.978371771645832</v>
      </c>
      <c r="D541" s="51" t="n">
        <f aca="false">1+IF($G$8=$E$8,$F$8,IF(R541&lt;($F$8-$E$8)/($G$8-$E$8),$E$8+SQRT(R541*($G$8-$E$8)*($F$8-$E$8)),$G$8-SQRT((1-R541)*($G$8-$E$8)*($G$8-$F$8))))</f>
        <v>1.00994633836161</v>
      </c>
      <c r="E541" s="51" t="n">
        <f aca="false">1+IF($G$9=$E$9,$F$9,IF(S541&lt;($F$9-$E$9)/($G$9-$E$9),$E$9+SQRT(S541*($G$9-$E$9)*($F$9-$E$9)),$G$9-SQRT((1-S541)*($G$9-$E$9)*($G$9-$F$9))))</f>
        <v>0.972723134615827</v>
      </c>
      <c r="F541" s="51" t="n">
        <f aca="false">1+IF($G$10=$E$10,$F$10,IF(T541&lt;($F$10-$E$10)/($G$10-$E$10),$E$10+SQRT(T541*($G$10-$E$10)*($F$10-$E$10)),$G$10-SQRT((1-T541)*($G$10-$E$10)*($G$10-$F$10))))</f>
        <v>0.959051215622411</v>
      </c>
      <c r="G541" s="52" t="n">
        <f aca="false">IF($G$11=$E$11,$F$11,IF(U541&lt;($F$11-$E$11)/($G$11-$E$11),$E$11+SQRT(U541*($G$11-$E$11)*($F$11-$E$11)),$G$11-SQRT((1-U541)*($G$11-$E$11)*($G$11-$F$11))))</f>
        <v>0.106347462897662</v>
      </c>
      <c r="H541" s="53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-1918102431.24482</v>
      </c>
      <c r="I541" s="53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28537031.0561736</v>
      </c>
      <c r="J541" s="53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343232377.210656</v>
      </c>
      <c r="K541" s="53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705880284.146259</v>
      </c>
      <c r="L541" s="53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845400042.060217</v>
      </c>
      <c r="M541" s="53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1035817242.63711</v>
      </c>
      <c r="N541" s="53" t="n">
        <f aca="false">IF(COUNT('Business Case'!B11:G11)=0,"",H541+NPV(G541,I541:M541))</f>
        <v>98574720.6019025</v>
      </c>
      <c r="P541" s="54" t="n">
        <f aca="true">RAND()</f>
        <v>0.909308079435959</v>
      </c>
      <c r="Q541" s="54" t="n">
        <f aca="true">RAND()</f>
        <v>0.574006246290663</v>
      </c>
      <c r="R541" s="54" t="n">
        <f aca="true">RAND()</f>
        <v>0.459355868367875</v>
      </c>
      <c r="S541" s="54" t="n">
        <f aca="true">RAND()</f>
        <v>0.211546172334065</v>
      </c>
      <c r="T541" s="54" t="n">
        <f aca="true">RAND()</f>
        <v>0.00546163361622513</v>
      </c>
      <c r="U541" s="54" t="n">
        <f aca="true">RAND()</f>
        <v>0.627038325748353</v>
      </c>
    </row>
    <row r="542" customFormat="false" ht="15" hidden="false" customHeight="false" outlineLevel="0" collapsed="false">
      <c r="A542" s="50" t="n">
        <v>462</v>
      </c>
      <c r="B542" s="51" t="n">
        <f aca="false">1+IF($G$6=$E$6,$F$6,IF(P542&lt;($F$6-$E$6)/($G$6-$E$6),$E$6+SQRT(P542*($G$6-$E$6)*($F$6-$E$6)),$G$6-SQRT((1-P542)*($G$6-$E$6)*($G$6-$F$6))))</f>
        <v>0.963933830964511</v>
      </c>
      <c r="C542" s="51" t="n">
        <f aca="false">1+IF($G$7=$E$7,$F$7,IF(Q542&lt;($F$7-$E$7)/($G$7-$E$7),$E$7+SQRT(Q542*($G$7-$E$7)*($F$7-$E$7)),$G$7-SQRT((1-Q542)*($G$7-$E$7)*($G$7-$F$7))))</f>
        <v>0.993101927461392</v>
      </c>
      <c r="D542" s="51" t="n">
        <f aca="false">1+IF($G$8=$E$8,$F$8,IF(R542&lt;($F$8-$E$8)/($G$8-$E$8),$E$8+SQRT(R542*($G$8-$E$8)*($F$8-$E$8)),$G$8-SQRT((1-R542)*($G$8-$E$8)*($G$8-$F$8))))</f>
        <v>0.974063987757201</v>
      </c>
      <c r="E542" s="51" t="n">
        <f aca="false">1+IF($G$9=$E$9,$F$9,IF(S542&lt;($F$9-$E$9)/($G$9-$E$9),$E$9+SQRT(S542*($G$9-$E$9)*($F$9-$E$9)),$G$9-SQRT((1-S542)*($G$9-$E$9)*($G$9-$F$9))))</f>
        <v>0.971353435177704</v>
      </c>
      <c r="F542" s="51" t="n">
        <f aca="false">1+IF($G$10=$E$10,$F$10,IF(T542&lt;($F$10-$E$10)/($G$10-$E$10),$E$10+SQRT(T542*($G$10-$E$10)*($F$10-$E$10)),$G$10-SQRT((1-T542)*($G$10-$E$10)*($G$10-$F$10))))</f>
        <v>1.03815993431736</v>
      </c>
      <c r="G542" s="52" t="n">
        <f aca="false">IF($G$11=$E$11,$F$11,IF(U542&lt;($F$11-$E$11)/($G$11-$E$11),$E$11+SQRT(U542*($G$11-$E$11)*($F$11-$E$11)),$G$11-SQRT((1-U542)*($G$11-$E$11)*($G$11-$F$11))))</f>
        <v>0.111578422129332</v>
      </c>
      <c r="H542" s="53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-2076319868.63472</v>
      </c>
      <c r="I542" s="53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-2686277.67414157</v>
      </c>
      <c r="J542" s="53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286195527.403204</v>
      </c>
      <c r="K542" s="53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626985329.196417</v>
      </c>
      <c r="L542" s="53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756363018.113852</v>
      </c>
      <c r="M542" s="53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938323664.51795</v>
      </c>
      <c r="N542" s="53" t="n">
        <f aca="false">IF(COUNT('Business Case'!B11:G11)=0,"",H542+NPV(G542,I542:M542))</f>
        <v>-342294058.159196</v>
      </c>
      <c r="P542" s="54" t="n">
        <f aca="true">RAND()</f>
        <v>0.272502316119912</v>
      </c>
      <c r="Q542" s="54" t="n">
        <f aca="true">RAND()</f>
        <v>0.636361036159876</v>
      </c>
      <c r="R542" s="54" t="n">
        <f aca="true">RAND()</f>
        <v>0.0772100675704965</v>
      </c>
      <c r="S542" s="54" t="n">
        <f aca="true">RAND()</f>
        <v>0.20365250846635</v>
      </c>
      <c r="T542" s="54" t="n">
        <f aca="true">RAND()</f>
        <v>0.40165048762101</v>
      </c>
      <c r="U542" s="54" t="n">
        <f aca="true">RAND()</f>
        <v>0.773763645836619</v>
      </c>
    </row>
    <row r="543" customFormat="false" ht="15" hidden="false" customHeight="false" outlineLevel="0" collapsed="false">
      <c r="A543" s="50" t="n">
        <v>463</v>
      </c>
      <c r="B543" s="51" t="n">
        <f aca="false">1+IF($G$6=$E$6,$F$6,IF(P543&lt;($F$6-$E$6)/($G$6-$E$6),$E$6+SQRT(P543*($G$6-$E$6)*($F$6-$E$6)),$G$6-SQRT((1-P543)*($G$6-$E$6)*($G$6-$F$6))))</f>
        <v>1.01055612798828</v>
      </c>
      <c r="C543" s="51" t="n">
        <f aca="false">1+IF($G$7=$E$7,$F$7,IF(Q543&lt;($F$7-$E$7)/($G$7-$E$7),$E$7+SQRT(Q543*($G$7-$E$7)*($F$7-$E$7)),$G$7-SQRT((1-Q543)*($G$7-$E$7)*($G$7-$F$7))))</f>
        <v>0.981512715729283</v>
      </c>
      <c r="D543" s="51" t="n">
        <f aca="false">1+IF($G$8=$E$8,$F$8,IF(R543&lt;($F$8-$E$8)/($G$8-$E$8),$E$8+SQRT(R543*($G$8-$E$8)*($F$8-$E$8)),$G$8-SQRT((1-R543)*($G$8-$E$8)*($G$8-$F$8))))</f>
        <v>1.06073511870955</v>
      </c>
      <c r="E543" s="51" t="n">
        <f aca="false">1+IF($G$9=$E$9,$F$9,IF(S543&lt;($F$9-$E$9)/($G$9-$E$9),$E$9+SQRT(S543*($G$9-$E$9)*($F$9-$E$9)),$G$9-SQRT((1-S543)*($G$9-$E$9)*($G$9-$F$9))))</f>
        <v>0.913340738992923</v>
      </c>
      <c r="F543" s="51" t="n">
        <f aca="false">1+IF($G$10=$E$10,$F$10,IF(T543&lt;($F$10-$E$10)/($G$10-$E$10),$E$10+SQRT(T543*($G$10-$E$10)*($F$10-$E$10)),$G$10-SQRT((1-T543)*($G$10-$E$10)*($G$10-$F$10))))</f>
        <v>1.10543757715621</v>
      </c>
      <c r="G543" s="52" t="n">
        <f aca="false">IF($G$11=$E$11,$F$11,IF(U543&lt;($F$11-$E$11)/($G$11-$E$11),$E$11+SQRT(U543*($G$11-$E$11)*($F$11-$E$11)),$G$11-SQRT((1-U543)*($G$11-$E$11)*($G$11-$F$11))))</f>
        <v>0.107496158633196</v>
      </c>
      <c r="H543" s="53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-2210875154.31242</v>
      </c>
      <c r="I543" s="53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-12396289.7984741</v>
      </c>
      <c r="J543" s="53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267046963.271224</v>
      </c>
      <c r="K543" s="53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601762095.198732</v>
      </c>
      <c r="L543" s="53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729189000.933803</v>
      </c>
      <c r="M543" s="53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917724351.848912</v>
      </c>
      <c r="N543" s="53" t="n">
        <f aca="false">IF(COUNT('Business Case'!B11:G11)=0,"",H543+NPV(G543,I543:M543))</f>
        <v>-525844418.229443</v>
      </c>
      <c r="P543" s="54" t="n">
        <f aca="true">RAND()</f>
        <v>0.792557461429769</v>
      </c>
      <c r="Q543" s="54" t="n">
        <f aca="true">RAND()</f>
        <v>0.587032660127972</v>
      </c>
      <c r="R543" s="54" t="n">
        <f aca="true">RAND()</f>
        <v>0.897217939816481</v>
      </c>
      <c r="S543" s="54" t="n">
        <f aca="true">RAND()</f>
        <v>0.007119012675092</v>
      </c>
      <c r="T543" s="54" t="n">
        <f aca="true">RAND()</f>
        <v>0.721356078687117</v>
      </c>
      <c r="U543" s="54" t="n">
        <f aca="true">RAND()</f>
        <v>0.662384749158467</v>
      </c>
    </row>
    <row r="544" customFormat="false" ht="15" hidden="false" customHeight="false" outlineLevel="0" collapsed="false">
      <c r="A544" s="50" t="n">
        <v>464</v>
      </c>
      <c r="B544" s="51" t="n">
        <f aca="false">1+IF($G$6=$E$6,$F$6,IF(P544&lt;($F$6-$E$6)/($G$6-$E$6),$E$6+SQRT(P544*($G$6-$E$6)*($F$6-$E$6)),$G$6-SQRT((1-P544)*($G$6-$E$6)*($G$6-$F$6))))</f>
        <v>0.946785617546398</v>
      </c>
      <c r="C544" s="51" t="n">
        <f aca="false">1+IF($G$7=$E$7,$F$7,IF(Q544&lt;($F$7-$E$7)/($G$7-$E$7),$E$7+SQRT(Q544*($G$7-$E$7)*($F$7-$E$7)),$G$7-SQRT((1-Q544)*($G$7-$E$7)*($G$7-$F$7))))</f>
        <v>0.841684074949327</v>
      </c>
      <c r="D544" s="51" t="n">
        <f aca="false">1+IF($G$8=$E$8,$F$8,IF(R544&lt;($F$8-$E$8)/($G$8-$E$8),$E$8+SQRT(R544*($G$8-$E$8)*($F$8-$E$8)),$G$8-SQRT((1-R544)*($G$8-$E$8)*($G$8-$F$8))))</f>
        <v>1.02917196821538</v>
      </c>
      <c r="E544" s="51" t="n">
        <f aca="false">1+IF($G$9=$E$9,$F$9,IF(S544&lt;($F$9-$E$9)/($G$9-$E$9),$E$9+SQRT(S544*($G$9-$E$9)*($F$9-$E$9)),$G$9-SQRT((1-S544)*($G$9-$E$9)*($G$9-$F$9))))</f>
        <v>1.0389442846205</v>
      </c>
      <c r="F544" s="51" t="n">
        <f aca="false">1+IF($G$10=$E$10,$F$10,IF(T544&lt;($F$10-$E$10)/($G$10-$E$10),$E$10+SQRT(T544*($G$10-$E$10)*($F$10-$E$10)),$G$10-SQRT((1-T544)*($G$10-$E$10)*($G$10-$F$10))))</f>
        <v>0.99389091309962</v>
      </c>
      <c r="G544" s="52" t="n">
        <f aca="false">IF($G$11=$E$11,$F$11,IF(U544&lt;($F$11-$E$11)/($G$11-$E$11),$E$11+SQRT(U544*($G$11-$E$11)*($F$11-$E$11)),$G$11-SQRT((1-U544)*($G$11-$E$11)*($G$11-$F$11))))</f>
        <v>0.120470551000196</v>
      </c>
      <c r="H544" s="53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-1987781826.19924</v>
      </c>
      <c r="I544" s="53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-79168483.0496115</v>
      </c>
      <c r="J544" s="53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130101006.970858</v>
      </c>
      <c r="K544" s="53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389065042.64631</v>
      </c>
      <c r="L544" s="53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486362208.977856</v>
      </c>
      <c r="M544" s="53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637835892.097165</v>
      </c>
      <c r="N544" s="53" t="n">
        <f aca="false">IF(COUNT('Business Case'!B11:G11)=0,"",H544+NPV(G544,I544:M544))</f>
        <v>-1008490625.86282</v>
      </c>
      <c r="P544" s="54" t="n">
        <f aca="true">RAND()</f>
        <v>0.145926267279852</v>
      </c>
      <c r="Q544" s="54" t="n">
        <f aca="true">RAND()</f>
        <v>0.14869908958701</v>
      </c>
      <c r="R544" s="54" t="n">
        <f aca="true">RAND()</f>
        <v>0.665559327567804</v>
      </c>
      <c r="S544" s="54" t="n">
        <f aca="true">RAND()</f>
        <v>0.671110082174594</v>
      </c>
      <c r="T544" s="54" t="n">
        <f aca="true">RAND()</f>
        <v>0.128427483514561</v>
      </c>
      <c r="U544" s="54" t="n">
        <f aca="true">RAND()</f>
        <v>0.939459734506753</v>
      </c>
    </row>
    <row r="545" customFormat="false" ht="15" hidden="false" customHeight="false" outlineLevel="0" collapsed="false">
      <c r="A545" s="50" t="n">
        <v>465</v>
      </c>
      <c r="B545" s="51" t="n">
        <f aca="false">1+IF($G$6=$E$6,$F$6,IF(P545&lt;($F$6-$E$6)/($G$6-$E$6),$E$6+SQRT(P545*($G$6-$E$6)*($F$6-$E$6)),$G$6-SQRT((1-P545)*($G$6-$E$6)*($G$6-$F$6))))</f>
        <v>1.01435347472567</v>
      </c>
      <c r="C545" s="51" t="n">
        <f aca="false">1+IF($G$7=$E$7,$F$7,IF(Q545&lt;($F$7-$E$7)/($G$7-$E$7),$E$7+SQRT(Q545*($G$7-$E$7)*($F$7-$E$7)),$G$7-SQRT((1-Q545)*($G$7-$E$7)*($G$7-$F$7))))</f>
        <v>1.03702397854947</v>
      </c>
      <c r="D545" s="51" t="n">
        <f aca="false">1+IF($G$8=$E$8,$F$8,IF(R545&lt;($F$8-$E$8)/($G$8-$E$8),$E$8+SQRT(R545*($G$8-$E$8)*($F$8-$E$8)),$G$8-SQRT((1-R545)*($G$8-$E$8)*($G$8-$F$8))))</f>
        <v>1.03837869892918</v>
      </c>
      <c r="E545" s="51" t="n">
        <f aca="false">1+IF($G$9=$E$9,$F$9,IF(S545&lt;($F$9-$E$9)/($G$9-$E$9),$E$9+SQRT(S545*($G$9-$E$9)*($F$9-$E$9)),$G$9-SQRT((1-S545)*($G$9-$E$9)*($G$9-$F$9))))</f>
        <v>0.988466412298769</v>
      </c>
      <c r="F545" s="51" t="n">
        <f aca="false">1+IF($G$10=$E$10,$F$10,IF(T545&lt;($F$10-$E$10)/($G$10-$E$10),$E$10+SQRT(T545*($G$10-$E$10)*($F$10-$E$10)),$G$10-SQRT((1-T545)*($G$10-$E$10)*($G$10-$F$10))))</f>
        <v>1.06349483236684</v>
      </c>
      <c r="G545" s="52" t="n">
        <f aca="false">IF($G$11=$E$11,$F$11,IF(U545&lt;($F$11-$E$11)/($G$11-$E$11),$E$11+SQRT(U545*($G$11-$E$11)*($F$11-$E$11)),$G$11-SQRT((1-U545)*($G$11-$E$11)*($G$11-$F$11))))</f>
        <v>0.100555598108381</v>
      </c>
      <c r="H545" s="53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-2126989664.73368</v>
      </c>
      <c r="I545" s="53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8901201.46878362</v>
      </c>
      <c r="J545" s="53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319242766.135779</v>
      </c>
      <c r="K545" s="53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682759072.421117</v>
      </c>
      <c r="L545" s="53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822560231.398545</v>
      </c>
      <c r="M545" s="53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1022507070.55157</v>
      </c>
      <c r="N545" s="53" t="n">
        <f aca="false">IF(COUNT('Business Case'!B11:G11)=0,"",H545+NPV(G545,I545:M545))</f>
        <v>-149159038.866858</v>
      </c>
      <c r="P545" s="54" t="n">
        <f aca="true">RAND()</f>
        <v>0.830576698115555</v>
      </c>
      <c r="Q545" s="54" t="n">
        <f aca="true">RAND()</f>
        <v>0.810909904847545</v>
      </c>
      <c r="R545" s="54" t="n">
        <f aca="true">RAND()</f>
        <v>0.746854350289307</v>
      </c>
      <c r="S545" s="54" t="n">
        <f aca="true">RAND()</f>
        <v>0.313052244200629</v>
      </c>
      <c r="T545" s="54" t="n">
        <f aca="true">RAND()</f>
        <v>0.536210965948353</v>
      </c>
      <c r="U545" s="54" t="n">
        <f aca="true">RAND()</f>
        <v>0.422018131496552</v>
      </c>
    </row>
    <row r="546" customFormat="false" ht="15" hidden="false" customHeight="false" outlineLevel="0" collapsed="false">
      <c r="A546" s="50" t="n">
        <v>466</v>
      </c>
      <c r="B546" s="51" t="n">
        <f aca="false">1+IF($G$6=$E$6,$F$6,IF(P546&lt;($F$6-$E$6)/($G$6-$E$6),$E$6+SQRT(P546*($G$6-$E$6)*($F$6-$E$6)),$G$6-SQRT((1-P546)*($G$6-$E$6)*($G$6-$F$6))))</f>
        <v>0.980402062657274</v>
      </c>
      <c r="C546" s="51" t="n">
        <f aca="false">1+IF($G$7=$E$7,$F$7,IF(Q546&lt;($F$7-$E$7)/($G$7-$E$7),$E$7+SQRT(Q546*($G$7-$E$7)*($F$7-$E$7)),$G$7-SQRT((1-Q546)*($G$7-$E$7)*($G$7-$F$7))))</f>
        <v>0.98703285850516</v>
      </c>
      <c r="D546" s="51" t="n">
        <f aca="false">1+IF($G$8=$E$8,$F$8,IF(R546&lt;($F$8-$E$8)/($G$8-$E$8),$E$8+SQRT(R546*($G$8-$E$8)*($F$8-$E$8)),$G$8-SQRT((1-R546)*($G$8-$E$8)*($G$8-$F$8))))</f>
        <v>1.0046866946879</v>
      </c>
      <c r="E546" s="51" t="n">
        <f aca="false">1+IF($G$9=$E$9,$F$9,IF(S546&lt;($F$9-$E$9)/($G$9-$E$9),$E$9+SQRT(S546*($G$9-$E$9)*($F$9-$E$9)),$G$9-SQRT((1-S546)*($G$9-$E$9)*($G$9-$F$9))))</f>
        <v>1.04019706344276</v>
      </c>
      <c r="F546" s="51" t="n">
        <f aca="false">1+IF($G$10=$E$10,$F$10,IF(T546&lt;($F$10-$E$10)/($G$10-$E$10),$E$10+SQRT(T546*($G$10-$E$10)*($F$10-$E$10)),$G$10-SQRT((1-T546)*($G$10-$E$10)*($G$10-$F$10))))</f>
        <v>1.07597012977017</v>
      </c>
      <c r="G546" s="52" t="n">
        <f aca="false">IF($G$11=$E$11,$F$11,IF(U546&lt;($F$11-$E$11)/($G$11-$E$11),$E$11+SQRT(U546*($G$11-$E$11)*($F$11-$E$11)),$G$11-SQRT((1-U546)*($G$11-$E$11)*($G$11-$F$11))))</f>
        <v>0.1007213263349</v>
      </c>
      <c r="H546" s="53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-2151940259.54034</v>
      </c>
      <c r="I546" s="53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-20720992.6300087</v>
      </c>
      <c r="J546" s="53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264236050.510724</v>
      </c>
      <c r="K546" s="53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602991600.139964</v>
      </c>
      <c r="L546" s="53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731420614.768318</v>
      </c>
      <c r="M546" s="53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915358949.466252</v>
      </c>
      <c r="N546" s="53" t="n">
        <f aca="false">IF(COUNT('Business Case'!B11:G11)=0,"",H546+NPV(G546,I546:M546))</f>
        <v>-435760047.109582</v>
      </c>
      <c r="P546" s="54" t="n">
        <f aca="true">RAND()</f>
        <v>0.430966111969616</v>
      </c>
      <c r="Q546" s="54" t="n">
        <f aca="true">RAND()</f>
        <v>0.610280458234392</v>
      </c>
      <c r="R546" s="54" t="n">
        <f aca="true">RAND()</f>
        <v>0.394358255365543</v>
      </c>
      <c r="S546" s="54" t="n">
        <f aca="true">RAND()</f>
        <v>0.678488403290829</v>
      </c>
      <c r="T546" s="54" t="n">
        <f aca="true">RAND()</f>
        <v>0.596181390237179</v>
      </c>
      <c r="U546" s="54" t="n">
        <f aca="true">RAND()</f>
        <v>0.428506178941711</v>
      </c>
    </row>
    <row r="547" customFormat="false" ht="15" hidden="false" customHeight="false" outlineLevel="0" collapsed="false">
      <c r="A547" s="50" t="n">
        <v>467</v>
      </c>
      <c r="B547" s="51" t="n">
        <f aca="false">1+IF($G$6=$E$6,$F$6,IF(P547&lt;($F$6-$E$6)/($G$6-$E$6),$E$6+SQRT(P547*($G$6-$E$6)*($F$6-$E$6)),$G$6-SQRT((1-P547)*($G$6-$E$6)*($G$6-$F$6))))</f>
        <v>1.01622510640814</v>
      </c>
      <c r="C547" s="51" t="n">
        <f aca="false">1+IF($G$7=$E$7,$F$7,IF(Q547&lt;($F$7-$E$7)/($G$7-$E$7),$E$7+SQRT(Q547*($G$7-$E$7)*($F$7-$E$7)),$G$7-SQRT((1-Q547)*($G$7-$E$7)*($G$7-$F$7))))</f>
        <v>1.00130801883759</v>
      </c>
      <c r="D547" s="51" t="n">
        <f aca="false">1+IF($G$8=$E$8,$F$8,IF(R547&lt;($F$8-$E$8)/($G$8-$E$8),$E$8+SQRT(R547*($G$8-$E$8)*($F$8-$E$8)),$G$8-SQRT((1-R547)*($G$8-$E$8)*($G$8-$F$8))))</f>
        <v>1.02322235325184</v>
      </c>
      <c r="E547" s="51" t="n">
        <f aca="false">1+IF($G$9=$E$9,$F$9,IF(S547&lt;($F$9-$E$9)/($G$9-$E$9),$E$9+SQRT(S547*($G$9-$E$9)*($F$9-$E$9)),$G$9-SQRT((1-S547)*($G$9-$E$9)*($G$9-$F$9))))</f>
        <v>1.05934522970122</v>
      </c>
      <c r="F547" s="51" t="n">
        <f aca="false">1+IF($G$10=$E$10,$F$10,IF(T547&lt;($F$10-$E$10)/($G$10-$E$10),$E$10+SQRT(T547*($G$10-$E$10)*($F$10-$E$10)),$G$10-SQRT((1-T547)*($G$10-$E$10)*($G$10-$F$10))))</f>
        <v>1.01882838203995</v>
      </c>
      <c r="G547" s="52" t="n">
        <f aca="false">IF($G$11=$E$11,$F$11,IF(U547&lt;($F$11-$E$11)/($G$11-$E$11),$E$11+SQRT(U547*($G$11-$E$11)*($F$11-$E$11)),$G$11-SQRT((1-U547)*($G$11-$E$11)*($G$11-$F$11))))</f>
        <v>0.0902409347104957</v>
      </c>
      <c r="H547" s="53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-2037656764.07989</v>
      </c>
      <c r="I547" s="53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3685389.85891938</v>
      </c>
      <c r="J547" s="53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312642526.985177</v>
      </c>
      <c r="K547" s="53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672541083.213433</v>
      </c>
      <c r="L547" s="53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810693473.855406</v>
      </c>
      <c r="M547" s="53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1004110204.32145</v>
      </c>
      <c r="N547" s="53" t="n">
        <f aca="false">IF(COUNT('Business Case'!B11:G11)=0,"",H547+NPV(G547,I547:M547))</f>
        <v>-26576721.1439602</v>
      </c>
      <c r="P547" s="54" t="n">
        <f aca="true">RAND()</f>
        <v>0.847900875047765</v>
      </c>
      <c r="Q547" s="54" t="n">
        <f aca="true">RAND()</f>
        <v>0.67245473685922</v>
      </c>
      <c r="R547" s="54" t="n">
        <f aca="true">RAND()</f>
        <v>0.607012863987627</v>
      </c>
      <c r="S547" s="54" t="n">
        <f aca="true">RAND()</f>
        <v>0.780845669922023</v>
      </c>
      <c r="T547" s="54" t="n">
        <f aca="true">RAND()</f>
        <v>0.287462440663084</v>
      </c>
      <c r="U547" s="54" t="n">
        <f aca="true">RAND()</f>
        <v>0.104876743744636</v>
      </c>
    </row>
    <row r="548" customFormat="false" ht="15" hidden="false" customHeight="false" outlineLevel="0" collapsed="false">
      <c r="A548" s="50" t="n">
        <v>468</v>
      </c>
      <c r="B548" s="51" t="n">
        <f aca="false">1+IF($G$6=$E$6,$F$6,IF(P548&lt;($F$6-$E$6)/($G$6-$E$6),$E$6+SQRT(P548*($G$6-$E$6)*($F$6-$E$6)),$G$6-SQRT((1-P548)*($G$6-$E$6)*($G$6-$F$6))))</f>
        <v>0.970873402495681</v>
      </c>
      <c r="C548" s="51" t="n">
        <f aca="false">1+IF($G$7=$E$7,$F$7,IF(Q548&lt;($F$7-$E$7)/($G$7-$E$7),$E$7+SQRT(Q548*($G$7-$E$7)*($F$7-$E$7)),$G$7-SQRT((1-Q548)*($G$7-$E$7)*($G$7-$F$7))))</f>
        <v>1.09001017459688</v>
      </c>
      <c r="D548" s="51" t="n">
        <f aca="false">1+IF($G$8=$E$8,$F$8,IF(R548&lt;($F$8-$E$8)/($G$8-$E$8),$E$8+SQRT(R548*($G$8-$E$8)*($F$8-$E$8)),$G$8-SQRT((1-R548)*($G$8-$E$8)*($G$8-$F$8))))</f>
        <v>1.02930514345289</v>
      </c>
      <c r="E548" s="51" t="n">
        <f aca="false">1+IF($G$9=$E$9,$F$9,IF(S548&lt;($F$9-$E$9)/($G$9-$E$9),$E$9+SQRT(S548*($G$9-$E$9)*($F$9-$E$9)),$G$9-SQRT((1-S548)*($G$9-$E$9)*($G$9-$F$9))))</f>
        <v>1.02152722369733</v>
      </c>
      <c r="F548" s="51" t="n">
        <f aca="false">1+IF($G$10=$E$10,$F$10,IF(T548&lt;($F$10-$E$10)/($G$10-$E$10),$E$10+SQRT(T548*($G$10-$E$10)*($F$10-$E$10)),$G$10-SQRT((1-T548)*($G$10-$E$10)*($G$10-$F$10))))</f>
        <v>1.06911043994381</v>
      </c>
      <c r="G548" s="52" t="n">
        <f aca="false">IF($G$11=$E$11,$F$11,IF(U548&lt;($F$11-$E$11)/($G$11-$E$11),$E$11+SQRT(U548*($G$11-$E$11)*($F$11-$E$11)),$G$11-SQRT((1-U548)*($G$11-$E$11)*($G$11-$F$11))))</f>
        <v>0.102341569793994</v>
      </c>
      <c r="H548" s="53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-2138220879.88761</v>
      </c>
      <c r="I548" s="53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-14590051.4110932</v>
      </c>
      <c r="J548" s="53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277852408.602261</v>
      </c>
      <c r="K548" s="53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623750390.612805</v>
      </c>
      <c r="L548" s="53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757804741.430794</v>
      </c>
      <c r="M548" s="53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958959160.90525</v>
      </c>
      <c r="N548" s="53" t="n">
        <f aca="false">IF(COUNT('Business Case'!B11:G11)=0,"",H548+NPV(G548,I548:M548))</f>
        <v>-354800028.177756</v>
      </c>
      <c r="P548" s="54" t="n">
        <f aca="true">RAND()</f>
        <v>0.334869278754323</v>
      </c>
      <c r="Q548" s="54" t="n">
        <f aca="true">RAND()</f>
        <v>0.946684753305237</v>
      </c>
      <c r="R548" s="54" t="n">
        <f aca="true">RAND()</f>
        <v>0.666815817185538</v>
      </c>
      <c r="S548" s="54" t="n">
        <f aca="true">RAND()</f>
        <v>0.559859886642224</v>
      </c>
      <c r="T548" s="54" t="n">
        <f aca="true">RAND()</f>
        <v>0.563719560835691</v>
      </c>
      <c r="U548" s="54" t="n">
        <f aca="true">RAND()</f>
        <v>0.490007492359649</v>
      </c>
    </row>
    <row r="549" customFormat="false" ht="15" hidden="false" customHeight="false" outlineLevel="0" collapsed="false">
      <c r="A549" s="50" t="n">
        <v>469</v>
      </c>
      <c r="B549" s="51" t="n">
        <f aca="false">1+IF($G$6=$E$6,$F$6,IF(P549&lt;($F$6-$E$6)/($G$6-$E$6),$E$6+SQRT(P549*($G$6-$E$6)*($F$6-$E$6)),$G$6-SQRT((1-P549)*($G$6-$E$6)*($G$6-$F$6))))</f>
        <v>1.01176601467223</v>
      </c>
      <c r="C549" s="51" t="n">
        <f aca="false">1+IF($G$7=$E$7,$F$7,IF(Q549&lt;($F$7-$E$7)/($G$7-$E$7),$E$7+SQRT(Q549*($G$7-$E$7)*($F$7-$E$7)),$G$7-SQRT((1-Q549)*($G$7-$E$7)*($G$7-$F$7))))</f>
        <v>0.909776747598234</v>
      </c>
      <c r="D549" s="51" t="n">
        <f aca="false">1+IF($G$8=$E$8,$F$8,IF(R549&lt;($F$8-$E$8)/($G$8-$E$8),$E$8+SQRT(R549*($G$8-$E$8)*($F$8-$E$8)),$G$8-SQRT((1-R549)*($G$8-$E$8)*($G$8-$F$8))))</f>
        <v>1.00958272135212</v>
      </c>
      <c r="E549" s="51" t="n">
        <f aca="false">1+IF($G$9=$E$9,$F$9,IF(S549&lt;($F$9-$E$9)/($G$9-$E$9),$E$9+SQRT(S549*($G$9-$E$9)*($F$9-$E$9)),$G$9-SQRT((1-S549)*($G$9-$E$9)*($G$9-$F$9))))</f>
        <v>1.07870465507045</v>
      </c>
      <c r="F549" s="51" t="n">
        <f aca="false">1+IF($G$10=$E$10,$F$10,IF(T549&lt;($F$10-$E$10)/($G$10-$E$10),$E$10+SQRT(T549*($G$10-$E$10)*($F$10-$E$10)),$G$10-SQRT((1-T549)*($G$10-$E$10)*($G$10-$F$10))))</f>
        <v>1.09710359057705</v>
      </c>
      <c r="G549" s="52" t="n">
        <f aca="false">IF($G$11=$E$11,$F$11,IF(U549&lt;($F$11-$E$11)/($G$11-$E$11),$E$11+SQRT(U549*($G$11-$E$11)*($F$11-$E$11)),$G$11-SQRT((1-U549)*($G$11-$E$11)*($G$11-$F$11))))</f>
        <v>0.118428193018725</v>
      </c>
      <c r="H549" s="53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-2194207181.1541</v>
      </c>
      <c r="I549" s="53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-27075434.8085203</v>
      </c>
      <c r="J549" s="53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256669036.496881</v>
      </c>
      <c r="K549" s="53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595268687.331135</v>
      </c>
      <c r="L549" s="53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721662007.836402</v>
      </c>
      <c r="M549" s="53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896627073.22213</v>
      </c>
      <c r="N549" s="53" t="n">
        <f aca="false">IF(COUNT('Business Case'!B11:G11)=0,"",H549+NPV(G549,I549:M549))</f>
        <v>-614167497.051769</v>
      </c>
      <c r="P549" s="54" t="n">
        <f aca="true">RAND()</f>
        <v>0.805088315460758</v>
      </c>
      <c r="Q549" s="54" t="n">
        <f aca="true">RAND()</f>
        <v>0.325972472836244</v>
      </c>
      <c r="R549" s="54" t="n">
        <f aca="true">RAND()</f>
        <v>0.454981048127474</v>
      </c>
      <c r="S549" s="54" t="n">
        <f aca="true">RAND()</f>
        <v>0.864452634436712</v>
      </c>
      <c r="T549" s="54" t="n">
        <f aca="true">RAND()</f>
        <v>0.688302506474257</v>
      </c>
      <c r="U549" s="54" t="n">
        <f aca="true">RAND()</f>
        <v>0.910728855458749</v>
      </c>
    </row>
    <row r="550" customFormat="false" ht="15" hidden="false" customHeight="false" outlineLevel="0" collapsed="false">
      <c r="A550" s="50" t="n">
        <v>470</v>
      </c>
      <c r="B550" s="51" t="n">
        <f aca="false">1+IF($G$6=$E$6,$F$6,IF(P550&lt;($F$6-$E$6)/($G$6-$E$6),$E$6+SQRT(P550*($G$6-$E$6)*($F$6-$E$6)),$G$6-SQRT((1-P550)*($G$6-$E$6)*($G$6-$F$6))))</f>
        <v>1.01390411405363</v>
      </c>
      <c r="C550" s="51" t="n">
        <f aca="false">1+IF($G$7=$E$7,$F$7,IF(Q550&lt;($F$7-$E$7)/($G$7-$E$7),$E$7+SQRT(Q550*($G$7-$E$7)*($F$7-$E$7)),$G$7-SQRT((1-Q550)*($G$7-$E$7)*($G$7-$F$7))))</f>
        <v>0.957020696999515</v>
      </c>
      <c r="D550" s="51" t="n">
        <f aca="false">1+IF($G$8=$E$8,$F$8,IF(R550&lt;($F$8-$E$8)/($G$8-$E$8),$E$8+SQRT(R550*($G$8-$E$8)*($F$8-$E$8)),$G$8-SQRT((1-R550)*($G$8-$E$8)*($G$8-$F$8))))</f>
        <v>1.00293363688545</v>
      </c>
      <c r="E550" s="51" t="n">
        <f aca="false">1+IF($G$9=$E$9,$F$9,IF(S550&lt;($F$9-$E$9)/($G$9-$E$9),$E$9+SQRT(S550*($G$9-$E$9)*($F$9-$E$9)),$G$9-SQRT((1-S550)*($G$9-$E$9)*($G$9-$F$9))))</f>
        <v>1.04142926492245</v>
      </c>
      <c r="F550" s="51" t="n">
        <f aca="false">1+IF($G$10=$E$10,$F$10,IF(T550&lt;($F$10-$E$10)/($G$10-$E$10),$E$10+SQRT(T550*($G$10-$E$10)*($F$10-$E$10)),$G$10-SQRT((1-T550)*($G$10-$E$10)*($G$10-$F$10))))</f>
        <v>1.08709407367784</v>
      </c>
      <c r="G550" s="52" t="n">
        <f aca="false">IF($G$11=$E$11,$F$11,IF(U550&lt;($F$11-$E$11)/($G$11-$E$11),$E$11+SQRT(U550*($G$11-$E$11)*($F$11-$E$11)),$G$11-SQRT((1-U550)*($G$11-$E$11)*($G$11-$F$11))))</f>
        <v>0.0900050520967436</v>
      </c>
      <c r="H550" s="53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-2174188147.35567</v>
      </c>
      <c r="I550" s="53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-3689830.5368012</v>
      </c>
      <c r="J550" s="53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299722750.950606</v>
      </c>
      <c r="K550" s="53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657490036.121904</v>
      </c>
      <c r="L550" s="53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792162072.074007</v>
      </c>
      <c r="M550" s="53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976601870.416995</v>
      </c>
      <c r="N550" s="53" t="n">
        <f aca="false">IF(COUNT('Business Case'!B11:G11)=0,"",H550+NPV(G550,I550:M550))</f>
        <v>-221722431.026191</v>
      </c>
      <c r="P550" s="54" t="n">
        <f aca="true">RAND()</f>
        <v>0.826278269032922</v>
      </c>
      <c r="Q550" s="54" t="n">
        <f aca="true">RAND()</f>
        <v>0.489330656934196</v>
      </c>
      <c r="R550" s="54" t="n">
        <f aca="true">RAND()</f>
        <v>0.371874743447557</v>
      </c>
      <c r="S550" s="54" t="n">
        <f aca="true">RAND()</f>
        <v>0.685663879592573</v>
      </c>
      <c r="T550" s="54" t="n">
        <f aca="true">RAND()</f>
        <v>0.646155455588235</v>
      </c>
      <c r="U550" s="54" t="n">
        <f aca="true">RAND()</f>
        <v>0.100101067458554</v>
      </c>
    </row>
    <row r="551" customFormat="false" ht="15" hidden="false" customHeight="false" outlineLevel="0" collapsed="false">
      <c r="A551" s="50" t="n">
        <v>471</v>
      </c>
      <c r="B551" s="51" t="n">
        <f aca="false">1+IF($G$6=$E$6,$F$6,IF(P551&lt;($F$6-$E$6)/($G$6-$E$6),$E$6+SQRT(P551*($G$6-$E$6)*($F$6-$E$6)),$G$6-SQRT((1-P551)*($G$6-$E$6)*($G$6-$F$6))))</f>
        <v>1.01022957376464</v>
      </c>
      <c r="C551" s="51" t="n">
        <f aca="false">1+IF($G$7=$E$7,$F$7,IF(Q551&lt;($F$7-$E$7)/($G$7-$E$7),$E$7+SQRT(Q551*($G$7-$E$7)*($F$7-$E$7)),$G$7-SQRT((1-Q551)*($G$7-$E$7)*($G$7-$F$7))))</f>
        <v>0.850779713842107</v>
      </c>
      <c r="D551" s="51" t="n">
        <f aca="false">1+IF($G$8=$E$8,$F$8,IF(R551&lt;($F$8-$E$8)/($G$8-$E$8),$E$8+SQRT(R551*($G$8-$E$8)*($F$8-$E$8)),$G$8-SQRT((1-R551)*($G$8-$E$8)*($G$8-$F$8))))</f>
        <v>1.08663217941585</v>
      </c>
      <c r="E551" s="51" t="n">
        <f aca="false">1+IF($G$9=$E$9,$F$9,IF(S551&lt;($F$9-$E$9)/($G$9-$E$9),$E$9+SQRT(S551*($G$9-$E$9)*($F$9-$E$9)),$G$9-SQRT((1-S551)*($G$9-$E$9)*($G$9-$F$9))))</f>
        <v>0.996505807525645</v>
      </c>
      <c r="F551" s="51" t="n">
        <f aca="false">1+IF($G$10=$E$10,$F$10,IF(T551&lt;($F$10-$E$10)/($G$10-$E$10),$E$10+SQRT(T551*($G$10-$E$10)*($F$10-$E$10)),$G$10-SQRT((1-T551)*($G$10-$E$10)*($G$10-$F$10))))</f>
        <v>1.10362545878243</v>
      </c>
      <c r="G551" s="52" t="n">
        <f aca="false">IF($G$11=$E$11,$F$11,IF(U551&lt;($F$11-$E$11)/($G$11-$E$11),$E$11+SQRT(U551*($G$11-$E$11)*($F$11-$E$11)),$G$11-SQRT((1-U551)*($G$11-$E$11)*($G$11-$F$11))))</f>
        <v>0.0886361463430426</v>
      </c>
      <c r="H551" s="53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-2207250917.56485</v>
      </c>
      <c r="I551" s="53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-65905106.7942414</v>
      </c>
      <c r="J551" s="53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164811047.906958</v>
      </c>
      <c r="K551" s="53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450708475.547277</v>
      </c>
      <c r="L551" s="53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557317586.972378</v>
      </c>
      <c r="M551" s="53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720688082.858231</v>
      </c>
      <c r="N551" s="53" t="n">
        <f aca="false">IF(COUNT('Business Case'!B11:G11)=0,"",H551+NPV(G551,I551:M551))</f>
        <v>-911245482.087008</v>
      </c>
      <c r="P551" s="54" t="n">
        <f aca="true">RAND()</f>
        <v>0.789108426274333</v>
      </c>
      <c r="Q551" s="54" t="n">
        <f aca="true">RAND()</f>
        <v>0.16840386745413</v>
      </c>
      <c r="R551" s="54" t="n">
        <f aca="true">RAND()</f>
        <v>0.988086758188656</v>
      </c>
      <c r="S551" s="54" t="n">
        <f aca="true">RAND()</f>
        <v>0.37253483544707</v>
      </c>
      <c r="T551" s="54" t="n">
        <f aca="true">RAND()</f>
        <v>0.714326582444597</v>
      </c>
      <c r="U551" s="54" t="n">
        <f aca="true">RAND()</f>
        <v>0.0745830236584481</v>
      </c>
    </row>
    <row r="552" customFormat="false" ht="15" hidden="false" customHeight="false" outlineLevel="0" collapsed="false">
      <c r="A552" s="50" t="n">
        <v>472</v>
      </c>
      <c r="B552" s="51" t="n">
        <f aca="false">1+IF($G$6=$E$6,$F$6,IF(P552&lt;($F$6-$E$6)/($G$6-$E$6),$E$6+SQRT(P552*($G$6-$E$6)*($F$6-$E$6)),$G$6-SQRT((1-P552)*($G$6-$E$6)*($G$6-$F$6))))</f>
        <v>1.01693851926001</v>
      </c>
      <c r="C552" s="51" t="n">
        <f aca="false">1+IF($G$7=$E$7,$F$7,IF(Q552&lt;($F$7-$E$7)/($G$7-$E$7),$E$7+SQRT(Q552*($G$7-$E$7)*($F$7-$E$7)),$G$7-SQRT((1-Q552)*($G$7-$E$7)*($G$7-$F$7))))</f>
        <v>0.896233689156531</v>
      </c>
      <c r="D552" s="51" t="n">
        <f aca="false">1+IF($G$8=$E$8,$F$8,IF(R552&lt;($F$8-$E$8)/($G$8-$E$8),$E$8+SQRT(R552*($G$8-$E$8)*($F$8-$E$8)),$G$8-SQRT((1-R552)*($G$8-$E$8)*($G$8-$F$8))))</f>
        <v>1.04096184299749</v>
      </c>
      <c r="E552" s="51" t="n">
        <f aca="false">1+IF($G$9=$E$9,$F$9,IF(S552&lt;($F$9-$E$9)/($G$9-$E$9),$E$9+SQRT(S552*($G$9-$E$9)*($F$9-$E$9)),$G$9-SQRT((1-S552)*($G$9-$E$9)*($G$9-$F$9))))</f>
        <v>1.08268259207305</v>
      </c>
      <c r="F552" s="51" t="n">
        <f aca="false">1+IF($G$10=$E$10,$F$10,IF(T552&lt;($F$10-$E$10)/($G$10-$E$10),$E$10+SQRT(T552*($G$10-$E$10)*($F$10-$E$10)),$G$10-SQRT((1-T552)*($G$10-$E$10)*($G$10-$F$10))))</f>
        <v>1.22350391897029</v>
      </c>
      <c r="G552" s="52" t="n">
        <f aca="false">IF($G$11=$E$11,$F$11,IF(U552&lt;($F$11-$E$11)/($G$11-$E$11),$E$11+SQRT(U552*($G$11-$E$11)*($F$11-$E$11)),$G$11-SQRT((1-U552)*($G$11-$E$11)*($G$11-$F$11))))</f>
        <v>0.0970411673853421</v>
      </c>
      <c r="H552" s="53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-2447007837.94057</v>
      </c>
      <c r="I552" s="53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-54634681.8858696</v>
      </c>
      <c r="J552" s="53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214286223.547967</v>
      </c>
      <c r="K552" s="53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544382324.930318</v>
      </c>
      <c r="L552" s="53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665521113.961524</v>
      </c>
      <c r="M552" s="53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838762793.671123</v>
      </c>
      <c r="N552" s="53" t="n">
        <f aca="false">IF(COUNT('Business Case'!B11:G11)=0,"",H552+NPV(G552,I552:M552))</f>
        <v>-919085506.751742</v>
      </c>
      <c r="P552" s="54" t="n">
        <f aca="true">RAND()</f>
        <v>0.854258465503914</v>
      </c>
      <c r="Q552" s="54" t="n">
        <f aca="true">RAND()</f>
        <v>0.285241931555421</v>
      </c>
      <c r="R552" s="54" t="n">
        <f aca="true">RAND()</f>
        <v>0.767633067849809</v>
      </c>
      <c r="S552" s="54" t="n">
        <f aca="true">RAND()</f>
        <v>0.879156442399895</v>
      </c>
      <c r="T552" s="54" t="n">
        <f aca="true">RAND()</f>
        <v>0.990639435867557</v>
      </c>
      <c r="U552" s="54" t="n">
        <f aca="true">RAND()</f>
        <v>0.290401385855246</v>
      </c>
    </row>
    <row r="553" customFormat="false" ht="15" hidden="false" customHeight="false" outlineLevel="0" collapsed="false">
      <c r="A553" s="50" t="n">
        <v>473</v>
      </c>
      <c r="B553" s="51" t="n">
        <f aca="false">1+IF($G$6=$E$6,$F$6,IF(P553&lt;($F$6-$E$6)/($G$6-$E$6),$E$6+SQRT(P553*($G$6-$E$6)*($F$6-$E$6)),$G$6-SQRT((1-P553)*($G$6-$E$6)*($G$6-$F$6))))</f>
        <v>1.02049184143125</v>
      </c>
      <c r="C553" s="51" t="n">
        <f aca="false">1+IF($G$7=$E$7,$F$7,IF(Q553&lt;($F$7-$E$7)/($G$7-$E$7),$E$7+SQRT(Q553*($G$7-$E$7)*($F$7-$E$7)),$G$7-SQRT((1-Q553)*($G$7-$E$7)*($G$7-$F$7))))</f>
        <v>0.931848808800438</v>
      </c>
      <c r="D553" s="51" t="n">
        <f aca="false">1+IF($G$8=$E$8,$F$8,IF(R553&lt;($F$8-$E$8)/($G$8-$E$8),$E$8+SQRT(R553*($G$8-$E$8)*($F$8-$E$8)),$G$8-SQRT((1-R553)*($G$8-$E$8)*($G$8-$F$8))))</f>
        <v>1.02132001097383</v>
      </c>
      <c r="E553" s="51" t="n">
        <f aca="false">1+IF($G$9=$E$9,$F$9,IF(S553&lt;($F$9-$E$9)/($G$9-$E$9),$E$9+SQRT(S553*($G$9-$E$9)*($F$9-$E$9)),$G$9-SQRT((1-S553)*($G$9-$E$9)*($G$9-$F$9))))</f>
        <v>0.990784495660379</v>
      </c>
      <c r="F553" s="51" t="n">
        <f aca="false">1+IF($G$10=$E$10,$F$10,IF(T553&lt;($F$10-$E$10)/($G$10-$E$10),$E$10+SQRT(T553*($G$10-$E$10)*($F$10-$E$10)),$G$10-SQRT((1-T553)*($G$10-$E$10)*($G$10-$F$10))))</f>
        <v>1.07239301714561</v>
      </c>
      <c r="G553" s="52" t="n">
        <f aca="false">IF($G$11=$E$11,$F$11,IF(U553&lt;($F$11-$E$11)/($G$11-$E$11),$E$11+SQRT(U553*($G$11-$E$11)*($F$11-$E$11)),$G$11-SQRT((1-U553)*($G$11-$E$11)*($G$11-$F$11))))</f>
        <v>0.0928248619734565</v>
      </c>
      <c r="H553" s="53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-2144786034.29122</v>
      </c>
      <c r="I553" s="53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-5736478.60311356</v>
      </c>
      <c r="J553" s="53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285952842.289217</v>
      </c>
      <c r="K553" s="53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631261814.038829</v>
      </c>
      <c r="L553" s="53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761356216.00159</v>
      </c>
      <c r="M553" s="53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942111671.827508</v>
      </c>
      <c r="N553" s="53" t="n">
        <f aca="false">IF(COUNT('Business Case'!B11:G11)=0,"",H553+NPV(G553,I553:M553))</f>
        <v>-288673881.770546</v>
      </c>
      <c r="P553" s="54" t="n">
        <f aca="true">RAND()</f>
        <v>0.883902477050844</v>
      </c>
      <c r="Q553" s="54" t="n">
        <f aca="true">RAND()</f>
        <v>0.398176815868014</v>
      </c>
      <c r="R553" s="54" t="n">
        <f aca="true">RAND()</f>
        <v>0.587297288456112</v>
      </c>
      <c r="S553" s="54" t="n">
        <f aca="true">RAND()</f>
        <v>0.329672986092373</v>
      </c>
      <c r="T553" s="54" t="n">
        <f aca="true">RAND()</f>
        <v>0.579410128551463</v>
      </c>
      <c r="U553" s="54" t="n">
        <f aca="true">RAND()</f>
        <v>0.164477084638209</v>
      </c>
    </row>
    <row r="554" customFormat="false" ht="15" hidden="false" customHeight="false" outlineLevel="0" collapsed="false">
      <c r="A554" s="50" t="n">
        <v>474</v>
      </c>
      <c r="B554" s="51" t="n">
        <f aca="false">1+IF($G$6=$E$6,$F$6,IF(P554&lt;($F$6-$E$6)/($G$6-$E$6),$E$6+SQRT(P554*($G$6-$E$6)*($F$6-$E$6)),$G$6-SQRT((1-P554)*($G$6-$E$6)*($G$6-$F$6))))</f>
        <v>0.961713518929486</v>
      </c>
      <c r="C554" s="51" t="n">
        <f aca="false">1+IF($G$7=$E$7,$F$7,IF(Q554&lt;($F$7-$E$7)/($G$7-$E$7),$E$7+SQRT(Q554*($G$7-$E$7)*($F$7-$E$7)),$G$7-SQRT((1-Q554)*($G$7-$E$7)*($G$7-$F$7))))</f>
        <v>1.03459853725152</v>
      </c>
      <c r="D554" s="51" t="n">
        <f aca="false">1+IF($G$8=$E$8,$F$8,IF(R554&lt;($F$8-$E$8)/($G$8-$E$8),$E$8+SQRT(R554*($G$8-$E$8)*($F$8-$E$8)),$G$8-SQRT((1-R554)*($G$8-$E$8)*($G$8-$F$8))))</f>
        <v>1.03034612541674</v>
      </c>
      <c r="E554" s="51" t="n">
        <f aca="false">1+IF($G$9=$E$9,$F$9,IF(S554&lt;($F$9-$E$9)/($G$9-$E$9),$E$9+SQRT(S554*($G$9-$E$9)*($F$9-$E$9)),$G$9-SQRT((1-S554)*($G$9-$E$9)*($G$9-$F$9))))</f>
        <v>1.11208695307113</v>
      </c>
      <c r="F554" s="51" t="n">
        <f aca="false">1+IF($G$10=$E$10,$F$10,IF(T554&lt;($F$10-$E$10)/($G$10-$E$10),$E$10+SQRT(T554*($G$10-$E$10)*($F$10-$E$10)),$G$10-SQRT((1-T554)*($G$10-$E$10)*($G$10-$F$10))))</f>
        <v>1.0286176375331</v>
      </c>
      <c r="G554" s="52" t="n">
        <f aca="false">IF($G$11=$E$11,$F$11,IF(U554&lt;($F$11-$E$11)/($G$11-$E$11),$E$11+SQRT(U554*($G$11-$E$11)*($F$11-$E$11)),$G$11-SQRT((1-U554)*($G$11-$E$11)*($G$11-$F$11))))</f>
        <v>0.104094407797574</v>
      </c>
      <c r="H554" s="53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-2057235275.06619</v>
      </c>
      <c r="I554" s="53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-43318308.3222278</v>
      </c>
      <c r="J554" s="53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225944058.64843</v>
      </c>
      <c r="K554" s="53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546637307.495742</v>
      </c>
      <c r="L554" s="53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670778194.361203</v>
      </c>
      <c r="M554" s="53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859905399.341695</v>
      </c>
      <c r="N554" s="53" t="n">
        <f aca="false">IF(COUNT('Business Case'!B11:G11)=0,"",H554+NPV(G554,I554:M554))</f>
        <v>-529477861.704784</v>
      </c>
      <c r="P554" s="54" t="n">
        <f aca="true">RAND()</f>
        <v>0.253903894577334</v>
      </c>
      <c r="Q554" s="54" t="n">
        <f aca="true">RAND()</f>
        <v>0.802703739192762</v>
      </c>
      <c r="R554" s="54" t="n">
        <f aca="true">RAND()</f>
        <v>0.676555850369294</v>
      </c>
      <c r="S554" s="54" t="n">
        <f aca="true">RAND()</f>
        <v>0.961669356601842</v>
      </c>
      <c r="T554" s="54" t="n">
        <f aca="true">RAND()</f>
        <v>0.346531327847627</v>
      </c>
      <c r="U554" s="54" t="n">
        <f aca="true">RAND()</f>
        <v>0.55260019509442</v>
      </c>
    </row>
    <row r="555" customFormat="false" ht="15" hidden="false" customHeight="false" outlineLevel="0" collapsed="false">
      <c r="A555" s="50" t="n">
        <v>475</v>
      </c>
      <c r="B555" s="51" t="n">
        <f aca="false">1+IF($G$6=$E$6,$F$6,IF(P555&lt;($F$6-$E$6)/($G$6-$E$6),$E$6+SQRT(P555*($G$6-$E$6)*($F$6-$E$6)),$G$6-SQRT((1-P555)*($G$6-$E$6)*($G$6-$F$6))))</f>
        <v>1.04314096615767</v>
      </c>
      <c r="C555" s="51" t="n">
        <f aca="false">1+IF($G$7=$E$7,$F$7,IF(Q555&lt;($F$7-$E$7)/($G$7-$E$7),$E$7+SQRT(Q555*($G$7-$E$7)*($F$7-$E$7)),$G$7-SQRT((1-Q555)*($G$7-$E$7)*($G$7-$F$7))))</f>
        <v>0.976983851193892</v>
      </c>
      <c r="D555" s="51" t="n">
        <f aca="false">1+IF($G$8=$E$8,$F$8,IF(R555&lt;($F$8-$E$8)/($G$8-$E$8),$E$8+SQRT(R555*($G$8-$E$8)*($F$8-$E$8)),$G$8-SQRT((1-R555)*($G$8-$E$8)*($G$8-$F$8))))</f>
        <v>1.03307571956714</v>
      </c>
      <c r="E555" s="51" t="n">
        <f aca="false">1+IF($G$9=$E$9,$F$9,IF(S555&lt;($F$9-$E$9)/($G$9-$E$9),$E$9+SQRT(S555*($G$9-$E$9)*($F$9-$E$9)),$G$9-SQRT((1-S555)*($G$9-$E$9)*($G$9-$F$9))))</f>
        <v>1.0439369166343</v>
      </c>
      <c r="F555" s="51" t="n">
        <f aca="false">1+IF($G$10=$E$10,$F$10,IF(T555&lt;($F$10-$E$10)/($G$10-$E$10),$E$10+SQRT(T555*($G$10-$E$10)*($F$10-$E$10)),$G$10-SQRT((1-T555)*($G$10-$E$10)*($G$10-$F$10))))</f>
        <v>1.09586313267012</v>
      </c>
      <c r="G555" s="52" t="n">
        <f aca="false">IF($G$11=$E$11,$F$11,IF(U555&lt;($F$11-$E$11)/($G$11-$E$11),$E$11+SQRT(U555*($G$11-$E$11)*($F$11-$E$11)),$G$11-SQRT((1-U555)*($G$11-$E$11)*($G$11-$F$11))))</f>
        <v>0.0910352782323054</v>
      </c>
      <c r="H555" s="53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-2191726265.34024</v>
      </c>
      <c r="I555" s="53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7196463.34212932</v>
      </c>
      <c r="J555" s="53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325258866.075767</v>
      </c>
      <c r="K555" s="53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698114425.442911</v>
      </c>
      <c r="L555" s="53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839356424.073522</v>
      </c>
      <c r="M555" s="53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1033073011.53022</v>
      </c>
      <c r="N555" s="53" t="n">
        <f aca="false">IF(COUNT('Business Case'!B11:G11)=0,"",H555+NPV(G555,I555:M555))</f>
        <v>-113731801.888856</v>
      </c>
      <c r="P555" s="54" t="n">
        <f aca="true">RAND()</f>
        <v>0.993727153966641</v>
      </c>
      <c r="Q555" s="54" t="n">
        <f aca="true">RAND()</f>
        <v>0.568296694979262</v>
      </c>
      <c r="R555" s="54" t="n">
        <f aca="true">RAND()</f>
        <v>0.701409379236219</v>
      </c>
      <c r="S555" s="54" t="n">
        <f aca="true">RAND()</f>
        <v>0.700016595918946</v>
      </c>
      <c r="T555" s="54" t="n">
        <f aca="true">RAND()</f>
        <v>0.683224348396406</v>
      </c>
      <c r="U555" s="54" t="n">
        <f aca="true">RAND()</f>
        <v>0.121777365664393</v>
      </c>
    </row>
    <row r="556" customFormat="false" ht="15" hidden="false" customHeight="false" outlineLevel="0" collapsed="false">
      <c r="A556" s="50" t="n">
        <v>476</v>
      </c>
      <c r="B556" s="51" t="n">
        <f aca="false">1+IF($G$6=$E$6,$F$6,IF(P556&lt;($F$6-$E$6)/($G$6-$E$6),$E$6+SQRT(P556*($G$6-$E$6)*($F$6-$E$6)),$G$6-SQRT((1-P556)*($G$6-$E$6)*($G$6-$F$6))))</f>
        <v>0.946389242512586</v>
      </c>
      <c r="C556" s="51" t="n">
        <f aca="false">1+IF($G$7=$E$7,$F$7,IF(Q556&lt;($F$7-$E$7)/($G$7-$E$7),$E$7+SQRT(Q556*($G$7-$E$7)*($F$7-$E$7)),$G$7-SQRT((1-Q556)*($G$7-$E$7)*($G$7-$F$7))))</f>
        <v>0.916036113175065</v>
      </c>
      <c r="D556" s="51" t="n">
        <f aca="false">1+IF($G$8=$E$8,$F$8,IF(R556&lt;($F$8-$E$8)/($G$8-$E$8),$E$8+SQRT(R556*($G$8-$E$8)*($F$8-$E$8)),$G$8-SQRT((1-R556)*($G$8-$E$8)*($G$8-$F$8))))</f>
        <v>1.01159982076265</v>
      </c>
      <c r="E556" s="51" t="n">
        <f aca="false">1+IF($G$9=$E$9,$F$9,IF(S556&lt;($F$9-$E$9)/($G$9-$E$9),$E$9+SQRT(S556*($G$9-$E$9)*($F$9-$E$9)),$G$9-SQRT((1-S556)*($G$9-$E$9)*($G$9-$F$9))))</f>
        <v>1.01026906469418</v>
      </c>
      <c r="F556" s="51" t="n">
        <f aca="false">1+IF($G$10=$E$10,$F$10,IF(T556&lt;($F$10-$E$10)/($G$10-$E$10),$E$10+SQRT(T556*($G$10-$E$10)*($F$10-$E$10)),$G$10-SQRT((1-T556)*($G$10-$E$10)*($G$10-$F$10))))</f>
        <v>1.04489395786042</v>
      </c>
      <c r="G556" s="52" t="n">
        <f aca="false">IF($G$11=$E$11,$F$11,IF(U556&lt;($F$11-$E$11)/($G$11-$E$11),$E$11+SQRT(U556*($G$11-$E$11)*($F$11-$E$11)),$G$11-SQRT((1-U556)*($G$11-$E$11)*($G$11-$F$11))))</f>
        <v>0.0975551628692003</v>
      </c>
      <c r="H556" s="53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-2089787915.72084</v>
      </c>
      <c r="I556" s="53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-57392527.6512335</v>
      </c>
      <c r="J556" s="53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178306082.816985</v>
      </c>
      <c r="K556" s="53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466249391.178225</v>
      </c>
      <c r="L556" s="53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574776582.223563</v>
      </c>
      <c r="M556" s="53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739562013.781189</v>
      </c>
      <c r="N556" s="53" t="n">
        <f aca="false">IF(COUNT('Business Case'!B11:G11)=0,"",H556+NPV(G556,I556:M556))</f>
        <v>-780978374.411082</v>
      </c>
      <c r="P556" s="54" t="n">
        <f aca="true">RAND()</f>
        <v>0.14346412139277</v>
      </c>
      <c r="Q556" s="54" t="n">
        <f aca="true">RAND()</f>
        <v>0.345715571820663</v>
      </c>
      <c r="R556" s="54" t="n">
        <f aca="true">RAND()</f>
        <v>0.47902722072025</v>
      </c>
      <c r="S556" s="54" t="n">
        <f aca="true">RAND()</f>
        <v>0.479340419161615</v>
      </c>
      <c r="T556" s="54" t="n">
        <f aca="true">RAND()</f>
        <v>0.439086819704481</v>
      </c>
      <c r="U556" s="54" t="n">
        <f aca="true">RAND()</f>
        <v>0.308183743364149</v>
      </c>
    </row>
    <row r="557" customFormat="false" ht="15" hidden="false" customHeight="false" outlineLevel="0" collapsed="false">
      <c r="A557" s="50" t="n">
        <v>477</v>
      </c>
      <c r="B557" s="51" t="n">
        <f aca="false">1+IF($G$6=$E$6,$F$6,IF(P557&lt;($F$6-$E$6)/($G$6-$E$6),$E$6+SQRT(P557*($G$6-$E$6)*($F$6-$E$6)),$G$6-SQRT((1-P557)*($G$6-$E$6)*($G$6-$F$6))))</f>
        <v>1.03390833582202</v>
      </c>
      <c r="C557" s="51" t="n">
        <f aca="false">1+IF($G$7=$E$7,$F$7,IF(Q557&lt;($F$7-$E$7)/($G$7-$E$7),$E$7+SQRT(Q557*($G$7-$E$7)*($F$7-$E$7)),$G$7-SQRT((1-Q557)*($G$7-$E$7)*($G$7-$F$7))))</f>
        <v>1.02513911031848</v>
      </c>
      <c r="D557" s="51" t="n">
        <f aca="false">1+IF($G$8=$E$8,$F$8,IF(R557&lt;($F$8-$E$8)/($G$8-$E$8),$E$8+SQRT(R557*($G$8-$E$8)*($F$8-$E$8)),$G$8-SQRT((1-R557)*($G$8-$E$8)*($G$8-$F$8))))</f>
        <v>1.01780946528694</v>
      </c>
      <c r="E557" s="51" t="n">
        <f aca="false">1+IF($G$9=$E$9,$F$9,IF(S557&lt;($F$9-$E$9)/($G$9-$E$9),$E$9+SQRT(S557*($G$9-$E$9)*($F$9-$E$9)),$G$9-SQRT((1-S557)*($G$9-$E$9)*($G$9-$F$9))))</f>
        <v>1.06317920586416</v>
      </c>
      <c r="F557" s="51" t="n">
        <f aca="false">1+IF($G$10=$E$10,$F$10,IF(T557&lt;($F$10-$E$10)/($G$10-$E$10),$E$10+SQRT(T557*($G$10-$E$10)*($F$10-$E$10)),$G$10-SQRT((1-T557)*($G$10-$E$10)*($G$10-$F$10))))</f>
        <v>1.1484586879562</v>
      </c>
      <c r="G557" s="52" t="n">
        <f aca="false">IF($G$11=$E$11,$F$11,IF(U557&lt;($F$11-$E$11)/($G$11-$E$11),$E$11+SQRT(U557*($G$11-$E$11)*($F$11-$E$11)),$G$11-SQRT((1-U557)*($G$11-$E$11)*($G$11-$F$11))))</f>
        <v>0.113946755998586</v>
      </c>
      <c r="H557" s="53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-2296917375.9124</v>
      </c>
      <c r="I557" s="53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13023717.7359538</v>
      </c>
      <c r="J557" s="53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347022596.681809</v>
      </c>
      <c r="K557" s="53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738444410.025474</v>
      </c>
      <c r="L557" s="53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886407509.234357</v>
      </c>
      <c r="M557" s="53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1087873276.81582</v>
      </c>
      <c r="N557" s="53" t="n">
        <f aca="false">IF(COUNT('Business Case'!B11:G11)=0,"",H557+NPV(G557,I557:M557))</f>
        <v>-261424989.677854</v>
      </c>
      <c r="P557" s="54" t="n">
        <f aca="true">RAND()</f>
        <v>0.96547444586443</v>
      </c>
      <c r="Q557" s="54" t="n">
        <f aca="true">RAND()</f>
        <v>0.769033455228731</v>
      </c>
      <c r="R557" s="54" t="n">
        <f aca="true">RAND()</f>
        <v>0.549647733572077</v>
      </c>
      <c r="S557" s="54" t="n">
        <f aca="true">RAND()</f>
        <v>0.798990658816589</v>
      </c>
      <c r="T557" s="54" t="n">
        <f aca="true">RAND()</f>
        <v>0.86252482597898</v>
      </c>
      <c r="U557" s="54" t="n">
        <f aca="true">RAND()</f>
        <v>0.828195571354044</v>
      </c>
    </row>
    <row r="558" customFormat="false" ht="15" hidden="false" customHeight="false" outlineLevel="0" collapsed="false">
      <c r="A558" s="50" t="n">
        <v>478</v>
      </c>
      <c r="B558" s="51" t="n">
        <f aca="false">1+IF($G$6=$E$6,$F$6,IF(P558&lt;($F$6-$E$6)/($G$6-$E$6),$E$6+SQRT(P558*($G$6-$E$6)*($F$6-$E$6)),$G$6-SQRT((1-P558)*($G$6-$E$6)*($G$6-$F$6))))</f>
        <v>0.952898738677953</v>
      </c>
      <c r="C558" s="51" t="n">
        <f aca="false">1+IF($G$7=$E$7,$F$7,IF(Q558&lt;($F$7-$E$7)/($G$7-$E$7),$E$7+SQRT(Q558*($G$7-$E$7)*($F$7-$E$7)),$G$7-SQRT((1-Q558)*($G$7-$E$7)*($G$7-$F$7))))</f>
        <v>1.08475537194162</v>
      </c>
      <c r="D558" s="51" t="n">
        <f aca="false">1+IF($G$8=$E$8,$F$8,IF(R558&lt;($F$8-$E$8)/($G$8-$E$8),$E$8+SQRT(R558*($G$8-$E$8)*($F$8-$E$8)),$G$8-SQRT((1-R558)*($G$8-$E$8)*($G$8-$F$8))))</f>
        <v>1.03798165941877</v>
      </c>
      <c r="E558" s="51" t="n">
        <f aca="false">1+IF($G$9=$E$9,$F$9,IF(S558&lt;($F$9-$E$9)/($G$9-$E$9),$E$9+SQRT(S558*($G$9-$E$9)*($F$9-$E$9)),$G$9-SQRT((1-S558)*($G$9-$E$9)*($G$9-$F$9))))</f>
        <v>0.99544432111029</v>
      </c>
      <c r="F558" s="51" t="n">
        <f aca="false">1+IF($G$10=$E$10,$F$10,IF(T558&lt;($F$10-$E$10)/($G$10-$E$10),$E$10+SQRT(T558*($G$10-$E$10)*($F$10-$E$10)),$G$10-SQRT((1-T558)*($G$10-$E$10)*($G$10-$F$10))))</f>
        <v>0.974105408937759</v>
      </c>
      <c r="G558" s="52" t="n">
        <f aca="false">IF($G$11=$E$11,$F$11,IF(U558&lt;($F$11-$E$11)/($G$11-$E$11),$E$11+SQRT(U558*($G$11-$E$11)*($F$11-$E$11)),$G$11-SQRT((1-U558)*($G$11-$E$11)*($G$11-$F$11))))</f>
        <v>0.125449475716639</v>
      </c>
      <c r="H558" s="53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-1948210817.87552</v>
      </c>
      <c r="I558" s="53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-22303628.2494551</v>
      </c>
      <c r="J558" s="53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247940506.268897</v>
      </c>
      <c r="K558" s="53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566889911.234137</v>
      </c>
      <c r="L558" s="53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692694649.01502</v>
      </c>
      <c r="M558" s="53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889173126.859563</v>
      </c>
      <c r="N558" s="53" t="n">
        <f aca="false">IF(COUNT('Business Case'!B11:G11)=0,"",H558+NPV(G558,I558:M558))</f>
        <v>-450414284.693644</v>
      </c>
      <c r="P558" s="54" t="n">
        <f aca="true">RAND()</f>
        <v>0.186551770247891</v>
      </c>
      <c r="Q558" s="54" t="n">
        <f aca="true">RAND()</f>
        <v>0.936935385326269</v>
      </c>
      <c r="R558" s="54" t="n">
        <f aca="true">RAND()</f>
        <v>0.743581695436714</v>
      </c>
      <c r="S558" s="54" t="n">
        <f aca="true">RAND()</f>
        <v>0.364384737288163</v>
      </c>
      <c r="T558" s="54" t="n">
        <f aca="true">RAND()</f>
        <v>0.0387380493371072</v>
      </c>
      <c r="U558" s="54" t="n">
        <f aca="true">RAND()</f>
        <v>0.986195152497696</v>
      </c>
    </row>
    <row r="559" customFormat="false" ht="15" hidden="false" customHeight="false" outlineLevel="0" collapsed="false">
      <c r="A559" s="50" t="n">
        <v>479</v>
      </c>
      <c r="B559" s="51" t="n">
        <f aca="false">1+IF($G$6=$E$6,$F$6,IF(P559&lt;($F$6-$E$6)/($G$6-$E$6),$E$6+SQRT(P559*($G$6-$E$6)*($F$6-$E$6)),$G$6-SQRT((1-P559)*($G$6-$E$6)*($G$6-$F$6))))</f>
        <v>0.948201479254435</v>
      </c>
      <c r="C559" s="51" t="n">
        <f aca="false">1+IF($G$7=$E$7,$F$7,IF(Q559&lt;($F$7-$E$7)/($G$7-$E$7),$E$7+SQRT(Q559*($G$7-$E$7)*($F$7-$E$7)),$G$7-SQRT((1-Q559)*($G$7-$E$7)*($G$7-$F$7))))</f>
        <v>0.76627882835271</v>
      </c>
      <c r="D559" s="51" t="n">
        <f aca="false">1+IF($G$8=$E$8,$F$8,IF(R559&lt;($F$8-$E$8)/($G$8-$E$8),$E$8+SQRT(R559*($G$8-$E$8)*($F$8-$E$8)),$G$8-SQRT((1-R559)*($G$8-$E$8)*($G$8-$F$8))))</f>
        <v>0.971025670467077</v>
      </c>
      <c r="E559" s="51" t="n">
        <f aca="false">1+IF($G$9=$E$9,$F$9,IF(S559&lt;($F$9-$E$9)/($G$9-$E$9),$E$9+SQRT(S559*($G$9-$E$9)*($F$9-$E$9)),$G$9-SQRT((1-S559)*($G$9-$E$9)*($G$9-$F$9))))</f>
        <v>0.963054304291648</v>
      </c>
      <c r="F559" s="51" t="n">
        <f aca="false">1+IF($G$10=$E$10,$F$10,IF(T559&lt;($F$10-$E$10)/($G$10-$E$10),$E$10+SQRT(T559*($G$10-$E$10)*($F$10-$E$10)),$G$10-SQRT((1-T559)*($G$10-$E$10)*($G$10-$F$10))))</f>
        <v>1.03455440165787</v>
      </c>
      <c r="G559" s="52" t="n">
        <f aca="false">IF($G$11=$E$11,$F$11,IF(U559&lt;($F$11-$E$11)/($G$11-$E$11),$E$11+SQRT(U559*($G$11-$E$11)*($F$11-$E$11)),$G$11-SQRT((1-U559)*($G$11-$E$11)*($G$11-$F$11))))</f>
        <v>0.0999291953353491</v>
      </c>
      <c r="H559" s="53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-2069108803.31574</v>
      </c>
      <c r="I559" s="53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-63848778.3543981</v>
      </c>
      <c r="J559" s="53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150370461.017694</v>
      </c>
      <c r="K559" s="53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416317420.472678</v>
      </c>
      <c r="L559" s="53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512834670.590329</v>
      </c>
      <c r="M559" s="53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650944274.055239</v>
      </c>
      <c r="N559" s="53" t="n">
        <f aca="false">IF(COUNT('Business Case'!B11:G11)=0,"",H559+NPV(G559,I559:M559))</f>
        <v>-935343459.900136</v>
      </c>
      <c r="P559" s="54" t="n">
        <f aca="true">RAND()</f>
        <v>0.154892173487716</v>
      </c>
      <c r="Q559" s="54" t="n">
        <f aca="true">RAND()</f>
        <v>0.0325398747245037</v>
      </c>
      <c r="R559" s="54" t="n">
        <f aca="true">RAND()</f>
        <v>0.0589438424786793</v>
      </c>
      <c r="S559" s="54" t="n">
        <f aca="true">RAND()</f>
        <v>0.159033811588151</v>
      </c>
      <c r="T559" s="54" t="n">
        <f aca="true">RAND()</f>
        <v>0.381109255400032</v>
      </c>
      <c r="U559" s="54" t="n">
        <f aca="true">RAND()</f>
        <v>0.397172826714502</v>
      </c>
    </row>
    <row r="560" customFormat="false" ht="15" hidden="false" customHeight="false" outlineLevel="0" collapsed="false">
      <c r="A560" s="50" t="n">
        <v>480</v>
      </c>
      <c r="B560" s="51" t="n">
        <f aca="false">1+IF($G$6=$E$6,$F$6,IF(P560&lt;($F$6-$E$6)/($G$6-$E$6),$E$6+SQRT(P560*($G$6-$E$6)*($F$6-$E$6)),$G$6-SQRT((1-P560)*($G$6-$E$6)*($G$6-$F$6))))</f>
        <v>0.988024523355127</v>
      </c>
      <c r="C560" s="51" t="n">
        <f aca="false">1+IF($G$7=$E$7,$F$7,IF(Q560&lt;($F$7-$E$7)/($G$7-$E$7),$E$7+SQRT(Q560*($G$7-$E$7)*($F$7-$E$7)),$G$7-SQRT((1-Q560)*($G$7-$E$7)*($G$7-$F$7))))</f>
        <v>0.969167388334196</v>
      </c>
      <c r="D560" s="51" t="n">
        <f aca="false">1+IF($G$8=$E$8,$F$8,IF(R560&lt;($F$8-$E$8)/($G$8-$E$8),$E$8+SQRT(R560*($G$8-$E$8)*($F$8-$E$8)),$G$8-SQRT((1-R560)*($G$8-$E$8)*($G$8-$F$8))))</f>
        <v>1.03755506607336</v>
      </c>
      <c r="E560" s="51" t="n">
        <f aca="false">1+IF($G$9=$E$9,$F$9,IF(S560&lt;($F$9-$E$9)/($G$9-$E$9),$E$9+SQRT(S560*($G$9-$E$9)*($F$9-$E$9)),$G$9-SQRT((1-S560)*($G$9-$E$9)*($G$9-$F$9))))</f>
        <v>1.07320046863762</v>
      </c>
      <c r="F560" s="51" t="n">
        <f aca="false">1+IF($G$10=$E$10,$F$10,IF(T560&lt;($F$10-$E$10)/($G$10-$E$10),$E$10+SQRT(T560*($G$10-$E$10)*($F$10-$E$10)),$G$10-SQRT((1-T560)*($G$10-$E$10)*($G$10-$F$10))))</f>
        <v>1.09887750897336</v>
      </c>
      <c r="G560" s="52" t="n">
        <f aca="false">IF($G$11=$E$11,$F$11,IF(U560&lt;($F$11-$E$11)/($G$11-$E$11),$E$11+SQRT(U560*($G$11-$E$11)*($F$11-$E$11)),$G$11-SQRT((1-U560)*($G$11-$E$11)*($G$11-$F$11))))</f>
        <v>0.105534776368862</v>
      </c>
      <c r="H560" s="53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-2197755017.94673</v>
      </c>
      <c r="I560" s="53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-42593899.7319762</v>
      </c>
      <c r="J560" s="53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226949027.92948</v>
      </c>
      <c r="K560" s="53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551435831.039605</v>
      </c>
      <c r="L560" s="53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674376786.830641</v>
      </c>
      <c r="M560" s="53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856390009.635337</v>
      </c>
      <c r="N560" s="53" t="n">
        <f aca="false">IF(COUNT('Business Case'!B11:G11)=0,"",H560+NPV(G560,I560:M560))</f>
        <v>-672458506.946589</v>
      </c>
      <c r="P560" s="54" t="n">
        <f aca="true">RAND()</f>
        <v>0.516554447459824</v>
      </c>
      <c r="Q560" s="54" t="n">
        <f aca="true">RAND()</f>
        <v>0.536674688464089</v>
      </c>
      <c r="R560" s="54" t="n">
        <f aca="true">RAND()</f>
        <v>0.74004201512653</v>
      </c>
      <c r="S560" s="54" t="n">
        <f aca="true">RAND()</f>
        <v>0.842715519533849</v>
      </c>
      <c r="T560" s="54" t="n">
        <f aca="true">RAND()</f>
        <v>0.69549323607872</v>
      </c>
      <c r="U560" s="54" t="n">
        <f aca="true">RAND()</f>
        <v>0.60096855511893</v>
      </c>
    </row>
    <row r="561" customFormat="false" ht="15" hidden="false" customHeight="false" outlineLevel="0" collapsed="false">
      <c r="A561" s="50" t="n">
        <v>481</v>
      </c>
      <c r="B561" s="51" t="n">
        <f aca="false">1+IF($G$6=$E$6,$F$6,IF(P561&lt;($F$6-$E$6)/($G$6-$E$6),$E$6+SQRT(P561*($G$6-$E$6)*($F$6-$E$6)),$G$6-SQRT((1-P561)*($G$6-$E$6)*($G$6-$F$6))))</f>
        <v>0.980707693392322</v>
      </c>
      <c r="C561" s="51" t="n">
        <f aca="false">1+IF($G$7=$E$7,$F$7,IF(Q561&lt;($F$7-$E$7)/($G$7-$E$7),$E$7+SQRT(Q561*($G$7-$E$7)*($F$7-$E$7)),$G$7-SQRT((1-Q561)*($G$7-$E$7)*($G$7-$F$7))))</f>
        <v>0.917773561237404</v>
      </c>
      <c r="D561" s="51" t="n">
        <f aca="false">1+IF($G$8=$E$8,$F$8,IF(R561&lt;($F$8-$E$8)/($G$8-$E$8),$E$8+SQRT(R561*($G$8-$E$8)*($F$8-$E$8)),$G$8-SQRT((1-R561)*($G$8-$E$8)*($G$8-$F$8))))</f>
        <v>1.00024831155214</v>
      </c>
      <c r="E561" s="51" t="n">
        <f aca="false">1+IF($G$9=$E$9,$F$9,IF(S561&lt;($F$9-$E$9)/($G$9-$E$9),$E$9+SQRT(S561*($G$9-$E$9)*($F$9-$E$9)),$G$9-SQRT((1-S561)*($G$9-$E$9)*($G$9-$F$9))))</f>
        <v>0.938957641636948</v>
      </c>
      <c r="F561" s="51" t="n">
        <f aca="false">1+IF($G$10=$E$10,$F$10,IF(T561&lt;($F$10-$E$10)/($G$10-$E$10),$E$10+SQRT(T561*($G$10-$E$10)*($F$10-$E$10)),$G$10-SQRT((1-T561)*($G$10-$E$10)*($G$10-$F$10))))</f>
        <v>1.00507667578236</v>
      </c>
      <c r="G561" s="52" t="n">
        <f aca="false">IF($G$11=$E$11,$F$11,IF(U561&lt;($F$11-$E$11)/($G$11-$E$11),$E$11+SQRT(U561*($G$11-$E$11)*($F$11-$E$11)),$G$11-SQRT((1-U561)*($G$11-$E$11)*($G$11-$F$11))))</f>
        <v>0.113531982361918</v>
      </c>
      <c r="H561" s="53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-2010153351.56472</v>
      </c>
      <c r="I561" s="53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-13410090.0965783</v>
      </c>
      <c r="J561" s="53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253866768.010561</v>
      </c>
      <c r="K561" s="53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571397459.906817</v>
      </c>
      <c r="L561" s="53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691596081.932335</v>
      </c>
      <c r="M561" s="53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862680929.876261</v>
      </c>
      <c r="N561" s="53" t="n">
        <f aca="false">IF(COUNT('Business Case'!B11:G11)=0,"",H561+NPV(G561,I561:M561))</f>
        <v>-449905158.54745</v>
      </c>
      <c r="P561" s="54" t="n">
        <f aca="true">RAND()</f>
        <v>0.434248784847266</v>
      </c>
      <c r="Q561" s="54" t="n">
        <f aca="true">RAND()</f>
        <v>0.351298696103862</v>
      </c>
      <c r="R561" s="54" t="n">
        <f aca="true">RAND()</f>
        <v>0.336640043453462</v>
      </c>
      <c r="S561" s="54" t="n">
        <f aca="true">RAND()</f>
        <v>0.0607079136765157</v>
      </c>
      <c r="T561" s="54" t="n">
        <f aca="true">RAND()</f>
        <v>0.200167536722409</v>
      </c>
      <c r="U561" s="54" t="n">
        <f aca="true">RAND()</f>
        <v>0.819202930047873</v>
      </c>
    </row>
    <row r="562" customFormat="false" ht="15" hidden="false" customHeight="false" outlineLevel="0" collapsed="false">
      <c r="A562" s="50" t="n">
        <v>482</v>
      </c>
      <c r="B562" s="51" t="n">
        <f aca="false">1+IF($G$6=$E$6,$F$6,IF(P562&lt;($F$6-$E$6)/($G$6-$E$6),$E$6+SQRT(P562*($G$6-$E$6)*($F$6-$E$6)),$G$6-SQRT((1-P562)*($G$6-$E$6)*($G$6-$F$6))))</f>
        <v>0.982384443314982</v>
      </c>
      <c r="C562" s="51" t="n">
        <f aca="false">1+IF($G$7=$E$7,$F$7,IF(Q562&lt;($F$7-$E$7)/($G$7-$E$7),$E$7+SQRT(Q562*($G$7-$E$7)*($F$7-$E$7)),$G$7-SQRT((1-Q562)*($G$7-$E$7)*($G$7-$F$7))))</f>
        <v>1.02802562679872</v>
      </c>
      <c r="D562" s="51" t="n">
        <f aca="false">1+IF($G$8=$E$8,$F$8,IF(R562&lt;($F$8-$E$8)/($G$8-$E$8),$E$8+SQRT(R562*($G$8-$E$8)*($F$8-$E$8)),$G$8-SQRT((1-R562)*($G$8-$E$8)*($G$8-$F$8))))</f>
        <v>0.992827753534006</v>
      </c>
      <c r="E562" s="51" t="n">
        <f aca="false">1+IF($G$9=$E$9,$F$9,IF(S562&lt;($F$9-$E$9)/($G$9-$E$9),$E$9+SQRT(S562*($G$9-$E$9)*($F$9-$E$9)),$G$9-SQRT((1-S562)*($G$9-$E$9)*($G$9-$F$9))))</f>
        <v>1.01132445288017</v>
      </c>
      <c r="F562" s="51" t="n">
        <f aca="false">1+IF($G$10=$E$10,$F$10,IF(T562&lt;($F$10-$E$10)/($G$10-$E$10),$E$10+SQRT(T562*($G$10-$E$10)*($F$10-$E$10)),$G$10-SQRT((1-T562)*($G$10-$E$10)*($G$10-$F$10))))</f>
        <v>0.976774774817339</v>
      </c>
      <c r="G562" s="52" t="n">
        <f aca="false">IF($G$11=$E$11,$F$11,IF(U562&lt;($F$11-$E$11)/($G$11-$E$11),$E$11+SQRT(U562*($G$11-$E$11)*($F$11-$E$11)),$G$11-SQRT((1-U562)*($G$11-$E$11)*($G$11-$F$11))))</f>
        <v>0.102433375813338</v>
      </c>
      <c r="H562" s="53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-1953549549.63468</v>
      </c>
      <c r="I562" s="53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10859988.6457157</v>
      </c>
      <c r="J562" s="53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315561857.272432</v>
      </c>
      <c r="K562" s="53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669102464.640015</v>
      </c>
      <c r="L562" s="53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805572464.382058</v>
      </c>
      <c r="M562" s="53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997537370.480983</v>
      </c>
      <c r="N562" s="53" t="n">
        <f aca="false">IF(COUNT('Business Case'!B11:G11)=0,"",H562+NPV(G562,I562:M562))</f>
        <v>-26707181.7869554</v>
      </c>
      <c r="P562" s="54" t="n">
        <f aca="true">RAND()</f>
        <v>0.452479766687964</v>
      </c>
      <c r="Q562" s="54" t="n">
        <f aca="true">RAND()</f>
        <v>0.779588922698578</v>
      </c>
      <c r="R562" s="54" t="n">
        <f aca="true">RAND()</f>
        <v>0.244562196369279</v>
      </c>
      <c r="S562" s="54" t="n">
        <f aca="true">RAND()</f>
        <v>0.487175803493743</v>
      </c>
      <c r="T562" s="54" t="n">
        <f aca="true">RAND()</f>
        <v>0.0477925711012806</v>
      </c>
      <c r="U562" s="54" t="n">
        <f aca="true">RAND()</f>
        <v>0.493387487300905</v>
      </c>
    </row>
    <row r="563" customFormat="false" ht="15" hidden="false" customHeight="false" outlineLevel="0" collapsed="false">
      <c r="A563" s="50" t="n">
        <v>483</v>
      </c>
      <c r="B563" s="51" t="n">
        <f aca="false">1+IF($G$6=$E$6,$F$6,IF(P563&lt;($F$6-$E$6)/($G$6-$E$6),$E$6+SQRT(P563*($G$6-$E$6)*($F$6-$E$6)),$G$6-SQRT((1-P563)*($G$6-$E$6)*($G$6-$F$6))))</f>
        <v>1.00275941286128</v>
      </c>
      <c r="C563" s="51" t="n">
        <f aca="false">1+IF($G$7=$E$7,$F$7,IF(Q563&lt;($F$7-$E$7)/($G$7-$E$7),$E$7+SQRT(Q563*($G$7-$E$7)*($F$7-$E$7)),$G$7-SQRT((1-Q563)*($G$7-$E$7)*($G$7-$F$7))))</f>
        <v>0.835289863523062</v>
      </c>
      <c r="D563" s="51" t="n">
        <f aca="false">1+IF($G$8=$E$8,$F$8,IF(R563&lt;($F$8-$E$8)/($G$8-$E$8),$E$8+SQRT(R563*($G$8-$E$8)*($F$8-$E$8)),$G$8-SQRT((1-R563)*($G$8-$E$8)*($G$8-$F$8))))</f>
        <v>1.01297216011702</v>
      </c>
      <c r="E563" s="51" t="n">
        <f aca="false">1+IF($G$9=$E$9,$F$9,IF(S563&lt;($F$9-$E$9)/($G$9-$E$9),$E$9+SQRT(S563*($G$9-$E$9)*($F$9-$E$9)),$G$9-SQRT((1-S563)*($G$9-$E$9)*($G$9-$F$9))))</f>
        <v>1.03536164584504</v>
      </c>
      <c r="F563" s="51" t="n">
        <f aca="false">1+IF($G$10=$E$10,$F$10,IF(T563&lt;($F$10-$E$10)/($G$10-$E$10),$E$10+SQRT(T563*($G$10-$E$10)*($F$10-$E$10)),$G$10-SQRT((1-T563)*($G$10-$E$10)*($G$10-$F$10))))</f>
        <v>1.08683631008876</v>
      </c>
      <c r="G563" s="52" t="n">
        <f aca="false">IF($G$11=$E$11,$F$11,IF(U563&lt;($F$11-$E$11)/($G$11-$E$11),$E$11+SQRT(U563*($G$11-$E$11)*($F$11-$E$11)),$G$11-SQRT((1-U563)*($G$11-$E$11)*($G$11-$F$11))))</f>
        <v>0.113050712939771</v>
      </c>
      <c r="H563" s="53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-2173672620.17753</v>
      </c>
      <c r="I563" s="53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-46431047.2679323</v>
      </c>
      <c r="J563" s="53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206470875.550477</v>
      </c>
      <c r="K563" s="53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513714613.873325</v>
      </c>
      <c r="L563" s="53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626962530.171661</v>
      </c>
      <c r="M563" s="53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786172544.645429</v>
      </c>
      <c r="N563" s="53" t="n">
        <f aca="false">IF(COUNT('Business Case'!B11:G11)=0,"",H563+NPV(G563,I563:M563))</f>
        <v>-807498515.809779</v>
      </c>
      <c r="P563" s="54" t="n">
        <f aca="true">RAND()</f>
        <v>0.702443590238472</v>
      </c>
      <c r="Q563" s="54" t="n">
        <f aca="true">RAND()</f>
        <v>0.13558034942288</v>
      </c>
      <c r="R563" s="54" t="n">
        <f aca="true">RAND()</f>
        <v>0.495077005686831</v>
      </c>
      <c r="S563" s="54" t="n">
        <f aca="true">RAND()</f>
        <v>0.649547940177128</v>
      </c>
      <c r="T563" s="54" t="n">
        <f aca="true">RAND()</f>
        <v>0.645034803927335</v>
      </c>
      <c r="U563" s="54" t="n">
        <f aca="true">RAND()</f>
        <v>0.808481112099979</v>
      </c>
    </row>
    <row r="564" customFormat="false" ht="15" hidden="false" customHeight="false" outlineLevel="0" collapsed="false">
      <c r="A564" s="50" t="n">
        <v>484</v>
      </c>
      <c r="B564" s="51" t="n">
        <f aca="false">1+IF($G$6=$E$6,$F$6,IF(P564&lt;($F$6-$E$6)/($G$6-$E$6),$E$6+SQRT(P564*($G$6-$E$6)*($F$6-$E$6)),$G$6-SQRT((1-P564)*($G$6-$E$6)*($G$6-$F$6))))</f>
        <v>1.0305051050977</v>
      </c>
      <c r="C564" s="51" t="n">
        <f aca="false">1+IF($G$7=$E$7,$F$7,IF(Q564&lt;($F$7-$E$7)/($G$7-$E$7),$E$7+SQRT(Q564*($G$7-$E$7)*($F$7-$E$7)),$G$7-SQRT((1-Q564)*($G$7-$E$7)*($G$7-$F$7))))</f>
        <v>1.08199370710703</v>
      </c>
      <c r="D564" s="51" t="n">
        <f aca="false">1+IF($G$8=$E$8,$F$8,IF(R564&lt;($F$8-$E$8)/($G$8-$E$8),$E$8+SQRT(R564*($G$8-$E$8)*($F$8-$E$8)),$G$8-SQRT((1-R564)*($G$8-$E$8)*($G$8-$F$8))))</f>
        <v>0.98303227078427</v>
      </c>
      <c r="E564" s="51" t="n">
        <f aca="false">1+IF($G$9=$E$9,$F$9,IF(S564&lt;($F$9-$E$9)/($G$9-$E$9),$E$9+SQRT(S564*($G$9-$E$9)*($F$9-$E$9)),$G$9-SQRT((1-S564)*($G$9-$E$9)*($G$9-$F$9))))</f>
        <v>1.03331091017988</v>
      </c>
      <c r="F564" s="51" t="n">
        <f aca="false">1+IF($G$10=$E$10,$F$10,IF(T564&lt;($F$10-$E$10)/($G$10-$E$10),$E$10+SQRT(T564*($G$10-$E$10)*($F$10-$E$10)),$G$10-SQRT((1-T564)*($G$10-$E$10)*($G$10-$F$10))))</f>
        <v>1.01727174542281</v>
      </c>
      <c r="G564" s="52" t="n">
        <f aca="false">IF($G$11=$E$11,$F$11,IF(U564&lt;($F$11-$E$11)/($G$11-$E$11),$E$11+SQRT(U564*($G$11-$E$11)*($F$11-$E$11)),$G$11-SQRT((1-U564)*($G$11-$E$11)*($G$11-$F$11))))</f>
        <v>0.0944219220757957</v>
      </c>
      <c r="H564" s="53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-2034543490.84563</v>
      </c>
      <c r="I564" s="53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62303832.4149188</v>
      </c>
      <c r="J564" s="53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431073252.814065</v>
      </c>
      <c r="K564" s="53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850706260.484351</v>
      </c>
      <c r="L564" s="53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1012163801.96031</v>
      </c>
      <c r="M564" s="53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1224103009.34632</v>
      </c>
      <c r="N564" s="53" t="n">
        <f aca="false">IF(COUNT('Business Case'!B11:G11)=0,"",H564+NPV(G564,I564:M564))</f>
        <v>516419420.711917</v>
      </c>
      <c r="P564" s="54" t="n">
        <f aca="true">RAND()</f>
        <v>0.949326543033118</v>
      </c>
      <c r="Q564" s="54" t="n">
        <f aca="true">RAND()</f>
        <v>0.931483616695634</v>
      </c>
      <c r="R564" s="54" t="n">
        <f aca="true">RAND()</f>
        <v>0.145484121755378</v>
      </c>
      <c r="S564" s="54" t="n">
        <f aca="true">RAND()</f>
        <v>0.636897501785393</v>
      </c>
      <c r="T564" s="54" t="n">
        <f aca="true">RAND()</f>
        <v>0.277834126952757</v>
      </c>
      <c r="U564" s="54" t="n">
        <f aca="true">RAND()</f>
        <v>0.207991836360322</v>
      </c>
    </row>
    <row r="565" customFormat="false" ht="15" hidden="false" customHeight="false" outlineLevel="0" collapsed="false">
      <c r="A565" s="50" t="n">
        <v>485</v>
      </c>
      <c r="B565" s="51" t="n">
        <f aca="false">1+IF($G$6=$E$6,$F$6,IF(P565&lt;($F$6-$E$6)/($G$6-$E$6),$E$6+SQRT(P565*($G$6-$E$6)*($F$6-$E$6)),$G$6-SQRT((1-P565)*($G$6-$E$6)*($G$6-$F$6))))</f>
        <v>0.97326014994576</v>
      </c>
      <c r="C565" s="51" t="n">
        <f aca="false">1+IF($G$7=$E$7,$F$7,IF(Q565&lt;($F$7-$E$7)/($G$7-$E$7),$E$7+SQRT(Q565*($G$7-$E$7)*($F$7-$E$7)),$G$7-SQRT((1-Q565)*($G$7-$E$7)*($G$7-$F$7))))</f>
        <v>1.05493892946553</v>
      </c>
      <c r="D565" s="51" t="n">
        <f aca="false">1+IF($G$8=$E$8,$F$8,IF(R565&lt;($F$8-$E$8)/($G$8-$E$8),$E$8+SQRT(R565*($G$8-$E$8)*($F$8-$E$8)),$G$8-SQRT((1-R565)*($G$8-$E$8)*($G$8-$F$8))))</f>
        <v>0.981196430337898</v>
      </c>
      <c r="E565" s="51" t="n">
        <f aca="false">1+IF($G$9=$E$9,$F$9,IF(S565&lt;($F$9-$E$9)/($G$9-$E$9),$E$9+SQRT(S565*($G$9-$E$9)*($F$9-$E$9)),$G$9-SQRT((1-S565)*($G$9-$E$9)*($G$9-$F$9))))</f>
        <v>0.937771380784565</v>
      </c>
      <c r="F565" s="51" t="n">
        <f aca="false">1+IF($G$10=$E$10,$F$10,IF(T565&lt;($F$10-$E$10)/($G$10-$E$10),$E$10+SQRT(T565*($G$10-$E$10)*($F$10-$E$10)),$G$10-SQRT((1-T565)*($G$10-$E$10)*($G$10-$F$10))))</f>
        <v>1.00803987250576</v>
      </c>
      <c r="G565" s="52" t="n">
        <f aca="false">IF($G$11=$E$11,$F$11,IF(U565&lt;($F$11-$E$11)/($G$11-$E$11),$E$11+SQRT(U565*($G$11-$E$11)*($F$11-$E$11)),$G$11-SQRT((1-U565)*($G$11-$E$11)*($G$11-$F$11))))</f>
        <v>0.0998933598709534</v>
      </c>
      <c r="H565" s="53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-2016079745.01152</v>
      </c>
      <c r="I565" s="53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23695474.1596861</v>
      </c>
      <c r="J565" s="53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334771710.189318</v>
      </c>
      <c r="K565" s="53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696249939.844237</v>
      </c>
      <c r="L565" s="53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835425808.035318</v>
      </c>
      <c r="M565" s="53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1030586650.36527</v>
      </c>
      <c r="N565" s="53" t="n">
        <f aca="false">IF(COUNT('Business Case'!B11:G11)=0,"",H565+NPV(G565,I565:M565))</f>
        <v>16495115.6004636</v>
      </c>
      <c r="P565" s="54" t="n">
        <f aca="true">RAND()</f>
        <v>0.357803304671685</v>
      </c>
      <c r="Q565" s="54" t="n">
        <f aca="true">RAND()</f>
        <v>0.866124338797624</v>
      </c>
      <c r="R565" s="54" t="n">
        <f aca="true">RAND()</f>
        <v>0.129762302110313</v>
      </c>
      <c r="S565" s="54" t="n">
        <f aca="true">RAND()</f>
        <v>0.0570670882549047</v>
      </c>
      <c r="T565" s="54" t="n">
        <f aca="true">RAND()</f>
        <v>0.219403956039615</v>
      </c>
      <c r="U565" s="54" t="n">
        <f aca="true">RAND()</f>
        <v>0.395745766955257</v>
      </c>
    </row>
    <row r="566" customFormat="false" ht="15" hidden="false" customHeight="false" outlineLevel="0" collapsed="false">
      <c r="A566" s="50" t="n">
        <v>486</v>
      </c>
      <c r="B566" s="51" t="n">
        <f aca="false">1+IF($G$6=$E$6,$F$6,IF(P566&lt;($F$6-$E$6)/($G$6-$E$6),$E$6+SQRT(P566*($G$6-$E$6)*($F$6-$E$6)),$G$6-SQRT((1-P566)*($G$6-$E$6)*($G$6-$F$6))))</f>
        <v>0.983558882214977</v>
      </c>
      <c r="C566" s="51" t="n">
        <f aca="false">1+IF($G$7=$E$7,$F$7,IF(Q566&lt;($F$7-$E$7)/($G$7-$E$7),$E$7+SQRT(Q566*($G$7-$E$7)*($F$7-$E$7)),$G$7-SQRT((1-Q566)*($G$7-$E$7)*($G$7-$F$7))))</f>
        <v>0.853943211821583</v>
      </c>
      <c r="D566" s="51" t="n">
        <f aca="false">1+IF($G$8=$E$8,$F$8,IF(R566&lt;($F$8-$E$8)/($G$8-$E$8),$E$8+SQRT(R566*($G$8-$E$8)*($F$8-$E$8)),$G$8-SQRT((1-R566)*($G$8-$E$8)*($G$8-$F$8))))</f>
        <v>1.02003135122691</v>
      </c>
      <c r="E566" s="51" t="n">
        <f aca="false">1+IF($G$9=$E$9,$F$9,IF(S566&lt;($F$9-$E$9)/($G$9-$E$9),$E$9+SQRT(S566*($G$9-$E$9)*($F$9-$E$9)),$G$9-SQRT((1-S566)*($G$9-$E$9)*($G$9-$F$9))))</f>
        <v>0.955273557277597</v>
      </c>
      <c r="F566" s="51" t="n">
        <f aca="false">1+IF($G$10=$E$10,$F$10,IF(T566&lt;($F$10-$E$10)/($G$10-$E$10),$E$10+SQRT(T566*($G$10-$E$10)*($F$10-$E$10)),$G$10-SQRT((1-T566)*($G$10-$E$10)*($G$10-$F$10))))</f>
        <v>1.12436331419511</v>
      </c>
      <c r="G566" s="52" t="n">
        <f aca="false">IF($G$11=$E$11,$F$11,IF(U566&lt;($F$11-$E$11)/($G$11-$E$11),$E$11+SQRT(U566*($G$11-$E$11)*($F$11-$E$11)),$G$11-SQRT((1-U566)*($G$11-$E$11)*($G$11-$F$11))))</f>
        <v>0.109266503470022</v>
      </c>
      <c r="H566" s="53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-2248726628.39023</v>
      </c>
      <c r="I566" s="53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-49782768.5560441</v>
      </c>
      <c r="J566" s="53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192251288.009858</v>
      </c>
      <c r="K566" s="53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490503510.285516</v>
      </c>
      <c r="L566" s="53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600208591.712525</v>
      </c>
      <c r="M566" s="53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759857435.856914</v>
      </c>
      <c r="N566" s="53" t="n">
        <f aca="false">IF(COUNT('Business Case'!B11:G11)=0,"",H566+NPV(G566,I566:M566))</f>
        <v>-929145794.900328</v>
      </c>
      <c r="P566" s="54" t="n">
        <f aca="true">RAND()</f>
        <v>0.465472453134428</v>
      </c>
      <c r="Q566" s="54" t="n">
        <f aca="true">RAND()</f>
        <v>0.175544536784777</v>
      </c>
      <c r="R566" s="54" t="n">
        <f aca="true">RAND()</f>
        <v>0.57366768089378</v>
      </c>
      <c r="S566" s="54" t="n">
        <f aca="true">RAND()</f>
        <v>0.122206645364791</v>
      </c>
      <c r="T566" s="54" t="n">
        <f aca="true">RAND()</f>
        <v>0.78953897573286</v>
      </c>
      <c r="U566" s="54" t="n">
        <f aca="true">RAND()</f>
        <v>0.713414747760921</v>
      </c>
    </row>
    <row r="567" customFormat="false" ht="15" hidden="false" customHeight="false" outlineLevel="0" collapsed="false">
      <c r="A567" s="50" t="n">
        <v>487</v>
      </c>
      <c r="B567" s="51" t="n">
        <f aca="false">1+IF($G$6=$E$6,$F$6,IF(P567&lt;($F$6-$E$6)/($G$6-$E$6),$E$6+SQRT(P567*($G$6-$E$6)*($F$6-$E$6)),$G$6-SQRT((1-P567)*($G$6-$E$6)*($G$6-$F$6))))</f>
        <v>0.952534721902158</v>
      </c>
      <c r="C567" s="51" t="n">
        <f aca="false">1+IF($G$7=$E$7,$F$7,IF(Q567&lt;($F$7-$E$7)/($G$7-$E$7),$E$7+SQRT(Q567*($G$7-$E$7)*($F$7-$E$7)),$G$7-SQRT((1-Q567)*($G$7-$E$7)*($G$7-$F$7))))</f>
        <v>1.05116804596218</v>
      </c>
      <c r="D567" s="51" t="n">
        <f aca="false">1+IF($G$8=$E$8,$F$8,IF(R567&lt;($F$8-$E$8)/($G$8-$E$8),$E$8+SQRT(R567*($G$8-$E$8)*($F$8-$E$8)),$G$8-SQRT((1-R567)*($G$8-$E$8)*($G$8-$F$8))))</f>
        <v>0.979661948978785</v>
      </c>
      <c r="E567" s="51" t="n">
        <f aca="false">1+IF($G$9=$E$9,$F$9,IF(S567&lt;($F$9-$E$9)/($G$9-$E$9),$E$9+SQRT(S567*($G$9-$E$9)*($F$9-$E$9)),$G$9-SQRT((1-S567)*($G$9-$E$9)*($G$9-$F$9))))</f>
        <v>1.0551842270819</v>
      </c>
      <c r="F567" s="51" t="n">
        <f aca="false">1+IF($G$10=$E$10,$F$10,IF(T567&lt;($F$10-$E$10)/($G$10-$E$10),$E$10+SQRT(T567*($G$10-$E$10)*($F$10-$E$10)),$G$10-SQRT((1-T567)*($G$10-$E$10)*($G$10-$F$10))))</f>
        <v>0.992972066662911</v>
      </c>
      <c r="G567" s="52" t="n">
        <f aca="false">IF($G$11=$E$11,$F$11,IF(U567&lt;($F$11-$E$11)/($G$11-$E$11),$E$11+SQRT(U567*($G$11-$E$11)*($F$11-$E$11)),$G$11-SQRT((1-U567)*($G$11-$E$11)*($G$11-$F$11))))</f>
        <v>0.0939119147124932</v>
      </c>
      <c r="H567" s="53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-1985944133.32582</v>
      </c>
      <c r="I567" s="53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-8304659.56362377</v>
      </c>
      <c r="J567" s="53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284641132.021433</v>
      </c>
      <c r="K567" s="53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627235526.939635</v>
      </c>
      <c r="L567" s="53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759488155.728883</v>
      </c>
      <c r="M567" s="53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949810329.497144</v>
      </c>
      <c r="N567" s="53" t="n">
        <f aca="false">IF(COUNT('Business Case'!B11:G11)=0,"",H567+NPV(G567,I567:M567))</f>
        <v>-139768297.363592</v>
      </c>
      <c r="P567" s="54" t="n">
        <f aca="true">RAND()</f>
        <v>0.183993133689135</v>
      </c>
      <c r="Q567" s="54" t="n">
        <f aca="true">RAND()</f>
        <v>0.855292516460248</v>
      </c>
      <c r="R567" s="54" t="n">
        <f aca="true">RAND()</f>
        <v>0.117310828962673</v>
      </c>
      <c r="S567" s="54" t="n">
        <f aca="true">RAND()</f>
        <v>0.760265845491807</v>
      </c>
      <c r="T567" s="54" t="n">
        <f aca="true">RAND()</f>
        <v>0.123106567552113</v>
      </c>
      <c r="U567" s="54" t="n">
        <f aca="true">RAND()</f>
        <v>0.193541370967684</v>
      </c>
    </row>
    <row r="568" customFormat="false" ht="15" hidden="false" customHeight="false" outlineLevel="0" collapsed="false">
      <c r="A568" s="50" t="n">
        <v>488</v>
      </c>
      <c r="B568" s="51" t="n">
        <f aca="false">1+IF($G$6=$E$6,$F$6,IF(P568&lt;($F$6-$E$6)/($G$6-$E$6),$E$6+SQRT(P568*($G$6-$E$6)*($F$6-$E$6)),$G$6-SQRT((1-P568)*($G$6-$E$6)*($G$6-$F$6))))</f>
        <v>0.988707782408914</v>
      </c>
      <c r="C568" s="51" t="n">
        <f aca="false">1+IF($G$7=$E$7,$F$7,IF(Q568&lt;($F$7-$E$7)/($G$7-$E$7),$E$7+SQRT(Q568*($G$7-$E$7)*($F$7-$E$7)),$G$7-SQRT((1-Q568)*($G$7-$E$7)*($G$7-$F$7))))</f>
        <v>0.742090741444761</v>
      </c>
      <c r="D568" s="51" t="n">
        <f aca="false">1+IF($G$8=$E$8,$F$8,IF(R568&lt;($F$8-$E$8)/($G$8-$E$8),$E$8+SQRT(R568*($G$8-$E$8)*($F$8-$E$8)),$G$8-SQRT((1-R568)*($G$8-$E$8)*($G$8-$F$8))))</f>
        <v>0.998644597066581</v>
      </c>
      <c r="E568" s="51" t="n">
        <f aca="false">1+IF($G$9=$E$9,$F$9,IF(S568&lt;($F$9-$E$9)/($G$9-$E$9),$E$9+SQRT(S568*($G$9-$E$9)*($F$9-$E$9)),$G$9-SQRT((1-S568)*($G$9-$E$9)*($G$9-$F$9))))</f>
        <v>0.982630086402591</v>
      </c>
      <c r="F568" s="51" t="n">
        <f aca="false">1+IF($G$10=$E$10,$F$10,IF(T568&lt;($F$10-$E$10)/($G$10-$E$10),$E$10+SQRT(T568*($G$10-$E$10)*($F$10-$E$10)),$G$10-SQRT((1-T568)*($G$10-$E$10)*($G$10-$F$10))))</f>
        <v>0.977958105714246</v>
      </c>
      <c r="G568" s="52" t="n">
        <f aca="false">IF($G$11=$E$11,$F$11,IF(U568&lt;($F$11-$E$11)/($G$11-$E$11),$E$11+SQRT(U568*($G$11-$E$11)*($F$11-$E$11)),$G$11-SQRT((1-U568)*($G$11-$E$11)*($G$11-$F$11))))</f>
        <v>0.111731924609142</v>
      </c>
      <c r="H568" s="53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-1955916211.42849</v>
      </c>
      <c r="I568" s="53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-53975521.1480558</v>
      </c>
      <c r="J568" s="53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167610339.167792</v>
      </c>
      <c r="K568" s="53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438094104.769353</v>
      </c>
      <c r="L568" s="53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537313106.611989</v>
      </c>
      <c r="M568" s="53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676776872.834101</v>
      </c>
      <c r="N568" s="53" t="n">
        <f aca="false">IF(COUNT('Business Case'!B11:G11)=0,"",H568+NPV(G568,I568:M568))</f>
        <v>-799758630.802341</v>
      </c>
      <c r="P568" s="54" t="n">
        <f aca="true">RAND()</f>
        <v>0.524604710660485</v>
      </c>
      <c r="Q568" s="54" t="n">
        <f aca="true">RAND()</f>
        <v>0.0131231890027385</v>
      </c>
      <c r="R568" s="54" t="n">
        <f aca="true">RAND()</f>
        <v>0.315506243169339</v>
      </c>
      <c r="S568" s="54" t="n">
        <f aca="true">RAND()</f>
        <v>0.273109247155989</v>
      </c>
      <c r="T568" s="54" t="n">
        <f aca="true">RAND()</f>
        <v>0.0521103783419284</v>
      </c>
      <c r="U568" s="54" t="n">
        <f aca="true">RAND()</f>
        <v>0.777518281009281</v>
      </c>
    </row>
    <row r="569" customFormat="false" ht="15" hidden="false" customHeight="false" outlineLevel="0" collapsed="false">
      <c r="A569" s="50" t="n">
        <v>489</v>
      </c>
      <c r="B569" s="51" t="n">
        <f aca="false">1+IF($G$6=$E$6,$F$6,IF(P569&lt;($F$6-$E$6)/($G$6-$E$6),$E$6+SQRT(P569*($G$6-$E$6)*($F$6-$E$6)),$G$6-SQRT((1-P569)*($G$6-$E$6)*($G$6-$F$6))))</f>
        <v>0.94314208645905</v>
      </c>
      <c r="C569" s="51" t="n">
        <f aca="false">1+IF($G$7=$E$7,$F$7,IF(Q569&lt;($F$7-$E$7)/($G$7-$E$7),$E$7+SQRT(Q569*($G$7-$E$7)*($F$7-$E$7)),$G$7-SQRT((1-Q569)*($G$7-$E$7)*($G$7-$F$7))))</f>
        <v>1.0537614484385</v>
      </c>
      <c r="D569" s="51" t="n">
        <f aca="false">1+IF($G$8=$E$8,$F$8,IF(R569&lt;($F$8-$E$8)/($G$8-$E$8),$E$8+SQRT(R569*($G$8-$E$8)*($F$8-$E$8)),$G$8-SQRT((1-R569)*($G$8-$E$8)*($G$8-$F$8))))</f>
        <v>0.998017438296858</v>
      </c>
      <c r="E569" s="51" t="n">
        <f aca="false">1+IF($G$9=$E$9,$F$9,IF(S569&lt;($F$9-$E$9)/($G$9-$E$9),$E$9+SQRT(S569*($G$9-$E$9)*($F$9-$E$9)),$G$9-SQRT((1-S569)*($G$9-$E$9)*($G$9-$F$9))))</f>
        <v>1.02143918308521</v>
      </c>
      <c r="F569" s="51" t="n">
        <f aca="false">1+IF($G$10=$E$10,$F$10,IF(T569&lt;($F$10-$E$10)/($G$10-$E$10),$E$10+SQRT(T569*($G$10-$E$10)*($F$10-$E$10)),$G$10-SQRT((1-T569)*($G$10-$E$10)*($G$10-$F$10))))</f>
        <v>1.04018566813914</v>
      </c>
      <c r="G569" s="52" t="n">
        <f aca="false">IF($G$11=$E$11,$F$11,IF(U569&lt;($F$11-$E$11)/($G$11-$E$11),$E$11+SQRT(U569*($G$11-$E$11)*($F$11-$E$11)),$G$11-SQRT((1-U569)*($G$11-$E$11)*($G$11-$F$11))))</f>
        <v>0.112744500595429</v>
      </c>
      <c r="H569" s="53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-2080371336.27828</v>
      </c>
      <c r="I569" s="53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-25128257.2613992</v>
      </c>
      <c r="J569" s="53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250531720.740196</v>
      </c>
      <c r="K569" s="53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578200982.148747</v>
      </c>
      <c r="L569" s="53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704434985.892188</v>
      </c>
      <c r="M569" s="53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893345380.144852</v>
      </c>
      <c r="N569" s="53" t="n">
        <f aca="false">IF(COUNT('Business Case'!B11:G11)=0,"",H569+NPV(G569,I569:M569))</f>
        <v>-497839895.054036</v>
      </c>
      <c r="P569" s="54" t="n">
        <f aca="true">RAND()</f>
        <v>0.124082641602676</v>
      </c>
      <c r="Q569" s="54" t="n">
        <f aca="true">RAND()</f>
        <v>0.862787276938435</v>
      </c>
      <c r="R569" s="54" t="n">
        <f aca="true">RAND()</f>
        <v>0.307423250745674</v>
      </c>
      <c r="S569" s="54" t="n">
        <f aca="true">RAND()</f>
        <v>0.559256436112067</v>
      </c>
      <c r="T569" s="54" t="n">
        <f aca="true">RAND()</f>
        <v>0.413039281943743</v>
      </c>
      <c r="U569" s="54" t="n">
        <f aca="true">RAND()</f>
        <v>0.801498493532577</v>
      </c>
    </row>
    <row r="570" customFormat="false" ht="15" hidden="false" customHeight="false" outlineLevel="0" collapsed="false">
      <c r="A570" s="50" t="n">
        <v>490</v>
      </c>
      <c r="B570" s="51" t="n">
        <f aca="false">1+IF($G$6=$E$6,$F$6,IF(P570&lt;($F$6-$E$6)/($G$6-$E$6),$E$6+SQRT(P570*($G$6-$E$6)*($F$6-$E$6)),$G$6-SQRT((1-P570)*($G$6-$E$6)*($G$6-$F$6))))</f>
        <v>0.964173631693827</v>
      </c>
      <c r="C570" s="51" t="n">
        <f aca="false">1+IF($G$7=$E$7,$F$7,IF(Q570&lt;($F$7-$E$7)/($G$7-$E$7),$E$7+SQRT(Q570*($G$7-$E$7)*($F$7-$E$7)),$G$7-SQRT((1-Q570)*($G$7-$E$7)*($G$7-$F$7))))</f>
        <v>0.774696985389424</v>
      </c>
      <c r="D570" s="51" t="n">
        <f aca="false">1+IF($G$8=$E$8,$F$8,IF(R570&lt;($F$8-$E$8)/($G$8-$E$8),$E$8+SQRT(R570*($G$8-$E$8)*($F$8-$E$8)),$G$8-SQRT((1-R570)*($G$8-$E$8)*($G$8-$F$8))))</f>
        <v>1.01298847842634</v>
      </c>
      <c r="E570" s="51" t="n">
        <f aca="false">1+IF($G$9=$E$9,$F$9,IF(S570&lt;($F$9-$E$9)/($G$9-$E$9),$E$9+SQRT(S570*($G$9-$E$9)*($F$9-$E$9)),$G$9-SQRT((1-S570)*($G$9-$E$9)*($G$9-$F$9))))</f>
        <v>1.04954740677694</v>
      </c>
      <c r="F570" s="51" t="n">
        <f aca="false">1+IF($G$10=$E$10,$F$10,IF(T570&lt;($F$10-$E$10)/($G$10-$E$10),$E$10+SQRT(T570*($G$10-$E$10)*($F$10-$E$10)),$G$10-SQRT((1-T570)*($G$10-$E$10)*($G$10-$F$10))))</f>
        <v>0.990485048330368</v>
      </c>
      <c r="G570" s="52" t="n">
        <f aca="false">IF($G$11=$E$11,$F$11,IF(U570&lt;($F$11-$E$11)/($G$11-$E$11),$E$11+SQRT(U570*($G$11-$E$11)*($F$11-$E$11)),$G$11-SQRT((1-U570)*($G$11-$E$11)*($G$11-$F$11))))</f>
        <v>0.110527545112454</v>
      </c>
      <c r="H570" s="53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-1980970096.66074</v>
      </c>
      <c r="I570" s="53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-76949919.0915288</v>
      </c>
      <c r="J570" s="53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133115802.213711</v>
      </c>
      <c r="K570" s="53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392705775.935468</v>
      </c>
      <c r="L570" s="53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488542012.583915</v>
      </c>
      <c r="M570" s="53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630520825.090769</v>
      </c>
      <c r="N570" s="53" t="n">
        <f aca="false">IF(COUNT('Business Case'!B11:G11)=0,"",H570+NPV(G570,I570:M570))</f>
        <v>-961088016.906334</v>
      </c>
      <c r="P570" s="54" t="n">
        <f aca="true">RAND()</f>
        <v>0.274550333651667</v>
      </c>
      <c r="Q570" s="54" t="n">
        <f aca="true">RAND()</f>
        <v>0.0413306638982806</v>
      </c>
      <c r="R570" s="54" t="n">
        <f aca="true">RAND()</f>
        <v>0.495266340895711</v>
      </c>
      <c r="S570" s="54" t="n">
        <f aca="true">RAND()</f>
        <v>0.730914040393644</v>
      </c>
      <c r="T570" s="54" t="n">
        <f aca="true">RAND()</f>
        <v>0.109269275887484</v>
      </c>
      <c r="U570" s="54" t="n">
        <f aca="true">RAND()</f>
        <v>0.747215667101652</v>
      </c>
    </row>
    <row r="571" customFormat="false" ht="15" hidden="false" customHeight="false" outlineLevel="0" collapsed="false">
      <c r="A571" s="50" t="n">
        <v>491</v>
      </c>
      <c r="B571" s="51" t="n">
        <f aca="false">1+IF($G$6=$E$6,$F$6,IF(P571&lt;($F$6-$E$6)/($G$6-$E$6),$E$6+SQRT(P571*($G$6-$E$6)*($F$6-$E$6)),$G$6-SQRT((1-P571)*($G$6-$E$6)*($G$6-$F$6))))</f>
        <v>1.01335920667057</v>
      </c>
      <c r="C571" s="51" t="n">
        <f aca="false">1+IF($G$7=$E$7,$F$7,IF(Q571&lt;($F$7-$E$7)/($G$7-$E$7),$E$7+SQRT(Q571*($G$7-$E$7)*($F$7-$E$7)),$G$7-SQRT((1-Q571)*($G$7-$E$7)*($G$7-$F$7))))</f>
        <v>1.01437518447198</v>
      </c>
      <c r="D571" s="51" t="n">
        <f aca="false">1+IF($G$8=$E$8,$F$8,IF(R571&lt;($F$8-$E$8)/($G$8-$E$8),$E$8+SQRT(R571*($G$8-$E$8)*($F$8-$E$8)),$G$8-SQRT((1-R571)*($G$8-$E$8)*($G$8-$F$8))))</f>
        <v>1.04827403670695</v>
      </c>
      <c r="E571" s="51" t="n">
        <f aca="false">1+IF($G$9=$E$9,$F$9,IF(S571&lt;($F$9-$E$9)/($G$9-$E$9),$E$9+SQRT(S571*($G$9-$E$9)*($F$9-$E$9)),$G$9-SQRT((1-S571)*($G$9-$E$9)*($G$9-$F$9))))</f>
        <v>1.04378860600457</v>
      </c>
      <c r="F571" s="51" t="n">
        <f aca="false">1+IF($G$10=$E$10,$F$10,IF(T571&lt;($F$10-$E$10)/($G$10-$E$10),$E$10+SQRT(T571*($G$10-$E$10)*($F$10-$E$10)),$G$10-SQRT((1-T571)*($G$10-$E$10)*($G$10-$F$10))))</f>
        <v>1.00879426406289</v>
      </c>
      <c r="G571" s="52" t="n">
        <f aca="false">IF($G$11=$E$11,$F$11,IF(U571&lt;($F$11-$E$11)/($G$11-$E$11),$E$11+SQRT(U571*($G$11-$E$11)*($F$11-$E$11)),$G$11-SQRT((1-U571)*($G$11-$E$11)*($G$11-$F$11))))</f>
        <v>0.0901544612381205</v>
      </c>
      <c r="H571" s="53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-2017588528.12578</v>
      </c>
      <c r="I571" s="53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-4994749.00798872</v>
      </c>
      <c r="J571" s="53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292604374.409555</v>
      </c>
      <c r="K571" s="53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640643211.030244</v>
      </c>
      <c r="L571" s="53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775368056.333021</v>
      </c>
      <c r="M571" s="53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970756312.566135</v>
      </c>
      <c r="N571" s="53" t="n">
        <f aca="false">IF(COUNT('Business Case'!B11:G11)=0,"",H571+NPV(G571,I571:M571))</f>
        <v>-102019709.209548</v>
      </c>
      <c r="P571" s="54" t="n">
        <f aca="true">RAND()</f>
        <v>0.820993635225286</v>
      </c>
      <c r="Q571" s="54" t="n">
        <f aca="true">RAND()</f>
        <v>0.72749495426651</v>
      </c>
      <c r="R571" s="54" t="n">
        <f aca="true">RAND()</f>
        <v>0.821628314760428</v>
      </c>
      <c r="S571" s="54" t="n">
        <f aca="true">RAND()</f>
        <v>0.699177060947907</v>
      </c>
      <c r="T571" s="54" t="n">
        <f aca="true">RAND()</f>
        <v>0.224263906013815</v>
      </c>
      <c r="U571" s="54" t="n">
        <f aca="true">RAND()</f>
        <v>0.103113083036492</v>
      </c>
    </row>
    <row r="572" customFormat="false" ht="15" hidden="false" customHeight="false" outlineLevel="0" collapsed="false">
      <c r="A572" s="50" t="n">
        <v>492</v>
      </c>
      <c r="B572" s="51" t="n">
        <f aca="false">1+IF($G$6=$E$6,$F$6,IF(P572&lt;($F$6-$E$6)/($G$6-$E$6),$E$6+SQRT(P572*($G$6-$E$6)*($F$6-$E$6)),$G$6-SQRT((1-P572)*($G$6-$E$6)*($G$6-$F$6))))</f>
        <v>1.01988502486069</v>
      </c>
      <c r="C572" s="51" t="n">
        <f aca="false">1+IF($G$7=$E$7,$F$7,IF(Q572&lt;($F$7-$E$7)/($G$7-$E$7),$E$7+SQRT(Q572*($G$7-$E$7)*($F$7-$E$7)),$G$7-SQRT((1-Q572)*($G$7-$E$7)*($G$7-$F$7))))</f>
        <v>1.07420859168295</v>
      </c>
      <c r="D572" s="51" t="n">
        <f aca="false">1+IF($G$8=$E$8,$F$8,IF(R572&lt;($F$8-$E$8)/($G$8-$E$8),$E$8+SQRT(R572*($G$8-$E$8)*($F$8-$E$8)),$G$8-SQRT((1-R572)*($G$8-$E$8)*($G$8-$F$8))))</f>
        <v>0.95346247377431</v>
      </c>
      <c r="E572" s="51" t="n">
        <f aca="false">1+IF($G$9=$E$9,$F$9,IF(S572&lt;($F$9-$E$9)/($G$9-$E$9),$E$9+SQRT(S572*($G$9-$E$9)*($F$9-$E$9)),$G$9-SQRT((1-S572)*($G$9-$E$9)*($G$9-$F$9))))</f>
        <v>1.00312700698231</v>
      </c>
      <c r="F572" s="51" t="n">
        <f aca="false">1+IF($G$10=$E$10,$F$10,IF(T572&lt;($F$10-$E$10)/($G$10-$E$10),$E$10+SQRT(T572*($G$10-$E$10)*($F$10-$E$10)),$G$10-SQRT((1-T572)*($G$10-$E$10)*($G$10-$F$10))))</f>
        <v>0.986381445507097</v>
      </c>
      <c r="G572" s="52" t="n">
        <f aca="false">IF($G$11=$E$11,$F$11,IF(U572&lt;($F$11-$E$11)/($G$11-$E$11),$E$11+SQRT(U572*($G$11-$E$11)*($F$11-$E$11)),$G$11-SQRT((1-U572)*($G$11-$E$11)*($G$11-$F$11))))</f>
        <v>0.123413779308374</v>
      </c>
      <c r="H572" s="53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-1972762891.01419</v>
      </c>
      <c r="I572" s="53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74955522.4999929</v>
      </c>
      <c r="J572" s="53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447988160.186757</v>
      </c>
      <c r="K572" s="53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870339870.148875</v>
      </c>
      <c r="L572" s="53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1032546956.20658</v>
      </c>
      <c r="M572" s="53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1240792760.43156</v>
      </c>
      <c r="N572" s="53" t="n">
        <f aca="false">IF(COUNT('Business Case'!B11:G11)=0,"",H572+NPV(G572,I572:M572))</f>
        <v>404474002.74576</v>
      </c>
      <c r="P572" s="54" t="n">
        <f aca="true">RAND()</f>
        <v>0.879078436314466</v>
      </c>
      <c r="Q572" s="54" t="n">
        <f aca="true">RAND()</f>
        <v>0.914898702597305</v>
      </c>
      <c r="R572" s="54" t="n">
        <f aca="true">RAND()</f>
        <v>0.00159849661837141</v>
      </c>
      <c r="S572" s="54" t="n">
        <f aca="true">RAND()</f>
        <v>0.42475530458733</v>
      </c>
      <c r="T572" s="54" t="n">
        <f aca="true">RAND()</f>
        <v>0.0882406384790583</v>
      </c>
      <c r="U572" s="54" t="n">
        <f aca="true">RAND()</f>
        <v>0.971081131334132</v>
      </c>
    </row>
    <row r="573" customFormat="false" ht="15" hidden="false" customHeight="false" outlineLevel="0" collapsed="false">
      <c r="A573" s="50" t="n">
        <v>493</v>
      </c>
      <c r="B573" s="51" t="n">
        <f aca="false">1+IF($G$6=$E$6,$F$6,IF(P573&lt;($F$6-$E$6)/($G$6-$E$6),$E$6+SQRT(P573*($G$6-$E$6)*($F$6-$E$6)),$G$6-SQRT((1-P573)*($G$6-$E$6)*($G$6-$F$6))))</f>
        <v>0.953842982469051</v>
      </c>
      <c r="C573" s="51" t="n">
        <f aca="false">1+IF($G$7=$E$7,$F$7,IF(Q573&lt;($F$7-$E$7)/($G$7-$E$7),$E$7+SQRT(Q573*($G$7-$E$7)*($F$7-$E$7)),$G$7-SQRT((1-Q573)*($G$7-$E$7)*($G$7-$F$7))))</f>
        <v>1.00052185724712</v>
      </c>
      <c r="D573" s="51" t="n">
        <f aca="false">1+IF($G$8=$E$8,$F$8,IF(R573&lt;($F$8-$E$8)/($G$8-$E$8),$E$8+SQRT(R573*($G$8-$E$8)*($F$8-$E$8)),$G$8-SQRT((1-R573)*($G$8-$E$8)*($G$8-$F$8))))</f>
        <v>0.965428313300266</v>
      </c>
      <c r="E573" s="51" t="n">
        <f aca="false">1+IF($G$9=$E$9,$F$9,IF(S573&lt;($F$9-$E$9)/($G$9-$E$9),$E$9+SQRT(S573*($G$9-$E$9)*($F$9-$E$9)),$G$9-SQRT((1-S573)*($G$9-$E$9)*($G$9-$F$9))))</f>
        <v>1.06396633277212</v>
      </c>
      <c r="F573" s="51" t="n">
        <f aca="false">1+IF($G$10=$E$10,$F$10,IF(T573&lt;($F$10-$E$10)/($G$10-$E$10),$E$10+SQRT(T573*($G$10-$E$10)*($F$10-$E$10)),$G$10-SQRT((1-T573)*($G$10-$E$10)*($G$10-$F$10))))</f>
        <v>1.13156713458021</v>
      </c>
      <c r="G573" s="52" t="n">
        <f aca="false">IF($G$11=$E$11,$F$11,IF(U573&lt;($F$11-$E$11)/($G$11-$E$11),$E$11+SQRT(U573*($G$11-$E$11)*($F$11-$E$11)),$G$11-SQRT((1-U573)*($G$11-$E$11)*($G$11-$F$11))))</f>
        <v>0.0966569693284022</v>
      </c>
      <c r="H573" s="53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-2263134269.16042</v>
      </c>
      <c r="I573" s="53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-26731937.3867974</v>
      </c>
      <c r="J573" s="53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260461875.806034</v>
      </c>
      <c r="K573" s="53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604234045.727877</v>
      </c>
      <c r="L573" s="53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732947333.193095</v>
      </c>
      <c r="M573" s="53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914348423.398275</v>
      </c>
      <c r="N573" s="53" t="n">
        <f aca="false">IF(COUNT('Business Case'!B11:G11)=0,"",H573+NPV(G573,I573:M573))</f>
        <v>-529613840.215602</v>
      </c>
      <c r="P573" s="54" t="n">
        <f aca="true">RAND()</f>
        <v>0.193271117410833</v>
      </c>
      <c r="Q573" s="54" t="n">
        <f aca="true">RAND()</f>
        <v>0.668981997617023</v>
      </c>
      <c r="R573" s="54" t="n">
        <f aca="true">RAND()</f>
        <v>0.0317377135054889</v>
      </c>
      <c r="S573" s="54" t="n">
        <f aca="true">RAND()</f>
        <v>0.802618882755258</v>
      </c>
      <c r="T573" s="54" t="n">
        <f aca="true">RAND()</f>
        <v>0.812982085179446</v>
      </c>
      <c r="U573" s="54" t="n">
        <f aca="true">RAND()</f>
        <v>0.277454627207332</v>
      </c>
    </row>
    <row r="574" customFormat="false" ht="15" hidden="false" customHeight="false" outlineLevel="0" collapsed="false">
      <c r="A574" s="50" t="n">
        <v>494</v>
      </c>
      <c r="B574" s="51" t="n">
        <f aca="false">1+IF($G$6=$E$6,$F$6,IF(P574&lt;($F$6-$E$6)/($G$6-$E$6),$E$6+SQRT(P574*($G$6-$E$6)*($F$6-$E$6)),$G$6-SQRT((1-P574)*($G$6-$E$6)*($G$6-$F$6))))</f>
        <v>0.983982127300258</v>
      </c>
      <c r="C574" s="51" t="n">
        <f aca="false">1+IF($G$7=$E$7,$F$7,IF(Q574&lt;($F$7-$E$7)/($G$7-$E$7),$E$7+SQRT(Q574*($G$7-$E$7)*($F$7-$E$7)),$G$7-SQRT((1-Q574)*($G$7-$E$7)*($G$7-$F$7))))</f>
        <v>0.968062208533264</v>
      </c>
      <c r="D574" s="51" t="n">
        <f aca="false">1+IF($G$8=$E$8,$F$8,IF(R574&lt;($F$8-$E$8)/($G$8-$E$8),$E$8+SQRT(R574*($G$8-$E$8)*($F$8-$E$8)),$G$8-SQRT((1-R574)*($G$8-$E$8)*($G$8-$F$8))))</f>
        <v>1.02245137607161</v>
      </c>
      <c r="E574" s="51" t="n">
        <f aca="false">1+IF($G$9=$E$9,$F$9,IF(S574&lt;($F$9-$E$9)/($G$9-$E$9),$E$9+SQRT(S574*($G$9-$E$9)*($F$9-$E$9)),$G$9-SQRT((1-S574)*($G$9-$E$9)*($G$9-$F$9))))</f>
        <v>1.09949673794501</v>
      </c>
      <c r="F574" s="51" t="n">
        <f aca="false">1+IF($G$10=$E$10,$F$10,IF(T574&lt;($F$10-$E$10)/($G$10-$E$10),$E$10+SQRT(T574*($G$10-$E$10)*($F$10-$E$10)),$G$10-SQRT((1-T574)*($G$10-$E$10)*($G$10-$F$10))))</f>
        <v>1.03642514909621</v>
      </c>
      <c r="G574" s="52" t="n">
        <f aca="false">IF($G$11=$E$11,$F$11,IF(U574&lt;($F$11-$E$11)/($G$11-$E$11),$E$11+SQRT(U574*($G$11-$E$11)*($F$11-$E$11)),$G$11-SQRT((1-U574)*($G$11-$E$11)*($G$11-$F$11))))</f>
        <v>0.0815646456623738</v>
      </c>
      <c r="H574" s="53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-2072850298.19242</v>
      </c>
      <c r="I574" s="53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-35856217.4407742</v>
      </c>
      <c r="J574" s="53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237659014.606243</v>
      </c>
      <c r="K574" s="53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562995504.108071</v>
      </c>
      <c r="L574" s="53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687087580.418671</v>
      </c>
      <c r="M574" s="53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868149408.04077</v>
      </c>
      <c r="N574" s="53" t="n">
        <f aca="false">IF(COUNT('Business Case'!B11:G11)=0,"",H574+NPV(G574,I574:M574))</f>
        <v>-369149799.557428</v>
      </c>
      <c r="P574" s="54" t="n">
        <f aca="true">RAND()</f>
        <v>0.470199847058448</v>
      </c>
      <c r="Q574" s="54" t="n">
        <f aca="true">RAND()</f>
        <v>0.532276649212824</v>
      </c>
      <c r="R574" s="54" t="n">
        <f aca="true">RAND()</f>
        <v>0.599080728454233</v>
      </c>
      <c r="S574" s="54" t="n">
        <f aca="true">RAND()</f>
        <v>0.931984547248127</v>
      </c>
      <c r="T574" s="54" t="n">
        <f aca="true">RAND()</f>
        <v>0.391810440818981</v>
      </c>
      <c r="U574" s="54" t="n">
        <f aca="true">RAND()</f>
        <v>0.00244811604878525</v>
      </c>
    </row>
    <row r="575" customFormat="false" ht="15" hidden="false" customHeight="false" outlineLevel="0" collapsed="false">
      <c r="A575" s="50" t="n">
        <v>495</v>
      </c>
      <c r="B575" s="51" t="n">
        <f aca="false">1+IF($G$6=$E$6,$F$6,IF(P575&lt;($F$6-$E$6)/($G$6-$E$6),$E$6+SQRT(P575*($G$6-$E$6)*($F$6-$E$6)),$G$6-SQRT((1-P575)*($G$6-$E$6)*($G$6-$F$6))))</f>
        <v>0.956315918885552</v>
      </c>
      <c r="C575" s="51" t="n">
        <f aca="false">1+IF($G$7=$E$7,$F$7,IF(Q575&lt;($F$7-$E$7)/($G$7-$E$7),$E$7+SQRT(Q575*($G$7-$E$7)*($F$7-$E$7)),$G$7-SQRT((1-Q575)*($G$7-$E$7)*($G$7-$F$7))))</f>
        <v>1.01145601110214</v>
      </c>
      <c r="D575" s="51" t="n">
        <f aca="false">1+IF($G$8=$E$8,$F$8,IF(R575&lt;($F$8-$E$8)/($G$8-$E$8),$E$8+SQRT(R575*($G$8-$E$8)*($F$8-$E$8)),$G$8-SQRT((1-R575)*($G$8-$E$8)*($G$8-$F$8))))</f>
        <v>0.990178361539822</v>
      </c>
      <c r="E575" s="51" t="n">
        <f aca="false">1+IF($G$9=$E$9,$F$9,IF(S575&lt;($F$9-$E$9)/($G$9-$E$9),$E$9+SQRT(S575*($G$9-$E$9)*($F$9-$E$9)),$G$9-SQRT((1-S575)*($G$9-$E$9)*($G$9-$F$9))))</f>
        <v>0.975130012617471</v>
      </c>
      <c r="F575" s="51" t="n">
        <f aca="false">1+IF($G$10=$E$10,$F$10,IF(T575&lt;($F$10-$E$10)/($G$10-$E$10),$E$10+SQRT(T575*($G$10-$E$10)*($F$10-$E$10)),$G$10-SQRT((1-T575)*($G$10-$E$10)*($G$10-$F$10))))</f>
        <v>1.07542019808246</v>
      </c>
      <c r="G575" s="52" t="n">
        <f aca="false">IF($G$11=$E$11,$F$11,IF(U575&lt;($F$11-$E$11)/($G$11-$E$11),$E$11+SQRT(U575*($G$11-$E$11)*($F$11-$E$11)),$G$11-SQRT((1-U575)*($G$11-$E$11)*($G$11-$F$11))))</f>
        <v>0.100989266954438</v>
      </c>
      <c r="H575" s="53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-2150840396.16492</v>
      </c>
      <c r="I575" s="53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-16782940.3195395</v>
      </c>
      <c r="J575" s="53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262782980.728636</v>
      </c>
      <c r="K575" s="53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596119911.680935</v>
      </c>
      <c r="L575" s="53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722737454.540504</v>
      </c>
      <c r="M575" s="53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906596418.346474</v>
      </c>
      <c r="N575" s="53" t="n">
        <f aca="false">IF(COUNT('Business Case'!B11:G11)=0,"",H575+NPV(G575,I575:M575))</f>
        <v>-450362289.070544</v>
      </c>
      <c r="P575" s="54" t="n">
        <f aca="true">RAND()</f>
        <v>0.211432181328269</v>
      </c>
      <c r="Q575" s="54" t="n">
        <f aca="true">RAND()</f>
        <v>0.715637972448432</v>
      </c>
      <c r="R575" s="54" t="n">
        <f aca="true">RAND()</f>
        <v>0.215240098136624</v>
      </c>
      <c r="S575" s="54" t="n">
        <f aca="true">RAND()</f>
        <v>0.225780751836056</v>
      </c>
      <c r="T575" s="54" t="n">
        <f aca="true">RAND()</f>
        <v>0.593625236832441</v>
      </c>
      <c r="U575" s="54" t="n">
        <f aca="true">RAND()</f>
        <v>0.438918245439434</v>
      </c>
    </row>
    <row r="576" customFormat="false" ht="15" hidden="false" customHeight="false" outlineLevel="0" collapsed="false">
      <c r="A576" s="50" t="n">
        <v>496</v>
      </c>
      <c r="B576" s="51" t="n">
        <f aca="false">1+IF($G$6=$E$6,$F$6,IF(P576&lt;($F$6-$E$6)/($G$6-$E$6),$E$6+SQRT(P576*($G$6-$E$6)*($F$6-$E$6)),$G$6-SQRT((1-P576)*($G$6-$E$6)*($G$6-$F$6))))</f>
        <v>1.00378582242016</v>
      </c>
      <c r="C576" s="51" t="n">
        <f aca="false">1+IF($G$7=$E$7,$F$7,IF(Q576&lt;($F$7-$E$7)/($G$7-$E$7),$E$7+SQRT(Q576*($G$7-$E$7)*($F$7-$E$7)),$G$7-SQRT((1-Q576)*($G$7-$E$7)*($G$7-$F$7))))</f>
        <v>1.04743706194178</v>
      </c>
      <c r="D576" s="51" t="n">
        <f aca="false">1+IF($G$8=$E$8,$F$8,IF(R576&lt;($F$8-$E$8)/($G$8-$E$8),$E$8+SQRT(R576*($G$8-$E$8)*($F$8-$E$8)),$G$8-SQRT((1-R576)*($G$8-$E$8)*($G$8-$F$8))))</f>
        <v>1.0401972613279</v>
      </c>
      <c r="E576" s="51" t="n">
        <f aca="false">1+IF($G$9=$E$9,$F$9,IF(S576&lt;($F$9-$E$9)/($G$9-$E$9),$E$9+SQRT(S576*($G$9-$E$9)*($F$9-$E$9)),$G$9-SQRT((1-S576)*($G$9-$E$9)*($G$9-$F$9))))</f>
        <v>0.988918928944078</v>
      </c>
      <c r="F576" s="51" t="n">
        <f aca="false">1+IF($G$10=$E$10,$F$10,IF(T576&lt;($F$10-$E$10)/($G$10-$E$10),$E$10+SQRT(T576*($G$10-$E$10)*($F$10-$E$10)),$G$10-SQRT((1-T576)*($G$10-$E$10)*($G$10-$F$10))))</f>
        <v>1.02844812182067</v>
      </c>
      <c r="G576" s="52" t="n">
        <f aca="false">IF($G$11=$E$11,$F$11,IF(U576&lt;($F$11-$E$11)/($G$11-$E$11),$E$11+SQRT(U576*($G$11-$E$11)*($F$11-$E$11)),$G$11-SQRT((1-U576)*($G$11-$E$11)*($G$11-$F$11))))</f>
        <v>0.0979976330318449</v>
      </c>
      <c r="H576" s="53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-2056896243.64135</v>
      </c>
      <c r="I576" s="53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5442625.73333824</v>
      </c>
      <c r="J576" s="53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308859039.527005</v>
      </c>
      <c r="K576" s="53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663697859.411707</v>
      </c>
      <c r="L576" s="53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801173133.464538</v>
      </c>
      <c r="M576" s="53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1001023715.46672</v>
      </c>
      <c r="N576" s="53" t="n">
        <f aca="false">IF(COUNT('Business Case'!B11:G11)=0,"",H576+NPV(G576,I576:M576))</f>
        <v>-115913191.720652</v>
      </c>
      <c r="P576" s="54" t="n">
        <f aca="true">RAND()</f>
        <v>0.715233305415898</v>
      </c>
      <c r="Q576" s="54" t="n">
        <f aca="true">RAND()</f>
        <v>0.844160647953559</v>
      </c>
      <c r="R576" s="54" t="n">
        <f aca="true">RAND()</f>
        <v>0.76157549648773</v>
      </c>
      <c r="S576" s="54" t="n">
        <f aca="true">RAND()</f>
        <v>0.31626303698248</v>
      </c>
      <c r="T576" s="54" t="n">
        <f aca="true">RAND()</f>
        <v>0.345530203669507</v>
      </c>
      <c r="U576" s="54" t="n">
        <f aca="true">RAND()</f>
        <v>0.323914794748953</v>
      </c>
    </row>
    <row r="577" customFormat="false" ht="15" hidden="false" customHeight="false" outlineLevel="0" collapsed="false">
      <c r="A577" s="50" t="n">
        <v>497</v>
      </c>
      <c r="B577" s="51" t="n">
        <f aca="false">1+IF($G$6=$E$6,$F$6,IF(P577&lt;($F$6-$E$6)/($G$6-$E$6),$E$6+SQRT(P577*($G$6-$E$6)*($F$6-$E$6)),$G$6-SQRT((1-P577)*($G$6-$E$6)*($G$6-$F$6))))</f>
        <v>0.985786066380564</v>
      </c>
      <c r="C577" s="51" t="n">
        <f aca="false">1+IF($G$7=$E$7,$F$7,IF(Q577&lt;($F$7-$E$7)/($G$7-$E$7),$E$7+SQRT(Q577*($G$7-$E$7)*($F$7-$E$7)),$G$7-SQRT((1-Q577)*($G$7-$E$7)*($G$7-$F$7))))</f>
        <v>0.793327103318435</v>
      </c>
      <c r="D577" s="51" t="n">
        <f aca="false">1+IF($G$8=$E$8,$F$8,IF(R577&lt;($F$8-$E$8)/($G$8-$E$8),$E$8+SQRT(R577*($G$8-$E$8)*($F$8-$E$8)),$G$8-SQRT((1-R577)*($G$8-$E$8)*($G$8-$F$8))))</f>
        <v>0.978577445933747</v>
      </c>
      <c r="E577" s="51" t="n">
        <f aca="false">1+IF($G$9=$E$9,$F$9,IF(S577&lt;($F$9-$E$9)/($G$9-$E$9),$E$9+SQRT(S577*($G$9-$E$9)*($F$9-$E$9)),$G$9-SQRT((1-S577)*($G$9-$E$9)*($G$9-$F$9))))</f>
        <v>0.978951509225302</v>
      </c>
      <c r="F577" s="51" t="n">
        <f aca="false">1+IF($G$10=$E$10,$F$10,IF(T577&lt;($F$10-$E$10)/($G$10-$E$10),$E$10+SQRT(T577*($G$10-$E$10)*($F$10-$E$10)),$G$10-SQRT((1-T577)*($G$10-$E$10)*($G$10-$F$10))))</f>
        <v>1.00442082734564</v>
      </c>
      <c r="G577" s="52" t="n">
        <f aca="false">IF($G$11=$E$11,$F$11,IF(U577&lt;($F$11-$E$11)/($G$11-$E$11),$E$11+SQRT(U577*($G$11-$E$11)*($F$11-$E$11)),$G$11-SQRT((1-U577)*($G$11-$E$11)*($G$11-$F$11))))</f>
        <v>0.0963489471319203</v>
      </c>
      <c r="H577" s="53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-2008841654.69128</v>
      </c>
      <c r="I577" s="53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-37054467.3261638</v>
      </c>
      <c r="J577" s="53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206081566.401084</v>
      </c>
      <c r="K577" s="53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499438641.495614</v>
      </c>
      <c r="L577" s="53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607511661.876037</v>
      </c>
      <c r="M577" s="53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756163878.80174</v>
      </c>
      <c r="N577" s="53" t="n">
        <f aca="false">IF(COUNT('Business Case'!B11:G11)=0,"",H577+NPV(G577,I577:M577))</f>
        <v>-594309089.496347</v>
      </c>
      <c r="P577" s="54" t="n">
        <f aca="true">RAND()</f>
        <v>0.490616612336705</v>
      </c>
      <c r="Q577" s="54" t="n">
        <f aca="true">RAND()</f>
        <v>0.0645181349171093</v>
      </c>
      <c r="R577" s="54" t="n">
        <f aca="true">RAND()</f>
        <v>0.108889388812832</v>
      </c>
      <c r="S577" s="54" t="n">
        <f aca="true">RAND()</f>
        <v>0.249333632358121</v>
      </c>
      <c r="T577" s="54" t="n">
        <f aca="true">RAND()</f>
        <v>0.195878266112015</v>
      </c>
      <c r="U577" s="54" t="n">
        <f aca="true">RAND()</f>
        <v>0.267288072322324</v>
      </c>
    </row>
    <row r="578" customFormat="false" ht="15" hidden="false" customHeight="false" outlineLevel="0" collapsed="false">
      <c r="A578" s="50" t="n">
        <v>498</v>
      </c>
      <c r="B578" s="51" t="n">
        <f aca="false">1+IF($G$6=$E$6,$F$6,IF(P578&lt;($F$6-$E$6)/($G$6-$E$6),$E$6+SQRT(P578*($G$6-$E$6)*($F$6-$E$6)),$G$6-SQRT((1-P578)*($G$6-$E$6)*($G$6-$F$6))))</f>
        <v>1.01798424222483</v>
      </c>
      <c r="C578" s="51" t="n">
        <f aca="false">1+IF($G$7=$E$7,$F$7,IF(Q578&lt;($F$7-$E$7)/($G$7-$E$7),$E$7+SQRT(Q578*($G$7-$E$7)*($F$7-$E$7)),$G$7-SQRT((1-Q578)*($G$7-$E$7)*($G$7-$F$7))))</f>
        <v>0.91907467696277</v>
      </c>
      <c r="D578" s="51" t="n">
        <f aca="false">1+IF($G$8=$E$8,$F$8,IF(R578&lt;($F$8-$E$8)/($G$8-$E$8),$E$8+SQRT(R578*($G$8-$E$8)*($F$8-$E$8)),$G$8-SQRT((1-R578)*($G$8-$E$8)*($G$8-$F$8))))</f>
        <v>1.06390004887102</v>
      </c>
      <c r="E578" s="51" t="n">
        <f aca="false">1+IF($G$9=$E$9,$F$9,IF(S578&lt;($F$9-$E$9)/($G$9-$E$9),$E$9+SQRT(S578*($G$9-$E$9)*($F$9-$E$9)),$G$9-SQRT((1-S578)*($G$9-$E$9)*($G$9-$F$9))))</f>
        <v>1.07821017327243</v>
      </c>
      <c r="F578" s="51" t="n">
        <f aca="false">1+IF($G$10=$E$10,$F$10,IF(T578&lt;($F$10-$E$10)/($G$10-$E$10),$E$10+SQRT(T578*($G$10-$E$10)*($F$10-$E$10)),$G$10-SQRT((1-T578)*($G$10-$E$10)*($G$10-$F$10))))</f>
        <v>1.02107726157797</v>
      </c>
      <c r="G578" s="52" t="n">
        <f aca="false">IF($G$11=$E$11,$F$11,IF(U578&lt;($F$11-$E$11)/($G$11-$E$11),$E$11+SQRT(U578*($G$11-$E$11)*($F$11-$E$11)),$G$11-SQRT((1-U578)*($G$11-$E$11)*($G$11-$F$11))))</f>
        <v>0.10382643907841</v>
      </c>
      <c r="H578" s="53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-2042154523.15594</v>
      </c>
      <c r="I578" s="53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-38161454.3941575</v>
      </c>
      <c r="J578" s="53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227607991.4486</v>
      </c>
      <c r="K578" s="53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544431300.370257</v>
      </c>
      <c r="L578" s="53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665355573.944362</v>
      </c>
      <c r="M578" s="53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843195094.556884</v>
      </c>
      <c r="N578" s="53" t="n">
        <f aca="false">IF(COUNT('Business Case'!B11:G11)=0,"",H578+NPV(G578,I578:M578))</f>
        <v>-522398422.948956</v>
      </c>
      <c r="P578" s="54" t="n">
        <f aca="true">RAND()</f>
        <v>0.863332167210911</v>
      </c>
      <c r="Q578" s="54" t="n">
        <f aca="true">RAND()</f>
        <v>0.355508993232164</v>
      </c>
      <c r="R578" s="54" t="n">
        <f aca="true">RAND()</f>
        <v>0.913119568565675</v>
      </c>
      <c r="S578" s="54" t="n">
        <f aca="true">RAND()</f>
        <v>0.862565887424682</v>
      </c>
      <c r="T578" s="54" t="n">
        <f aca="true">RAND()</f>
        <v>0.301258397778118</v>
      </c>
      <c r="U578" s="54" t="n">
        <f aca="true">RAND()</f>
        <v>0.543296472455876</v>
      </c>
    </row>
    <row r="579" customFormat="false" ht="15" hidden="false" customHeight="false" outlineLevel="0" collapsed="false">
      <c r="A579" s="50" t="n">
        <v>499</v>
      </c>
      <c r="B579" s="51" t="n">
        <f aca="false">1+IF($G$6=$E$6,$F$6,IF(P579&lt;($F$6-$E$6)/($G$6-$E$6),$E$6+SQRT(P579*($G$6-$E$6)*($F$6-$E$6)),$G$6-SQRT((1-P579)*($G$6-$E$6)*($G$6-$F$6))))</f>
        <v>0.931311120780905</v>
      </c>
      <c r="C579" s="51" t="n">
        <f aca="false">1+IF($G$7=$E$7,$F$7,IF(Q579&lt;($F$7-$E$7)/($G$7-$E$7),$E$7+SQRT(Q579*($G$7-$E$7)*($F$7-$E$7)),$G$7-SQRT((1-Q579)*($G$7-$E$7)*($G$7-$F$7))))</f>
        <v>1.00097949750174</v>
      </c>
      <c r="D579" s="51" t="n">
        <f aca="false">1+IF($G$8=$E$8,$F$8,IF(R579&lt;($F$8-$E$8)/($G$8-$E$8),$E$8+SQRT(R579*($G$8-$E$8)*($F$8-$E$8)),$G$8-SQRT((1-R579)*($G$8-$E$8)*($G$8-$F$8))))</f>
        <v>1.0121703802056</v>
      </c>
      <c r="E579" s="51" t="n">
        <f aca="false">1+IF($G$9=$E$9,$F$9,IF(S579&lt;($F$9-$E$9)/($G$9-$E$9),$E$9+SQRT(S579*($G$9-$E$9)*($F$9-$E$9)),$G$9-SQRT((1-S579)*($G$9-$E$9)*($G$9-$F$9))))</f>
        <v>1.09682217707701</v>
      </c>
      <c r="F579" s="51" t="n">
        <f aca="false">1+IF($G$10=$E$10,$F$10,IF(T579&lt;($F$10-$E$10)/($G$10-$E$10),$E$10+SQRT(T579*($G$10-$E$10)*($F$10-$E$10)),$G$10-SQRT((1-T579)*($G$10-$E$10)*($G$10-$F$10))))</f>
        <v>1.10829189623403</v>
      </c>
      <c r="G579" s="52" t="n">
        <f aca="false">IF($G$11=$E$11,$F$11,IF(U579&lt;($F$11-$E$11)/($G$11-$E$11),$E$11+SQRT(U579*($G$11-$E$11)*($F$11-$E$11)),$G$11-SQRT((1-U579)*($G$11-$E$11)*($G$11-$F$11))))</f>
        <v>0.117615885980832</v>
      </c>
      <c r="H579" s="53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-2216583792.46807</v>
      </c>
      <c r="I579" s="53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-70223515.2968314</v>
      </c>
      <c r="J579" s="53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174676730.436306</v>
      </c>
      <c r="K579" s="53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474991570.981146</v>
      </c>
      <c r="L579" s="53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588842624.776335</v>
      </c>
      <c r="M579" s="53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766039636.80579</v>
      </c>
      <c r="N579" s="53" t="n">
        <f aca="false">IF(COUNT('Business Case'!B11:G11)=0,"",H579+NPV(G579,I579:M579))</f>
        <v>-982562208.978401</v>
      </c>
      <c r="P579" s="54" t="n">
        <f aca="true">RAND()</f>
        <v>0.0653590856370939</v>
      </c>
      <c r="Q579" s="54" t="n">
        <f aca="true">RAND()</f>
        <v>0.671005775335781</v>
      </c>
      <c r="R579" s="54" t="n">
        <f aca="true">RAND()</f>
        <v>0.485730525784776</v>
      </c>
      <c r="S579" s="54" t="n">
        <f aca="true">RAND()</f>
        <v>0.924589843977892</v>
      </c>
      <c r="T579" s="54" t="n">
        <f aca="true">RAND()</f>
        <v>0.732250844360725</v>
      </c>
      <c r="U579" s="54" t="n">
        <f aca="true">RAND()</f>
        <v>0.897755813306838</v>
      </c>
    </row>
    <row r="580" customFormat="false" ht="15" hidden="false" customHeight="false" outlineLevel="0" collapsed="false">
      <c r="A580" s="50" t="n">
        <v>500</v>
      </c>
      <c r="B580" s="51" t="n">
        <f aca="false">1+IF($G$6=$E$6,$F$6,IF(P580&lt;($F$6-$E$6)/($G$6-$E$6),$E$6+SQRT(P580*($G$6-$E$6)*($F$6-$E$6)),$G$6-SQRT((1-P580)*($G$6-$E$6)*($G$6-$F$6))))</f>
        <v>0.976052118294187</v>
      </c>
      <c r="C580" s="51" t="n">
        <f aca="false">1+IF($G$7=$E$7,$F$7,IF(Q580&lt;($F$7-$E$7)/($G$7-$E$7),$E$7+SQRT(Q580*($G$7-$E$7)*($F$7-$E$7)),$G$7-SQRT((1-Q580)*($G$7-$E$7)*($G$7-$F$7))))</f>
        <v>0.977047533187425</v>
      </c>
      <c r="D580" s="51" t="n">
        <f aca="false">1+IF($G$8=$E$8,$F$8,IF(R580&lt;($F$8-$E$8)/($G$8-$E$8),$E$8+SQRT(R580*($G$8-$E$8)*($F$8-$E$8)),$G$8-SQRT((1-R580)*($G$8-$E$8)*($G$8-$F$8))))</f>
        <v>1.04390116322895</v>
      </c>
      <c r="E580" s="51" t="n">
        <f aca="false">1+IF($G$9=$E$9,$F$9,IF(S580&lt;($F$9-$E$9)/($G$9-$E$9),$E$9+SQRT(S580*($G$9-$E$9)*($F$9-$E$9)),$G$9-SQRT((1-S580)*($G$9-$E$9)*($G$9-$F$9))))</f>
        <v>1.00308613291919</v>
      </c>
      <c r="F580" s="51" t="n">
        <f aca="false">1+IF($G$10=$E$10,$F$10,IF(T580&lt;($F$10-$E$10)/($G$10-$E$10),$E$10+SQRT(T580*($G$10-$E$10)*($F$10-$E$10)),$G$10-SQRT((1-T580)*($G$10-$E$10)*($G$10-$F$10))))</f>
        <v>1.01651150056195</v>
      </c>
      <c r="G580" s="52" t="n">
        <f aca="false">IF($G$11=$E$11,$F$11,IF(U580&lt;($F$11-$E$11)/($G$11-$E$11),$E$11+SQRT(U580*($G$11-$E$11)*($F$11-$E$11)),$G$11-SQRT((1-U580)*($G$11-$E$11)*($G$11-$F$11))))</f>
        <v>0.101888088158415</v>
      </c>
      <c r="H580" s="53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-2033023001.1239</v>
      </c>
      <c r="I580" s="53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-34747952.9443149</v>
      </c>
      <c r="J580" s="53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224231272.729332</v>
      </c>
      <c r="K580" s="53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534036073.431076</v>
      </c>
      <c r="L580" s="53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653320602.296064</v>
      </c>
      <c r="M580" s="53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834590263.985141</v>
      </c>
      <c r="N580" s="53" t="n">
        <f aca="false">IF(COUNT('Business Case'!B11:G11)=0,"",H580+NPV(G580,I580:M580))</f>
        <v>-523740696.986702</v>
      </c>
      <c r="P580" s="54" t="n">
        <f aca="true">RAND()</f>
        <v>0.385594979802197</v>
      </c>
      <c r="Q580" s="54" t="n">
        <f aca="true">RAND()</f>
        <v>0.568558041816573</v>
      </c>
      <c r="R580" s="54" t="n">
        <f aca="true">RAND()</f>
        <v>0.790194700862328</v>
      </c>
      <c r="S580" s="54" t="n">
        <f aca="true">RAND()</f>
        <v>0.424435084249672</v>
      </c>
      <c r="T580" s="54" t="n">
        <f aca="true">RAND()</f>
        <v>0.273108275068909</v>
      </c>
      <c r="U580" s="54" t="n">
        <f aca="true">RAND()</f>
        <v>0.473146941740654</v>
      </c>
    </row>
    <row r="581" customFormat="false" ht="15" hidden="false" customHeight="false" outlineLevel="0" collapsed="false">
      <c r="A581" s="50" t="n">
        <v>501</v>
      </c>
      <c r="B581" s="51" t="n">
        <f aca="false">1+IF($G$6=$E$6,$F$6,IF(P581&lt;($F$6-$E$6)/($G$6-$E$6),$E$6+SQRT(P581*($G$6-$E$6)*($F$6-$E$6)),$G$6-SQRT((1-P581)*($G$6-$E$6)*($G$6-$F$6))))</f>
        <v>0.999613453683806</v>
      </c>
      <c r="C581" s="51" t="n">
        <f aca="false">1+IF($G$7=$E$7,$F$7,IF(Q581&lt;($F$7-$E$7)/($G$7-$E$7),$E$7+SQRT(Q581*($G$7-$E$7)*($F$7-$E$7)),$G$7-SQRT((1-Q581)*($G$7-$E$7)*($G$7-$F$7))))</f>
        <v>1.06653194545889</v>
      </c>
      <c r="D581" s="51" t="n">
        <f aca="false">1+IF($G$8=$E$8,$F$8,IF(R581&lt;($F$8-$E$8)/($G$8-$E$8),$E$8+SQRT(R581*($G$8-$E$8)*($F$8-$E$8)),$G$8-SQRT((1-R581)*($G$8-$E$8)*($G$8-$F$8))))</f>
        <v>1.03739584789592</v>
      </c>
      <c r="E581" s="51" t="n">
        <f aca="false">1+IF($G$9=$E$9,$F$9,IF(S581&lt;($F$9-$E$9)/($G$9-$E$9),$E$9+SQRT(S581*($G$9-$E$9)*($F$9-$E$9)),$G$9-SQRT((1-S581)*($G$9-$E$9)*($G$9-$F$9))))</f>
        <v>1.03081030772627</v>
      </c>
      <c r="F581" s="51" t="n">
        <f aca="false">1+IF($G$10=$E$10,$F$10,IF(T581&lt;($F$10-$E$10)/($G$10-$E$10),$E$10+SQRT(T581*($G$10-$E$10)*($F$10-$E$10)),$G$10-SQRT((1-T581)*($G$10-$E$10)*($G$10-$F$10))))</f>
        <v>1.16358865906607</v>
      </c>
      <c r="G581" s="52" t="n">
        <f aca="false">IF($G$11=$E$11,$F$11,IF(U581&lt;($F$11-$E$11)/($G$11-$E$11),$E$11+SQRT(U581*($G$11-$E$11)*($F$11-$E$11)),$G$11-SQRT((1-U581)*($G$11-$E$11)*($G$11-$F$11))))</f>
        <v>0.101194720462497</v>
      </c>
      <c r="H581" s="53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-2327177318.13214</v>
      </c>
      <c r="I581" s="53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-11375338.6272553</v>
      </c>
      <c r="J581" s="53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295457058.697879</v>
      </c>
      <c r="K581" s="53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660468888.976317</v>
      </c>
      <c r="L581" s="53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799591450.942768</v>
      </c>
      <c r="M581" s="53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1002239479.9955</v>
      </c>
      <c r="N581" s="53" t="n">
        <f aca="false">IF(COUNT('Business Case'!B11:G11)=0,"",H581+NPV(G581,I581:M581))</f>
        <v>-436541900.587401</v>
      </c>
      <c r="P581" s="54" t="n">
        <f aca="true">RAND()</f>
        <v>0.661522676987723</v>
      </c>
      <c r="Q581" s="54" t="n">
        <f aca="true">RAND()</f>
        <v>0.896786427720325</v>
      </c>
      <c r="R581" s="54" t="n">
        <f aca="true">RAND()</f>
        <v>0.738714675955323</v>
      </c>
      <c r="S581" s="54" t="n">
        <f aca="true">RAND()</f>
        <v>0.621168460151816</v>
      </c>
      <c r="T581" s="54" t="n">
        <f aca="true">RAND()</f>
        <v>0.90044106877333</v>
      </c>
      <c r="U581" s="54" t="n">
        <f aca="true">RAND()</f>
        <v>0.446837247177545</v>
      </c>
    </row>
    <row r="582" customFormat="false" ht="15" hidden="false" customHeight="false" outlineLevel="0" collapsed="false">
      <c r="A582" s="50" t="n">
        <v>502</v>
      </c>
      <c r="B582" s="51" t="n">
        <f aca="false">1+IF($G$6=$E$6,$F$6,IF(P582&lt;($F$6-$E$6)/($G$6-$E$6),$E$6+SQRT(P582*($G$6-$E$6)*($F$6-$E$6)),$G$6-SQRT((1-P582)*($G$6-$E$6)*($G$6-$F$6))))</f>
        <v>0.953272286074704</v>
      </c>
      <c r="C582" s="51" t="n">
        <f aca="false">1+IF($G$7=$E$7,$F$7,IF(Q582&lt;($F$7-$E$7)/($G$7-$E$7),$E$7+SQRT(Q582*($G$7-$E$7)*($F$7-$E$7)),$G$7-SQRT((1-Q582)*($G$7-$E$7)*($G$7-$F$7))))</f>
        <v>1.10545450431809</v>
      </c>
      <c r="D582" s="51" t="n">
        <f aca="false">1+IF($G$8=$E$8,$F$8,IF(R582&lt;($F$8-$E$8)/($G$8-$E$8),$E$8+SQRT(R582*($G$8-$E$8)*($F$8-$E$8)),$G$8-SQRT((1-R582)*($G$8-$E$8)*($G$8-$F$8))))</f>
        <v>1.03838340502157</v>
      </c>
      <c r="E582" s="51" t="n">
        <f aca="false">1+IF($G$9=$E$9,$F$9,IF(S582&lt;($F$9-$E$9)/($G$9-$E$9),$E$9+SQRT(S582*($G$9-$E$9)*($F$9-$E$9)),$G$9-SQRT((1-S582)*($G$9-$E$9)*($G$9-$F$9))))</f>
        <v>1.00405846501655</v>
      </c>
      <c r="F582" s="51" t="n">
        <f aca="false">1+IF($G$10=$E$10,$F$10,IF(T582&lt;($F$10-$E$10)/($G$10-$E$10),$E$10+SQRT(T582*($G$10-$E$10)*($F$10-$E$10)),$G$10-SQRT((1-T582)*($G$10-$E$10)*($G$10-$F$10))))</f>
        <v>1.00460806822868</v>
      </c>
      <c r="G582" s="52" t="n">
        <f aca="false">IF($G$11=$E$11,$F$11,IF(U582&lt;($F$11-$E$11)/($G$11-$E$11),$E$11+SQRT(U582*($G$11-$E$11)*($F$11-$E$11)),$G$11-SQRT((1-U582)*($G$11-$E$11)*($G$11-$F$11))))</f>
        <v>0.0925887481325179</v>
      </c>
      <c r="H582" s="53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-2009216136.45735</v>
      </c>
      <c r="I582" s="53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-22355099.5064193</v>
      </c>
      <c r="J582" s="53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253156669.081695</v>
      </c>
      <c r="K582" s="53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578898841.081243</v>
      </c>
      <c r="L582" s="53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707155395.64149</v>
      </c>
      <c r="M582" s="53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907461536.644636</v>
      </c>
      <c r="N582" s="53" t="n">
        <f aca="false">IF(COUNT('Business Case'!B11:G11)=0,"",H582+NPV(G582,I582:M582))</f>
        <v>-294692931.072166</v>
      </c>
      <c r="P582" s="54" t="n">
        <f aca="true">RAND()</f>
        <v>0.189195764241671</v>
      </c>
      <c r="Q582" s="54" t="n">
        <f aca="true">RAND()</f>
        <v>0.970602945399302</v>
      </c>
      <c r="R582" s="54" t="n">
        <f aca="true">RAND()</f>
        <v>0.746893014884296</v>
      </c>
      <c r="S582" s="54" t="n">
        <f aca="true">RAND()</f>
        <v>0.432028489777975</v>
      </c>
      <c r="T582" s="54" t="n">
        <f aca="true">RAND()</f>
        <v>0.197103997620504</v>
      </c>
      <c r="U582" s="54" t="n">
        <f aca="true">RAND()</f>
        <v>0.158476579543972</v>
      </c>
    </row>
    <row r="583" customFormat="false" ht="15" hidden="false" customHeight="false" outlineLevel="0" collapsed="false">
      <c r="A583" s="50" t="n">
        <v>503</v>
      </c>
      <c r="B583" s="51" t="n">
        <f aca="false">1+IF($G$6=$E$6,$F$6,IF(P583&lt;($F$6-$E$6)/($G$6-$E$6),$E$6+SQRT(P583*($G$6-$E$6)*($F$6-$E$6)),$G$6-SQRT((1-P583)*($G$6-$E$6)*($G$6-$F$6))))</f>
        <v>0.987493044114762</v>
      </c>
      <c r="C583" s="51" t="n">
        <f aca="false">1+IF($G$7=$E$7,$F$7,IF(Q583&lt;($F$7-$E$7)/($G$7-$E$7),$E$7+SQRT(Q583*($G$7-$E$7)*($F$7-$E$7)),$G$7-SQRT((1-Q583)*($G$7-$E$7)*($G$7-$F$7))))</f>
        <v>0.949695595899008</v>
      </c>
      <c r="D583" s="51" t="n">
        <f aca="false">1+IF($G$8=$E$8,$F$8,IF(R583&lt;($F$8-$E$8)/($G$8-$E$8),$E$8+SQRT(R583*($G$8-$E$8)*($F$8-$E$8)),$G$8-SQRT((1-R583)*($G$8-$E$8)*($G$8-$F$8))))</f>
        <v>1.0012782682537</v>
      </c>
      <c r="E583" s="51" t="n">
        <f aca="false">1+IF($G$9=$E$9,$F$9,IF(S583&lt;($F$9-$E$9)/($G$9-$E$9),$E$9+SQRT(S583*($G$9-$E$9)*($F$9-$E$9)),$G$9-SQRT((1-S583)*($G$9-$E$9)*($G$9-$F$9))))</f>
        <v>1.03211525726031</v>
      </c>
      <c r="F583" s="51" t="n">
        <f aca="false">1+IF($G$10=$E$10,$F$10,IF(T583&lt;($F$10-$E$10)/($G$10-$E$10),$E$10+SQRT(T583*($G$10-$E$10)*($F$10-$E$10)),$G$10-SQRT((1-T583)*($G$10-$E$10)*($G$10-$F$10))))</f>
        <v>1.10657431471864</v>
      </c>
      <c r="G583" s="52" t="n">
        <f aca="false">IF($G$11=$E$11,$F$11,IF(U583&lt;($F$11-$E$11)/($G$11-$E$11),$E$11+SQRT(U583*($G$11-$E$11)*($F$11-$E$11)),$G$11-SQRT((1-U583)*($G$11-$E$11)*($G$11-$F$11))))</f>
        <v>0.107159960542336</v>
      </c>
      <c r="H583" s="53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-2213148629.43729</v>
      </c>
      <c r="I583" s="53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-24690021.3683121</v>
      </c>
      <c r="J583" s="53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256660652.809248</v>
      </c>
      <c r="K583" s="53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593340042.72274</v>
      </c>
      <c r="L583" s="53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719534583.776321</v>
      </c>
      <c r="M583" s="53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897794990.245491</v>
      </c>
      <c r="N583" s="53" t="n">
        <f aca="false">IF(COUNT('Business Case'!B11:G11)=0,"",H583+NPV(G583,I583:M583))</f>
        <v>-570346873.037012</v>
      </c>
      <c r="P583" s="54" t="n">
        <f aca="true">RAND()</f>
        <v>0.510335517897847</v>
      </c>
      <c r="Q583" s="54" t="n">
        <f aca="true">RAND()</f>
        <v>0.461836226750821</v>
      </c>
      <c r="R583" s="54" t="n">
        <f aca="true">RAND()</f>
        <v>0.35026797873411</v>
      </c>
      <c r="S583" s="54" t="n">
        <f aca="true">RAND()</f>
        <v>0.629418331445257</v>
      </c>
      <c r="T583" s="54" t="n">
        <f aca="true">RAND()</f>
        <v>0.725720970687643</v>
      </c>
      <c r="U583" s="54" t="n">
        <f aca="true">RAND()</f>
        <v>0.652221731714896</v>
      </c>
    </row>
    <row r="584" customFormat="false" ht="15" hidden="false" customHeight="false" outlineLevel="0" collapsed="false">
      <c r="A584" s="50" t="n">
        <v>504</v>
      </c>
      <c r="B584" s="51" t="n">
        <f aca="false">1+IF($G$6=$E$6,$F$6,IF(P584&lt;($F$6-$E$6)/($G$6-$E$6),$E$6+SQRT(P584*($G$6-$E$6)*($F$6-$E$6)),$G$6-SQRT((1-P584)*($G$6-$E$6)*($G$6-$F$6))))</f>
        <v>1.00072593942445</v>
      </c>
      <c r="C584" s="51" t="n">
        <f aca="false">1+IF($G$7=$E$7,$F$7,IF(Q584&lt;($F$7-$E$7)/($G$7-$E$7),$E$7+SQRT(Q584*($G$7-$E$7)*($F$7-$E$7)),$G$7-SQRT((1-Q584)*($G$7-$E$7)*($G$7-$F$7))))</f>
        <v>0.938733642872229</v>
      </c>
      <c r="D584" s="51" t="n">
        <f aca="false">1+IF($G$8=$E$8,$F$8,IF(R584&lt;($F$8-$E$8)/($G$8-$E$8),$E$8+SQRT(R584*($G$8-$E$8)*($F$8-$E$8)),$G$8-SQRT((1-R584)*($G$8-$E$8)*($G$8-$F$8))))</f>
        <v>1.01292841555653</v>
      </c>
      <c r="E584" s="51" t="n">
        <f aca="false">1+IF($G$9=$E$9,$F$9,IF(S584&lt;($F$9-$E$9)/($G$9-$E$9),$E$9+SQRT(S584*($G$9-$E$9)*($F$9-$E$9)),$G$9-SQRT((1-S584)*($G$9-$E$9)*($G$9-$F$9))))</f>
        <v>0.962741634063382</v>
      </c>
      <c r="F584" s="51" t="n">
        <f aca="false">1+IF($G$10=$E$10,$F$10,IF(T584&lt;($F$10-$E$10)/($G$10-$E$10),$E$10+SQRT(T584*($G$10-$E$10)*($F$10-$E$10)),$G$10-SQRT((1-T584)*($G$10-$E$10)*($G$10-$F$10))))</f>
        <v>1.03109321526945</v>
      </c>
      <c r="G584" s="52" t="n">
        <f aca="false">IF($G$11=$E$11,$F$11,IF(U584&lt;($F$11-$E$11)/($G$11-$E$11),$E$11+SQRT(U584*($G$11-$E$11)*($F$11-$E$11)),$G$11-SQRT((1-U584)*($G$11-$E$11)*($G$11-$F$11))))</f>
        <v>0.109626129366292</v>
      </c>
      <c r="H584" s="53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-2062186430.5389</v>
      </c>
      <c r="I584" s="53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-6031211.73039424</v>
      </c>
      <c r="J584" s="53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276648037.557806</v>
      </c>
      <c r="K584" s="53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610881947.609479</v>
      </c>
      <c r="L584" s="53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737574550.124103</v>
      </c>
      <c r="M584" s="53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916138573.592837</v>
      </c>
      <c r="N584" s="53" t="n">
        <f aca="false">IF(COUNT('Business Case'!B11:G11)=0,"",H584+NPV(G584,I584:M584))</f>
        <v>-364694890.96789</v>
      </c>
      <c r="P584" s="54" t="n">
        <f aca="true">RAND()</f>
        <v>0.676275593919609</v>
      </c>
      <c r="Q584" s="54" t="n">
        <f aca="true">RAND()</f>
        <v>0.422175942511444</v>
      </c>
      <c r="R584" s="54" t="n">
        <f aca="true">RAND()</f>
        <v>0.494569278833522</v>
      </c>
      <c r="S584" s="54" t="n">
        <f aca="true">RAND()</f>
        <v>0.157460505797734</v>
      </c>
      <c r="T584" s="54" t="n">
        <f aca="true">RAND()</f>
        <v>0.361064261319112</v>
      </c>
      <c r="U584" s="54" t="n">
        <f aca="true">RAND()</f>
        <v>0.723270263600619</v>
      </c>
    </row>
    <row r="585" customFormat="false" ht="15" hidden="false" customHeight="false" outlineLevel="0" collapsed="false">
      <c r="A585" s="50" t="n">
        <v>505</v>
      </c>
      <c r="B585" s="51" t="n">
        <f aca="false">1+IF($G$6=$E$6,$F$6,IF(P585&lt;($F$6-$E$6)/($G$6-$E$6),$E$6+SQRT(P585*($G$6-$E$6)*($F$6-$E$6)),$G$6-SQRT((1-P585)*($G$6-$E$6)*($G$6-$F$6))))</f>
        <v>0.996727309452857</v>
      </c>
      <c r="C585" s="51" t="n">
        <f aca="false">1+IF($G$7=$E$7,$F$7,IF(Q585&lt;($F$7-$E$7)/($G$7-$E$7),$E$7+SQRT(Q585*($G$7-$E$7)*($F$7-$E$7)),$G$7-SQRT((1-Q585)*($G$7-$E$7)*($G$7-$F$7))))</f>
        <v>0.883436093556243</v>
      </c>
      <c r="D585" s="51" t="n">
        <f aca="false">1+IF($G$8=$E$8,$F$8,IF(R585&lt;($F$8-$E$8)/($G$8-$E$8),$E$8+SQRT(R585*($G$8-$E$8)*($F$8-$E$8)),$G$8-SQRT((1-R585)*($G$8-$E$8)*($G$8-$F$8))))</f>
        <v>1.02762405820542</v>
      </c>
      <c r="E585" s="51" t="n">
        <f aca="false">1+IF($G$9=$E$9,$F$9,IF(S585&lt;($F$9-$E$9)/($G$9-$E$9),$E$9+SQRT(S585*($G$9-$E$9)*($F$9-$E$9)),$G$9-SQRT((1-S585)*($G$9-$E$9)*($G$9-$F$9))))</f>
        <v>1.04244259982866</v>
      </c>
      <c r="F585" s="51" t="n">
        <f aca="false">1+IF($G$10=$E$10,$F$10,IF(T585&lt;($F$10-$E$10)/($G$10-$E$10),$E$10+SQRT(T585*($G$10-$E$10)*($F$10-$E$10)),$G$10-SQRT((1-T585)*($G$10-$E$10)*($G$10-$F$10))))</f>
        <v>0.989716935300079</v>
      </c>
      <c r="G585" s="52" t="n">
        <f aca="false">IF($G$11=$E$11,$F$11,IF(U585&lt;($F$11-$E$11)/($G$11-$E$11),$E$11+SQRT(U585*($G$11-$E$11)*($F$11-$E$11)),$G$11-SQRT((1-U585)*($G$11-$E$11)*($G$11-$F$11))))</f>
        <v>0.0891369744599346</v>
      </c>
      <c r="H585" s="53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-1979433870.60016</v>
      </c>
      <c r="I585" s="53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-36366368.1917025</v>
      </c>
      <c r="J585" s="53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220121741.452742</v>
      </c>
      <c r="K585" s="53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526095697.86219</v>
      </c>
      <c r="L585" s="53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642023365.484008</v>
      </c>
      <c r="M585" s="53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809397336.38919</v>
      </c>
      <c r="N585" s="53" t="n">
        <f aca="false">IF(COUNT('Business Case'!B11:G11)=0,"",H585+NPV(G585,I585:M585))</f>
        <v>-435640164.730464</v>
      </c>
      <c r="P585" s="54" t="n">
        <f aca="true">RAND()</f>
        <v>0.623744826265922</v>
      </c>
      <c r="Q585" s="54" t="n">
        <f aca="true">RAND()</f>
        <v>0.249250373475368</v>
      </c>
      <c r="R585" s="54" t="n">
        <f aca="true">RAND()</f>
        <v>0.650781536623129</v>
      </c>
      <c r="S585" s="54" t="n">
        <f aca="true">RAND()</f>
        <v>0.691504151156855</v>
      </c>
      <c r="T585" s="54" t="n">
        <f aca="true">RAND()</f>
        <v>0.105162329975378</v>
      </c>
      <c r="U585" s="54" t="n">
        <f aca="true">RAND()</f>
        <v>0.0834843022814978</v>
      </c>
    </row>
    <row r="586" customFormat="false" ht="15" hidden="false" customHeight="false" outlineLevel="0" collapsed="false">
      <c r="A586" s="50" t="n">
        <v>506</v>
      </c>
      <c r="B586" s="51" t="n">
        <f aca="false">1+IF($G$6=$E$6,$F$6,IF(P586&lt;($F$6-$E$6)/($G$6-$E$6),$E$6+SQRT(P586*($G$6-$E$6)*($F$6-$E$6)),$G$6-SQRT((1-P586)*($G$6-$E$6)*($G$6-$F$6))))</f>
        <v>1.00736493391899</v>
      </c>
      <c r="C586" s="51" t="n">
        <f aca="false">1+IF($G$7=$E$7,$F$7,IF(Q586&lt;($F$7-$E$7)/($G$7-$E$7),$E$7+SQRT(Q586*($G$7-$E$7)*($F$7-$E$7)),$G$7-SQRT((1-Q586)*($G$7-$E$7)*($G$7-$F$7))))</f>
        <v>1.0290914719215</v>
      </c>
      <c r="D586" s="51" t="n">
        <f aca="false">1+IF($G$8=$E$8,$F$8,IF(R586&lt;($F$8-$E$8)/($G$8-$E$8),$E$8+SQRT(R586*($G$8-$E$8)*($F$8-$E$8)),$G$8-SQRT((1-R586)*($G$8-$E$8)*($G$8-$F$8))))</f>
        <v>1.00079796050107</v>
      </c>
      <c r="E586" s="51" t="n">
        <f aca="false">1+IF($G$9=$E$9,$F$9,IF(S586&lt;($F$9-$E$9)/($G$9-$E$9),$E$9+SQRT(S586*($G$9-$E$9)*($F$9-$E$9)),$G$9-SQRT((1-S586)*($G$9-$E$9)*($G$9-$F$9))))</f>
        <v>1.08296302711163</v>
      </c>
      <c r="F586" s="51" t="n">
        <f aca="false">1+IF($G$10=$E$10,$F$10,IF(T586&lt;($F$10-$E$10)/($G$10-$E$10),$E$10+SQRT(T586*($G$10-$E$10)*($F$10-$E$10)),$G$10-SQRT((1-T586)*($G$10-$E$10)*($G$10-$F$10))))</f>
        <v>0.979129168287972</v>
      </c>
      <c r="G586" s="52" t="n">
        <f aca="false">IF($G$11=$E$11,$F$11,IF(U586&lt;($F$11-$E$11)/($G$11-$E$11),$E$11+SQRT(U586*($G$11-$E$11)*($F$11-$E$11)),$G$11-SQRT((1-U586)*($G$11-$E$11)*($G$11-$F$11))))</f>
        <v>0.0997768826752147</v>
      </c>
      <c r="H586" s="53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-1958258336.57594</v>
      </c>
      <c r="I586" s="53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16223764.6530477</v>
      </c>
      <c r="J586" s="53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338098795.739806</v>
      </c>
      <c r="K586" s="53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708930285.240963</v>
      </c>
      <c r="L586" s="53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852049300.369642</v>
      </c>
      <c r="M586" s="53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1049099659.91832</v>
      </c>
      <c r="N586" s="53" t="n">
        <f aca="false">IF(COUNT('Business Case'!B11:G11)=0,"",H586+NPV(G586,I586:M586))</f>
        <v>103484396.954529</v>
      </c>
      <c r="P586" s="54" t="n">
        <f aca="true">RAND()</f>
        <v>0.757633485369021</v>
      </c>
      <c r="Q586" s="54" t="n">
        <f aca="true">RAND()</f>
        <v>0.783424116116911</v>
      </c>
      <c r="R586" s="54" t="n">
        <f aca="true">RAND()</f>
        <v>0.34393035728346</v>
      </c>
      <c r="S586" s="54" t="n">
        <f aca="true">RAND()</f>
        <v>0.880161180425688</v>
      </c>
      <c r="T586" s="54" t="n">
        <f aca="true">RAND()</f>
        <v>0.0565672296765997</v>
      </c>
      <c r="U586" s="54" t="n">
        <f aca="true">RAND()</f>
        <v>0.391125088349208</v>
      </c>
    </row>
    <row r="587" customFormat="false" ht="15" hidden="false" customHeight="false" outlineLevel="0" collapsed="false">
      <c r="A587" s="50" t="n">
        <v>507</v>
      </c>
      <c r="B587" s="51" t="n">
        <f aca="false">1+IF($G$6=$E$6,$F$6,IF(P587&lt;($F$6-$E$6)/($G$6-$E$6),$E$6+SQRT(P587*($G$6-$E$6)*($F$6-$E$6)),$G$6-SQRT((1-P587)*($G$6-$E$6)*($G$6-$F$6))))</f>
        <v>0.984313936658286</v>
      </c>
      <c r="C587" s="51" t="n">
        <f aca="false">1+IF($G$7=$E$7,$F$7,IF(Q587&lt;($F$7-$E$7)/($G$7-$E$7),$E$7+SQRT(Q587*($G$7-$E$7)*($F$7-$E$7)),$G$7-SQRT((1-Q587)*($G$7-$E$7)*($G$7-$F$7))))</f>
        <v>0.829746911633921</v>
      </c>
      <c r="D587" s="51" t="n">
        <f aca="false">1+IF($G$8=$E$8,$F$8,IF(R587&lt;($F$8-$E$8)/($G$8-$E$8),$E$8+SQRT(R587*($G$8-$E$8)*($F$8-$E$8)),$G$8-SQRT((1-R587)*($G$8-$E$8)*($G$8-$F$8))))</f>
        <v>1.0376790211673</v>
      </c>
      <c r="E587" s="51" t="n">
        <f aca="false">1+IF($G$9=$E$9,$F$9,IF(S587&lt;($F$9-$E$9)/($G$9-$E$9),$E$9+SQRT(S587*($G$9-$E$9)*($F$9-$E$9)),$G$9-SQRT((1-S587)*($G$9-$E$9)*($G$9-$F$9))))</f>
        <v>0.951613591272214</v>
      </c>
      <c r="F587" s="51" t="n">
        <f aca="false">1+IF($G$10=$E$10,$F$10,IF(T587&lt;($F$10-$E$10)/($G$10-$E$10),$E$10+SQRT(T587*($G$10-$E$10)*($F$10-$E$10)),$G$10-SQRT((1-T587)*($G$10-$E$10)*($G$10-$F$10))))</f>
        <v>0.983973798071902</v>
      </c>
      <c r="G587" s="52" t="n">
        <f aca="false">IF($G$11=$E$11,$F$11,IF(U587&lt;($F$11-$E$11)/($G$11-$E$11),$E$11+SQRT(U587*($G$11-$E$11)*($F$11-$E$11)),$G$11-SQRT((1-U587)*($G$11-$E$11)*($G$11-$F$11))))</f>
        <v>0.102493314763845</v>
      </c>
      <c r="H587" s="53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-1967947596.1438</v>
      </c>
      <c r="I587" s="53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-47863061.61161</v>
      </c>
      <c r="J587" s="53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180330067.580099</v>
      </c>
      <c r="K587" s="53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457721886.675403</v>
      </c>
      <c r="L587" s="53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562012501.950785</v>
      </c>
      <c r="M587" s="53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717256815.78059</v>
      </c>
      <c r="N587" s="53" t="n">
        <f aca="false">IF(COUNT('Business Case'!B11:G11)=0,"",H587+NPV(G587,I587:M587))</f>
        <v>-700687716.811024</v>
      </c>
      <c r="P587" s="54" t="n">
        <f aca="true">RAND()</f>
        <v>0.473922660987826</v>
      </c>
      <c r="Q587" s="54" t="n">
        <f aca="true">RAND()</f>
        <v>0.12469823021141</v>
      </c>
      <c r="R587" s="54" t="n">
        <f aca="true">RAND()</f>
        <v>0.741073039822237</v>
      </c>
      <c r="S587" s="54" t="n">
        <f aca="true">RAND()</f>
        <v>0.106558512160607</v>
      </c>
      <c r="T587" s="54" t="n">
        <f aca="true">RAND()</f>
        <v>0.0769479303620257</v>
      </c>
      <c r="U587" s="54" t="n">
        <f aca="true">RAND()</f>
        <v>0.495588178212715</v>
      </c>
    </row>
    <row r="588" customFormat="false" ht="15" hidden="false" customHeight="false" outlineLevel="0" collapsed="false">
      <c r="A588" s="50" t="n">
        <v>508</v>
      </c>
      <c r="B588" s="51" t="n">
        <f aca="false">1+IF($G$6=$E$6,$F$6,IF(P588&lt;($F$6-$E$6)/($G$6-$E$6),$E$6+SQRT(P588*($G$6-$E$6)*($F$6-$E$6)),$G$6-SQRT((1-P588)*($G$6-$E$6)*($G$6-$F$6))))</f>
        <v>1.0129711587805</v>
      </c>
      <c r="C588" s="51" t="n">
        <f aca="false">1+IF($G$7=$E$7,$F$7,IF(Q588&lt;($F$7-$E$7)/($G$7-$E$7),$E$7+SQRT(Q588*($G$7-$E$7)*($F$7-$E$7)),$G$7-SQRT((1-Q588)*($G$7-$E$7)*($G$7-$F$7))))</f>
        <v>1.03223042245776</v>
      </c>
      <c r="D588" s="51" t="n">
        <f aca="false">1+IF($G$8=$E$8,$F$8,IF(R588&lt;($F$8-$E$8)/($G$8-$E$8),$E$8+SQRT(R588*($G$8-$E$8)*($F$8-$E$8)),$G$8-SQRT((1-R588)*($G$8-$E$8)*($G$8-$F$8))))</f>
        <v>0.983932242534476</v>
      </c>
      <c r="E588" s="51" t="n">
        <f aca="false">1+IF($G$9=$E$9,$F$9,IF(S588&lt;($F$9-$E$9)/($G$9-$E$9),$E$9+SQRT(S588*($G$9-$E$9)*($F$9-$E$9)),$G$9-SQRT((1-S588)*($G$9-$E$9)*($G$9-$F$9))))</f>
        <v>1.04063720459802</v>
      </c>
      <c r="F588" s="51" t="n">
        <f aca="false">1+IF($G$10=$E$10,$F$10,IF(T588&lt;($F$10-$E$10)/($G$10-$E$10),$E$10+SQRT(T588*($G$10-$E$10)*($F$10-$E$10)),$G$10-SQRT((1-T588)*($G$10-$E$10)*($G$10-$F$10))))</f>
        <v>1.03757717904182</v>
      </c>
      <c r="G588" s="52" t="n">
        <f aca="false">IF($G$11=$E$11,$F$11,IF(U588&lt;($F$11-$E$11)/($G$11-$E$11),$E$11+SQRT(U588*($G$11-$E$11)*($F$11-$E$11)),$G$11-SQRT((1-U588)*($G$11-$E$11)*($G$11-$F$11))))</f>
        <v>0.0972950092291586</v>
      </c>
      <c r="H588" s="53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-2075154358.08364</v>
      </c>
      <c r="I588" s="53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30567641.5964714</v>
      </c>
      <c r="J588" s="53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367076534.100024</v>
      </c>
      <c r="K588" s="53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755464285.555667</v>
      </c>
      <c r="L588" s="53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903770531.396224</v>
      </c>
      <c r="M588" s="53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1102521913.92945</v>
      </c>
      <c r="N588" s="53" t="n">
        <f aca="false">IF(COUNT('Business Case'!B11:G11)=0,"",H588+NPV(G588,I588:M588))</f>
        <v>145824721.724658</v>
      </c>
      <c r="P588" s="54" t="n">
        <f aca="true">RAND()</f>
        <v>0.817181989058856</v>
      </c>
      <c r="Q588" s="54" t="n">
        <f aca="true">RAND()</f>
        <v>0.794523357118846</v>
      </c>
      <c r="R588" s="54" t="n">
        <f aca="true">RAND()</f>
        <v>0.153519611122467</v>
      </c>
      <c r="S588" s="54" t="n">
        <f aca="true">RAND()</f>
        <v>0.681060772849695</v>
      </c>
      <c r="T588" s="54" t="n">
        <f aca="true">RAND()</f>
        <v>0.398353935148926</v>
      </c>
      <c r="U588" s="54" t="n">
        <f aca="true">RAND()</f>
        <v>0.299117344236681</v>
      </c>
    </row>
    <row r="589" customFormat="false" ht="15" hidden="false" customHeight="false" outlineLevel="0" collapsed="false">
      <c r="A589" s="50" t="n">
        <v>509</v>
      </c>
      <c r="B589" s="51" t="n">
        <f aca="false">1+IF($G$6=$E$6,$F$6,IF(P589&lt;($F$6-$E$6)/($G$6-$E$6),$E$6+SQRT(P589*($G$6-$E$6)*($F$6-$E$6)),$G$6-SQRT((1-P589)*($G$6-$E$6)*($G$6-$F$6))))</f>
        <v>0.989607281653377</v>
      </c>
      <c r="C589" s="51" t="n">
        <f aca="false">1+IF($G$7=$E$7,$F$7,IF(Q589&lt;($F$7-$E$7)/($G$7-$E$7),$E$7+SQRT(Q589*($G$7-$E$7)*($F$7-$E$7)),$G$7-SQRT((1-Q589)*($G$7-$E$7)*($G$7-$F$7))))</f>
        <v>1.01883513025301</v>
      </c>
      <c r="D589" s="51" t="n">
        <f aca="false">1+IF($G$8=$E$8,$F$8,IF(R589&lt;($F$8-$E$8)/($G$8-$E$8),$E$8+SQRT(R589*($G$8-$E$8)*($F$8-$E$8)),$G$8-SQRT((1-R589)*($G$8-$E$8)*($G$8-$F$8))))</f>
        <v>1.04427230583305</v>
      </c>
      <c r="E589" s="51" t="n">
        <f aca="false">1+IF($G$9=$E$9,$F$9,IF(S589&lt;($F$9-$E$9)/($G$9-$E$9),$E$9+SQRT(S589*($G$9-$E$9)*($F$9-$E$9)),$G$9-SQRT((1-S589)*($G$9-$E$9)*($G$9-$F$9))))</f>
        <v>0.959312533308565</v>
      </c>
      <c r="F589" s="51" t="n">
        <f aca="false">1+IF($G$10=$E$10,$F$10,IF(T589&lt;($F$10-$E$10)/($G$10-$E$10),$E$10+SQRT(T589*($G$10-$E$10)*($F$10-$E$10)),$G$10-SQRT((1-T589)*($G$10-$E$10)*($G$10-$F$10))))</f>
        <v>0.977076438934618</v>
      </c>
      <c r="G589" s="52" t="n">
        <f aca="false">IF($G$11=$E$11,$F$11,IF(U589&lt;($F$11-$E$11)/($G$11-$E$11),$E$11+SQRT(U589*($G$11-$E$11)*($F$11-$E$11)),$G$11-SQRT((1-U589)*($G$11-$E$11)*($G$11-$F$11))))</f>
        <v>0.122516157451233</v>
      </c>
      <c r="H589" s="53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-1954152877.86924</v>
      </c>
      <c r="I589" s="53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-5215617.63448127</v>
      </c>
      <c r="J589" s="53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275958157.907322</v>
      </c>
      <c r="K589" s="53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605985755.395856</v>
      </c>
      <c r="L589" s="53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734555351.940687</v>
      </c>
      <c r="M589" s="53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926202877.777285</v>
      </c>
      <c r="N589" s="53" t="n">
        <f aca="false">IF(COUNT('Business Case'!B11:G11)=0,"",H589+NPV(G589,I589:M589))</f>
        <v>-329017369.859059</v>
      </c>
      <c r="P589" s="54" t="n">
        <f aca="true">RAND()</f>
        <v>0.535297661687172</v>
      </c>
      <c r="Q589" s="54" t="n">
        <f aca="true">RAND()</f>
        <v>0.745122621396355</v>
      </c>
      <c r="R589" s="54" t="n">
        <f aca="true">RAND()</f>
        <v>0.792961606855624</v>
      </c>
      <c r="S589" s="54" t="n">
        <f aca="true">RAND()</f>
        <v>0.140719064299185</v>
      </c>
      <c r="T589" s="54" t="n">
        <f aca="true">RAND()</f>
        <v>0.0488755696920057</v>
      </c>
      <c r="U589" s="54" t="n">
        <f aca="true">RAND()</f>
        <v>0.962661400470179</v>
      </c>
    </row>
    <row r="590" customFormat="false" ht="15" hidden="false" customHeight="false" outlineLevel="0" collapsed="false">
      <c r="A590" s="50" t="n">
        <v>510</v>
      </c>
      <c r="B590" s="51" t="n">
        <f aca="false">1+IF($G$6=$E$6,$F$6,IF(P590&lt;($F$6-$E$6)/($G$6-$E$6),$E$6+SQRT(P590*($G$6-$E$6)*($F$6-$E$6)),$G$6-SQRT((1-P590)*($G$6-$E$6)*($G$6-$F$6))))</f>
        <v>1.04173404531263</v>
      </c>
      <c r="C590" s="51" t="n">
        <f aca="false">1+IF($G$7=$E$7,$F$7,IF(Q590&lt;($F$7-$E$7)/($G$7-$E$7),$E$7+SQRT(Q590*($G$7-$E$7)*($F$7-$E$7)),$G$7-SQRT((1-Q590)*($G$7-$E$7)*($G$7-$F$7))))</f>
        <v>0.966460255014426</v>
      </c>
      <c r="D590" s="51" t="n">
        <f aca="false">1+IF($G$8=$E$8,$F$8,IF(R590&lt;($F$8-$E$8)/($G$8-$E$8),$E$8+SQRT(R590*($G$8-$E$8)*($F$8-$E$8)),$G$8-SQRT((1-R590)*($G$8-$E$8)*($G$8-$F$8))))</f>
        <v>1.01512310312675</v>
      </c>
      <c r="E590" s="51" t="n">
        <f aca="false">1+IF($G$9=$E$9,$F$9,IF(S590&lt;($F$9-$E$9)/($G$9-$E$9),$E$9+SQRT(S590*($G$9-$E$9)*($F$9-$E$9)),$G$9-SQRT((1-S590)*($G$9-$E$9)*($G$9-$F$9))))</f>
        <v>1.00200166150259</v>
      </c>
      <c r="F590" s="51" t="n">
        <f aca="false">1+IF($G$10=$E$10,$F$10,IF(T590&lt;($F$10-$E$10)/($G$10-$E$10),$E$10+SQRT(T590*($G$10-$E$10)*($F$10-$E$10)),$G$10-SQRT((1-T590)*($G$10-$E$10)*($G$10-$F$10))))</f>
        <v>1.03645870190272</v>
      </c>
      <c r="G590" s="52" t="n">
        <f aca="false">IF($G$11=$E$11,$F$11,IF(U590&lt;($F$11-$E$11)/($G$11-$E$11),$E$11+SQRT(U590*($G$11-$E$11)*($F$11-$E$11)),$G$11-SQRT((1-U590)*($G$11-$E$11)*($G$11-$F$11))))</f>
        <v>0.0960528204519099</v>
      </c>
      <c r="H590" s="53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-2072917403.80544</v>
      </c>
      <c r="I590" s="53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24081996.4997446</v>
      </c>
      <c r="J590" s="53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346486728.983938</v>
      </c>
      <c r="K590" s="53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720714396.563268</v>
      </c>
      <c r="L590" s="53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862977460.410338</v>
      </c>
      <c r="M590" s="53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1054348968.68154</v>
      </c>
      <c r="N590" s="53" t="n">
        <f aca="false">IF(COUNT('Business Case'!B11:G11)=0,"",H590+NPV(G590,I590:M590))</f>
        <v>49330617.3833983</v>
      </c>
      <c r="P590" s="54" t="n">
        <f aca="true">RAND()</f>
        <v>0.990889865747507</v>
      </c>
      <c r="Q590" s="54" t="n">
        <f aca="true">RAND()</f>
        <v>0.525933833350763</v>
      </c>
      <c r="R590" s="54" t="n">
        <f aca="true">RAND()</f>
        <v>0.519727491811231</v>
      </c>
      <c r="S590" s="54" t="n">
        <f aca="true">RAND()</f>
        <v>0.415906448053518</v>
      </c>
      <c r="T590" s="54" t="n">
        <f aca="true">RAND()</f>
        <v>0.39200152009239</v>
      </c>
      <c r="U590" s="54" t="n">
        <f aca="true">RAND()</f>
        <v>0.257693044461255</v>
      </c>
    </row>
    <row r="591" customFormat="false" ht="15" hidden="false" customHeight="false" outlineLevel="0" collapsed="false">
      <c r="A591" s="50" t="n">
        <v>511</v>
      </c>
      <c r="B591" s="51" t="n">
        <f aca="false">1+IF($G$6=$E$6,$F$6,IF(P591&lt;($F$6-$E$6)/($G$6-$E$6),$E$6+SQRT(P591*($G$6-$E$6)*($F$6-$E$6)),$G$6-SQRT((1-P591)*($G$6-$E$6)*($G$6-$F$6))))</f>
        <v>0.972435753698815</v>
      </c>
      <c r="C591" s="51" t="n">
        <f aca="false">1+IF($G$7=$E$7,$F$7,IF(Q591&lt;($F$7-$E$7)/($G$7-$E$7),$E$7+SQRT(Q591*($G$7-$E$7)*($F$7-$E$7)),$G$7-SQRT((1-Q591)*($G$7-$E$7)*($G$7-$F$7))))</f>
        <v>0.726351025955488</v>
      </c>
      <c r="D591" s="51" t="n">
        <f aca="false">1+IF($G$8=$E$8,$F$8,IF(R591&lt;($F$8-$E$8)/($G$8-$E$8),$E$8+SQRT(R591*($G$8-$E$8)*($F$8-$E$8)),$G$8-SQRT((1-R591)*($G$8-$E$8)*($G$8-$F$8))))</f>
        <v>0.975406859550892</v>
      </c>
      <c r="E591" s="51" t="n">
        <f aca="false">1+IF($G$9=$E$9,$F$9,IF(S591&lt;($F$9-$E$9)/($G$9-$E$9),$E$9+SQRT(S591*($G$9-$E$9)*($F$9-$E$9)),$G$9-SQRT((1-S591)*($G$9-$E$9)*($G$9-$F$9))))</f>
        <v>0.949780868709035</v>
      </c>
      <c r="F591" s="51" t="n">
        <f aca="false">1+IF($G$10=$E$10,$F$10,IF(T591&lt;($F$10-$E$10)/($G$10-$E$10),$E$10+SQRT(T591*($G$10-$E$10)*($F$10-$E$10)),$G$10-SQRT((1-T591)*($G$10-$E$10)*($G$10-$F$10))))</f>
        <v>1.12495668711227</v>
      </c>
      <c r="G591" s="52" t="n">
        <f aca="false">IF($G$11=$E$11,$F$11,IF(U591&lt;($F$11-$E$11)/($G$11-$E$11),$E$11+SQRT(U591*($G$11-$E$11)*($F$11-$E$11)),$G$11-SQRT((1-U591)*($G$11-$E$11)*($G$11-$F$11))))</f>
        <v>0.102393228771272</v>
      </c>
      <c r="H591" s="53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-2249913374.22454</v>
      </c>
      <c r="I591" s="53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-68324815.0284258</v>
      </c>
      <c r="J591" s="53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147521010.215117</v>
      </c>
      <c r="K591" s="53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419614669.814273</v>
      </c>
      <c r="L591" s="53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515974032.915665</v>
      </c>
      <c r="M591" s="53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650233183.693492</v>
      </c>
      <c r="N591" s="53" t="n">
        <f aca="false">IF(COUNT('Business Case'!B11:G11)=0,"",H591+NPV(G591,I591:M591))</f>
        <v>-1128541695.34806</v>
      </c>
      <c r="P591" s="54" t="n">
        <f aca="true">RAND()</f>
        <v>0.349795894261028</v>
      </c>
      <c r="Q591" s="54" t="n">
        <f aca="true">RAND()</f>
        <v>0.00514353014005052</v>
      </c>
      <c r="R591" s="54" t="n">
        <f aca="true">RAND()</f>
        <v>0.0860678016318326</v>
      </c>
      <c r="S591" s="54" t="n">
        <f aca="true">RAND()</f>
        <v>0.0991253955770453</v>
      </c>
      <c r="T591" s="54" t="n">
        <f aca="true">RAND()</f>
        <v>0.791522265360816</v>
      </c>
      <c r="U591" s="54" t="n">
        <f aca="true">RAND()</f>
        <v>0.491910788216455</v>
      </c>
    </row>
    <row r="592" customFormat="false" ht="15" hidden="false" customHeight="false" outlineLevel="0" collapsed="false">
      <c r="A592" s="50" t="n">
        <v>512</v>
      </c>
      <c r="B592" s="51" t="n">
        <f aca="false">1+IF($G$6=$E$6,$F$6,IF(P592&lt;($F$6-$E$6)/($G$6-$E$6),$E$6+SQRT(P592*($G$6-$E$6)*($F$6-$E$6)),$G$6-SQRT((1-P592)*($G$6-$E$6)*($G$6-$F$6))))</f>
        <v>0.960289032800891</v>
      </c>
      <c r="C592" s="51" t="n">
        <f aca="false">1+IF($G$7=$E$7,$F$7,IF(Q592&lt;($F$7-$E$7)/($G$7-$E$7),$E$7+SQRT(Q592*($G$7-$E$7)*($F$7-$E$7)),$G$7-SQRT((1-Q592)*($G$7-$E$7)*($G$7-$F$7))))</f>
        <v>0.937755202776665</v>
      </c>
      <c r="D592" s="51" t="n">
        <f aca="false">1+IF($G$8=$E$8,$F$8,IF(R592&lt;($F$8-$E$8)/($G$8-$E$8),$E$8+SQRT(R592*($G$8-$E$8)*($F$8-$E$8)),$G$8-SQRT((1-R592)*($G$8-$E$8)*($G$8-$F$8))))</f>
        <v>1.00330713713954</v>
      </c>
      <c r="E592" s="51" t="n">
        <f aca="false">1+IF($G$9=$E$9,$F$9,IF(S592&lt;($F$9-$E$9)/($G$9-$E$9),$E$9+SQRT(S592*($G$9-$E$9)*($F$9-$E$9)),$G$9-SQRT((1-S592)*($G$9-$E$9)*($G$9-$F$9))))</f>
        <v>0.950075725334131</v>
      </c>
      <c r="F592" s="51" t="n">
        <f aca="false">1+IF($G$10=$E$10,$F$10,IF(T592&lt;($F$10-$E$10)/($G$10-$E$10),$E$10+SQRT(T592*($G$10-$E$10)*($F$10-$E$10)),$G$10-SQRT((1-T592)*($G$10-$E$10)*($G$10-$F$10))))</f>
        <v>1.04359173216808</v>
      </c>
      <c r="G592" s="52" t="n">
        <f aca="false">IF($G$11=$E$11,$F$11,IF(U592&lt;($F$11-$E$11)/($G$11-$E$11),$E$11+SQRT(U592*($G$11-$E$11)*($F$11-$E$11)),$G$11-SQRT((1-U592)*($G$11-$E$11)*($G$11-$F$11))))</f>
        <v>0.112725296142957</v>
      </c>
      <c r="H592" s="53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-2087183464.33617</v>
      </c>
      <c r="I592" s="53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-30198474.7592563</v>
      </c>
      <c r="J592" s="53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225745743.182218</v>
      </c>
      <c r="K592" s="53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533869547.732096</v>
      </c>
      <c r="L592" s="53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650306121.273526</v>
      </c>
      <c r="M592" s="53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821476209.525358</v>
      </c>
      <c r="N592" s="53" t="n">
        <f aca="false">IF(COUNT('Business Case'!B11:G11)=0,"",H592+NPV(G592,I592:M592))</f>
        <v>-638738399.040247</v>
      </c>
      <c r="P592" s="54" t="n">
        <f aca="true">RAND()</f>
        <v>0.242317831737791</v>
      </c>
      <c r="Q592" s="54" t="n">
        <f aca="true">RAND()</f>
        <v>0.418722492202765</v>
      </c>
      <c r="R592" s="54" t="n">
        <f aca="true">RAND()</f>
        <v>0.376699351456546</v>
      </c>
      <c r="S592" s="54" t="n">
        <f aca="true">RAND()</f>
        <v>0.100303130709574</v>
      </c>
      <c r="T592" s="54" t="n">
        <f aca="true">RAND()</f>
        <v>0.431941692941706</v>
      </c>
      <c r="U592" s="54" t="n">
        <f aca="true">RAND()</f>
        <v>0.801056404434308</v>
      </c>
    </row>
    <row r="593" customFormat="false" ht="15" hidden="false" customHeight="false" outlineLevel="0" collapsed="false">
      <c r="A593" s="50" t="n">
        <v>513</v>
      </c>
      <c r="B593" s="51" t="n">
        <f aca="false">1+IF($G$6=$E$6,$F$6,IF(P593&lt;($F$6-$E$6)/($G$6-$E$6),$E$6+SQRT(P593*($G$6-$E$6)*($F$6-$E$6)),$G$6-SQRT((1-P593)*($G$6-$E$6)*($G$6-$F$6))))</f>
        <v>0.996385104557763</v>
      </c>
      <c r="C593" s="51" t="n">
        <f aca="false">1+IF($G$7=$E$7,$F$7,IF(Q593&lt;($F$7-$E$7)/($G$7-$E$7),$E$7+SQRT(Q593*($G$7-$E$7)*($F$7-$E$7)),$G$7-SQRT((1-Q593)*($G$7-$E$7)*($G$7-$F$7))))</f>
        <v>0.950825455566595</v>
      </c>
      <c r="D593" s="51" t="n">
        <f aca="false">1+IF($G$8=$E$8,$F$8,IF(R593&lt;($F$8-$E$8)/($G$8-$E$8),$E$8+SQRT(R593*($G$8-$E$8)*($F$8-$E$8)),$G$8-SQRT((1-R593)*($G$8-$E$8)*($G$8-$F$8))))</f>
        <v>1.04207861889361</v>
      </c>
      <c r="E593" s="51" t="n">
        <f aca="false">1+IF($G$9=$E$9,$F$9,IF(S593&lt;($F$9-$E$9)/($G$9-$E$9),$E$9+SQRT(S593*($G$9-$E$9)*($F$9-$E$9)),$G$9-SQRT((1-S593)*($G$9-$E$9)*($G$9-$F$9))))</f>
        <v>1.08001902070179</v>
      </c>
      <c r="F593" s="51" t="n">
        <f aca="false">1+IF($G$10=$E$10,$F$10,IF(T593&lt;($F$10-$E$10)/($G$10-$E$10),$E$10+SQRT(T593*($G$10-$E$10)*($F$10-$E$10)),$G$10-SQRT((1-T593)*($G$10-$E$10)*($G$10-$F$10))))</f>
        <v>1.04357607358613</v>
      </c>
      <c r="G593" s="52" t="n">
        <f aca="false">IF($G$11=$E$11,$F$11,IF(U593&lt;($F$11-$E$11)/($G$11-$E$11),$E$11+SQRT(U593*($G$11-$E$11)*($F$11-$E$11)),$G$11-SQRT((1-U593)*($G$11-$E$11)*($G$11-$F$11))))</f>
        <v>0.12045846244022</v>
      </c>
      <c r="H593" s="53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-2087152147.17226</v>
      </c>
      <c r="I593" s="53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-38297866.3481389</v>
      </c>
      <c r="J593" s="53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230453189.964743</v>
      </c>
      <c r="K593" s="53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551383049.95693</v>
      </c>
      <c r="L593" s="53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673708475.766966</v>
      </c>
      <c r="M593" s="53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853788047.815215</v>
      </c>
      <c r="N593" s="53" t="n">
        <f aca="false">IF(COUNT('Business Case'!B11:G11)=0,"",H593+NPV(G593,I593:M593))</f>
        <v>-634859596.836352</v>
      </c>
      <c r="P593" s="54" t="n">
        <f aca="true">RAND()</f>
        <v>0.619339225374061</v>
      </c>
      <c r="Q593" s="54" t="n">
        <f aca="true">RAND()</f>
        <v>0.466025253038443</v>
      </c>
      <c r="R593" s="54" t="n">
        <f aca="true">RAND()</f>
        <v>0.776340907381902</v>
      </c>
      <c r="S593" s="54" t="n">
        <f aca="true">RAND()</f>
        <v>0.869404334305683</v>
      </c>
      <c r="T593" s="54" t="n">
        <f aca="true">RAND()</f>
        <v>0.431855501385077</v>
      </c>
      <c r="U593" s="54" t="n">
        <f aca="true">RAND()</f>
        <v>0.939306040663539</v>
      </c>
    </row>
    <row r="594" customFormat="false" ht="15" hidden="false" customHeight="false" outlineLevel="0" collapsed="false">
      <c r="A594" s="50" t="n">
        <v>514</v>
      </c>
      <c r="B594" s="51" t="n">
        <f aca="false">1+IF($G$6=$E$6,$F$6,IF(P594&lt;($F$6-$E$6)/($G$6-$E$6),$E$6+SQRT(P594*($G$6-$E$6)*($F$6-$E$6)),$G$6-SQRT((1-P594)*($G$6-$E$6)*($G$6-$F$6))))</f>
        <v>0.957473836073778</v>
      </c>
      <c r="C594" s="51" t="n">
        <f aca="false">1+IF($G$7=$E$7,$F$7,IF(Q594&lt;($F$7-$E$7)/($G$7-$E$7),$E$7+SQRT(Q594*($G$7-$E$7)*($F$7-$E$7)),$G$7-SQRT((1-Q594)*($G$7-$E$7)*($G$7-$F$7))))</f>
        <v>0.960235348115235</v>
      </c>
      <c r="D594" s="51" t="n">
        <f aca="false">1+IF($G$8=$E$8,$F$8,IF(R594&lt;($F$8-$E$8)/($G$8-$E$8),$E$8+SQRT(R594*($G$8-$E$8)*($F$8-$E$8)),$G$8-SQRT((1-R594)*($G$8-$E$8)*($G$8-$F$8))))</f>
        <v>0.995141963884256</v>
      </c>
      <c r="E594" s="51" t="n">
        <f aca="false">1+IF($G$9=$E$9,$F$9,IF(S594&lt;($F$9-$E$9)/($G$9-$E$9),$E$9+SQRT(S594*($G$9-$E$9)*($F$9-$E$9)),$G$9-SQRT((1-S594)*($G$9-$E$9)*($G$9-$F$9))))</f>
        <v>1.01416027925895</v>
      </c>
      <c r="F594" s="51" t="n">
        <f aca="false">1+IF($G$10=$E$10,$F$10,IF(T594&lt;($F$10-$E$10)/($G$10-$E$10),$E$10+SQRT(T594*($G$10-$E$10)*($F$10-$E$10)),$G$10-SQRT((1-T594)*($G$10-$E$10)*($G$10-$F$10))))</f>
        <v>1.08829034262646</v>
      </c>
      <c r="G594" s="52" t="n">
        <f aca="false">IF($G$11=$E$11,$F$11,IF(U594&lt;($F$11-$E$11)/($G$11-$E$11),$E$11+SQRT(U594*($G$11-$E$11)*($F$11-$E$11)),$G$11-SQRT((1-U594)*($G$11-$E$11)*($G$11-$F$11))))</f>
        <v>0.0993237662449165</v>
      </c>
      <c r="H594" s="53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-2176580685.25292</v>
      </c>
      <c r="I594" s="53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-36824999.9219596</v>
      </c>
      <c r="J594" s="53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227054333.653046</v>
      </c>
      <c r="K594" s="53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545348184.359375</v>
      </c>
      <c r="L594" s="53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665082433.900175</v>
      </c>
      <c r="M594" s="53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839842028.153729</v>
      </c>
      <c r="N594" s="53" t="n">
        <f aca="false">IF(COUNT('Business Case'!B11:G11)=0,"",H594+NPV(G594,I594:M594))</f>
        <v>-633253967.052769</v>
      </c>
      <c r="P594" s="54" t="n">
        <f aca="true">RAND()</f>
        <v>0.220216122202364</v>
      </c>
      <c r="Q594" s="54" t="n">
        <f aca="true">RAND()</f>
        <v>0.501647677101167</v>
      </c>
      <c r="R594" s="54" t="n">
        <f aca="true">RAND()</f>
        <v>0.271706253776998</v>
      </c>
      <c r="S594" s="54" t="n">
        <f aca="true">RAND()</f>
        <v>0.507935207173153</v>
      </c>
      <c r="T594" s="54" t="n">
        <f aca="true">RAND()</f>
        <v>0.651333156161762</v>
      </c>
      <c r="U594" s="54" t="n">
        <f aca="true">RAND()</f>
        <v>0.373407941888174</v>
      </c>
    </row>
    <row r="595" customFormat="false" ht="15" hidden="false" customHeight="false" outlineLevel="0" collapsed="false">
      <c r="A595" s="50" t="n">
        <v>515</v>
      </c>
      <c r="B595" s="51" t="n">
        <f aca="false">1+IF($G$6=$E$6,$F$6,IF(P595&lt;($F$6-$E$6)/($G$6-$E$6),$E$6+SQRT(P595*($G$6-$E$6)*($F$6-$E$6)),$G$6-SQRT((1-P595)*($G$6-$E$6)*($G$6-$F$6))))</f>
        <v>1.01153056884292</v>
      </c>
      <c r="C595" s="51" t="n">
        <f aca="false">1+IF($G$7=$E$7,$F$7,IF(Q595&lt;($F$7-$E$7)/($G$7-$E$7),$E$7+SQRT(Q595*($G$7-$E$7)*($F$7-$E$7)),$G$7-SQRT((1-Q595)*($G$7-$E$7)*($G$7-$F$7))))</f>
        <v>0.994236227355534</v>
      </c>
      <c r="D595" s="51" t="n">
        <f aca="false">1+IF($G$8=$E$8,$F$8,IF(R595&lt;($F$8-$E$8)/($G$8-$E$8),$E$8+SQRT(R595*($G$8-$E$8)*($F$8-$E$8)),$G$8-SQRT((1-R595)*($G$8-$E$8)*($G$8-$F$8))))</f>
        <v>1.06749520631486</v>
      </c>
      <c r="E595" s="51" t="n">
        <f aca="false">1+IF($G$9=$E$9,$F$9,IF(S595&lt;($F$9-$E$9)/($G$9-$E$9),$E$9+SQRT(S595*($G$9-$E$9)*($F$9-$E$9)),$G$9-SQRT((1-S595)*($G$9-$E$9)*($G$9-$F$9))))</f>
        <v>1.00034162389441</v>
      </c>
      <c r="F595" s="51" t="n">
        <f aca="false">1+IF($G$10=$E$10,$F$10,IF(T595&lt;($F$10-$E$10)/($G$10-$E$10),$E$10+SQRT(T595*($G$10-$E$10)*($F$10-$E$10)),$G$10-SQRT((1-T595)*($G$10-$E$10)*($G$10-$F$10))))</f>
        <v>1.0209789843321</v>
      </c>
      <c r="G595" s="52" t="n">
        <f aca="false">IF($G$11=$E$11,$F$11,IF(U595&lt;($F$11-$E$11)/($G$11-$E$11),$E$11+SQRT(U595*($G$11-$E$11)*($F$11-$E$11)),$G$11-SQRT((1-U595)*($G$11-$E$11)*($G$11-$F$11))))</f>
        <v>0.0942617042774</v>
      </c>
      <c r="H595" s="53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-2041957968.66419</v>
      </c>
      <c r="I595" s="53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-16063401.4949808</v>
      </c>
      <c r="J595" s="53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264355179.811475</v>
      </c>
      <c r="K595" s="53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595822710.334536</v>
      </c>
      <c r="L595" s="53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724052574.40365</v>
      </c>
      <c r="M595" s="53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915216094.388605</v>
      </c>
      <c r="N595" s="53" t="n">
        <f aca="false">IF(COUNT('Business Case'!B11:G11)=0,"",H595+NPV(G595,I595:M595))</f>
        <v>-292807664.958877</v>
      </c>
      <c r="P595" s="54" t="n">
        <f aca="true">RAND()</f>
        <v>0.802680382193461</v>
      </c>
      <c r="Q595" s="54" t="n">
        <f aca="true">RAND()</f>
        <v>0.641295981395686</v>
      </c>
      <c r="R595" s="54" t="n">
        <f aca="true">RAND()</f>
        <v>0.929562559165784</v>
      </c>
      <c r="S595" s="54" t="n">
        <f aca="true">RAND()</f>
        <v>0.402729878971663</v>
      </c>
      <c r="T595" s="54" t="n">
        <f aca="true">RAND()</f>
        <v>0.300658325099225</v>
      </c>
      <c r="U595" s="54" t="n">
        <f aca="true">RAND()</f>
        <v>0.20339620889601</v>
      </c>
    </row>
    <row r="596" customFormat="false" ht="15" hidden="false" customHeight="false" outlineLevel="0" collapsed="false">
      <c r="A596" s="50" t="n">
        <v>516</v>
      </c>
      <c r="B596" s="51" t="n">
        <f aca="false">1+IF($G$6=$E$6,$F$6,IF(P596&lt;($F$6-$E$6)/($G$6-$E$6),$E$6+SQRT(P596*($G$6-$E$6)*($F$6-$E$6)),$G$6-SQRT((1-P596)*($G$6-$E$6)*($G$6-$F$6))))</f>
        <v>0.992893030812278</v>
      </c>
      <c r="C596" s="51" t="n">
        <f aca="false">1+IF($G$7=$E$7,$F$7,IF(Q596&lt;($F$7-$E$7)/($G$7-$E$7),$E$7+SQRT(Q596*($G$7-$E$7)*($F$7-$E$7)),$G$7-SQRT((1-Q596)*($G$7-$E$7)*($G$7-$F$7))))</f>
        <v>0.991710041936043</v>
      </c>
      <c r="D596" s="51" t="n">
        <f aca="false">1+IF($G$8=$E$8,$F$8,IF(R596&lt;($F$8-$E$8)/($G$8-$E$8),$E$8+SQRT(R596*($G$8-$E$8)*($F$8-$E$8)),$G$8-SQRT((1-R596)*($G$8-$E$8)*($G$8-$F$8))))</f>
        <v>1.02209300358707</v>
      </c>
      <c r="E596" s="51" t="n">
        <f aca="false">1+IF($G$9=$E$9,$F$9,IF(S596&lt;($F$9-$E$9)/($G$9-$E$9),$E$9+SQRT(S596*($G$9-$E$9)*($F$9-$E$9)),$G$9-SQRT((1-S596)*($G$9-$E$9)*($G$9-$F$9))))</f>
        <v>1.00402017619022</v>
      </c>
      <c r="F596" s="51" t="n">
        <f aca="false">1+IF($G$10=$E$10,$F$10,IF(T596&lt;($F$10-$E$10)/($G$10-$E$10),$E$10+SQRT(T596*($G$10-$E$10)*($F$10-$E$10)),$G$10-SQRT((1-T596)*($G$10-$E$10)*($G$10-$F$10))))</f>
        <v>1.07649189395096</v>
      </c>
      <c r="G596" s="52" t="n">
        <f aca="false">IF($G$11=$E$11,$F$11,IF(U596&lt;($F$11-$E$11)/($G$11-$E$11),$E$11+SQRT(U596*($G$11-$E$11)*($F$11-$E$11)),$G$11-SQRT((1-U596)*($G$11-$E$11)*($G$11-$F$11))))</f>
        <v>0.101955275757858</v>
      </c>
      <c r="H596" s="53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-2152983787.90192</v>
      </c>
      <c r="I596" s="53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-13848968.011084</v>
      </c>
      <c r="J596" s="53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273767799.948593</v>
      </c>
      <c r="K596" s="53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615209162.605819</v>
      </c>
      <c r="L596" s="53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745111336.939988</v>
      </c>
      <c r="M596" s="53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932275887.851847</v>
      </c>
      <c r="N596" s="53" t="n">
        <f aca="false">IF(COUNT('Business Case'!B11:G11)=0,"",H596+NPV(G596,I596:M596))</f>
        <v>-401268416.907021</v>
      </c>
      <c r="P596" s="54" t="n">
        <f aca="true">RAND()</f>
        <v>0.575274344899386</v>
      </c>
      <c r="Q596" s="54" t="n">
        <f aca="true">RAND()</f>
        <v>0.630331470861687</v>
      </c>
      <c r="R596" s="54" t="n">
        <f aca="true">RAND()</f>
        <v>0.595366660661066</v>
      </c>
      <c r="S596" s="54" t="n">
        <f aca="true">RAND()</f>
        <v>0.431730427745729</v>
      </c>
      <c r="T596" s="54" t="n">
        <f aca="true">RAND()</f>
        <v>0.598599161803675</v>
      </c>
      <c r="U596" s="54" t="n">
        <f aca="true">RAND()</f>
        <v>0.475662294788126</v>
      </c>
    </row>
    <row r="597" customFormat="false" ht="15" hidden="false" customHeight="false" outlineLevel="0" collapsed="false">
      <c r="A597" s="50" t="n">
        <v>517</v>
      </c>
      <c r="B597" s="51" t="n">
        <f aca="false">1+IF($G$6=$E$6,$F$6,IF(P597&lt;($F$6-$E$6)/($G$6-$E$6),$E$6+SQRT(P597*($G$6-$E$6)*($F$6-$E$6)),$G$6-SQRT((1-P597)*($G$6-$E$6)*($G$6-$F$6))))</f>
        <v>0.970372045622051</v>
      </c>
      <c r="C597" s="51" t="n">
        <f aca="false">1+IF($G$7=$E$7,$F$7,IF(Q597&lt;($F$7-$E$7)/($G$7-$E$7),$E$7+SQRT(Q597*($G$7-$E$7)*($F$7-$E$7)),$G$7-SQRT((1-Q597)*($G$7-$E$7)*($G$7-$F$7))))</f>
        <v>0.904459775629328</v>
      </c>
      <c r="D597" s="51" t="n">
        <f aca="false">1+IF($G$8=$E$8,$F$8,IF(R597&lt;($F$8-$E$8)/($G$8-$E$8),$E$8+SQRT(R597*($G$8-$E$8)*($F$8-$E$8)),$G$8-SQRT((1-R597)*($G$8-$E$8)*($G$8-$F$8))))</f>
        <v>1.04796582170175</v>
      </c>
      <c r="E597" s="51" t="n">
        <f aca="false">1+IF($G$9=$E$9,$F$9,IF(S597&lt;($F$9-$E$9)/($G$9-$E$9),$E$9+SQRT(S597*($G$9-$E$9)*($F$9-$E$9)),$G$9-SQRT((1-S597)*($G$9-$E$9)*($G$9-$F$9))))</f>
        <v>1.01735225055515</v>
      </c>
      <c r="F597" s="51" t="n">
        <f aca="false">1+IF($G$10=$E$10,$F$10,IF(T597&lt;($F$10-$E$10)/($G$10-$E$10),$E$10+SQRT(T597*($G$10-$E$10)*($F$10-$E$10)),$G$10-SQRT((1-T597)*($G$10-$E$10)*($G$10-$F$10))))</f>
        <v>1.18988831889397</v>
      </c>
      <c r="G597" s="52" t="n">
        <f aca="false">IF($G$11=$E$11,$F$11,IF(U597&lt;($F$11-$E$11)/($G$11-$E$11),$E$11+SQRT(U597*($G$11-$E$11)*($F$11-$E$11)),$G$11-SQRT((1-U597)*($G$11-$E$11)*($G$11-$F$11))))</f>
        <v>0.0824263104891866</v>
      </c>
      <c r="H597" s="53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-2379776637.78795</v>
      </c>
      <c r="I597" s="53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-75505333.7527067</v>
      </c>
      <c r="J597" s="53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158143677.514035</v>
      </c>
      <c r="K597" s="53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451287104.725475</v>
      </c>
      <c r="L597" s="53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559502123.881796</v>
      </c>
      <c r="M597" s="53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726328208.585865</v>
      </c>
      <c r="N597" s="53" t="n">
        <f aca="false">IF(COUNT('Business Case'!B11:G11)=0,"",H597+NPV(G597,I597:M597))</f>
        <v>-1062327075.37741</v>
      </c>
      <c r="P597" s="54" t="n">
        <f aca="true">RAND()</f>
        <v>0.330148320335464</v>
      </c>
      <c r="Q597" s="54" t="n">
        <f aca="true">RAND()</f>
        <v>0.309657776669593</v>
      </c>
      <c r="R597" s="54" t="n">
        <f aca="true">RAND()</f>
        <v>0.819496285921705</v>
      </c>
      <c r="S597" s="54" t="n">
        <f aca="true">RAND()</f>
        <v>0.530788655125736</v>
      </c>
      <c r="T597" s="54" t="n">
        <f aca="true">RAND()</f>
        <v>0.951821143928099</v>
      </c>
      <c r="U597" s="54" t="n">
        <f aca="true">RAND()</f>
        <v>0.00588698258993679</v>
      </c>
    </row>
    <row r="598" customFormat="false" ht="15" hidden="false" customHeight="false" outlineLevel="0" collapsed="false">
      <c r="A598" s="50" t="n">
        <v>518</v>
      </c>
      <c r="B598" s="51" t="n">
        <f aca="false">1+IF($G$6=$E$6,$F$6,IF(P598&lt;($F$6-$E$6)/($G$6-$E$6),$E$6+SQRT(P598*($G$6-$E$6)*($F$6-$E$6)),$G$6-SQRT((1-P598)*($G$6-$E$6)*($G$6-$F$6))))</f>
        <v>0.918283500096925</v>
      </c>
      <c r="C598" s="51" t="n">
        <f aca="false">1+IF($G$7=$E$7,$F$7,IF(Q598&lt;($F$7-$E$7)/($G$7-$E$7),$E$7+SQRT(Q598*($G$7-$E$7)*($F$7-$E$7)),$G$7-SQRT((1-Q598)*($G$7-$E$7)*($G$7-$F$7))))</f>
        <v>0.939155091786034</v>
      </c>
      <c r="D598" s="51" t="n">
        <f aca="false">1+IF($G$8=$E$8,$F$8,IF(R598&lt;($F$8-$E$8)/($G$8-$E$8),$E$8+SQRT(R598*($G$8-$E$8)*($F$8-$E$8)),$G$8-SQRT((1-R598)*($G$8-$E$8)*($G$8-$F$8))))</f>
        <v>0.997577298847185</v>
      </c>
      <c r="E598" s="51" t="n">
        <f aca="false">1+IF($G$9=$E$9,$F$9,IF(S598&lt;($F$9-$E$9)/($G$9-$E$9),$E$9+SQRT(S598*($G$9-$E$9)*($F$9-$E$9)),$G$9-SQRT((1-S598)*($G$9-$E$9)*($G$9-$F$9))))</f>
        <v>1.06264649296033</v>
      </c>
      <c r="F598" s="51" t="n">
        <f aca="false">1+IF($G$10=$E$10,$F$10,IF(T598&lt;($F$10-$E$10)/($G$10-$E$10),$E$10+SQRT(T598*($G$10-$E$10)*($F$10-$E$10)),$G$10-SQRT((1-T598)*($G$10-$E$10)*($G$10-$F$10))))</f>
        <v>1.11501735243893</v>
      </c>
      <c r="G598" s="52" t="n">
        <f aca="false">IF($G$11=$E$11,$F$11,IF(U598&lt;($F$11-$E$11)/($G$11-$E$11),$E$11+SQRT(U598*($G$11-$E$11)*($F$11-$E$11)),$G$11-SQRT((1-U598)*($G$11-$E$11)*($G$11-$F$11))))</f>
        <v>0.0988892737690195</v>
      </c>
      <c r="H598" s="53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-2230034704.87785</v>
      </c>
      <c r="I598" s="53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-80548545.0848449</v>
      </c>
      <c r="J598" s="53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146220343.163785</v>
      </c>
      <c r="K598" s="53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428740099.034361</v>
      </c>
      <c r="L598" s="53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534134639.64432</v>
      </c>
      <c r="M598" s="53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698061651.20994</v>
      </c>
      <c r="N598" s="53" t="n">
        <f aca="false">IF(COUNT('Business Case'!B11:G11)=0,"",H598+NPV(G598,I598:M598))</f>
        <v>-1057215726.4725</v>
      </c>
      <c r="P598" s="54" t="n">
        <f aca="true">RAND()</f>
        <v>0.0222857583862838</v>
      </c>
      <c r="Q598" s="54" t="n">
        <f aca="true">RAND()</f>
        <v>0.423667836497676</v>
      </c>
      <c r="R598" s="54" t="n">
        <f aca="true">RAND()</f>
        <v>0.301813248745919</v>
      </c>
      <c r="S598" s="54" t="n">
        <f aca="true">RAND()</f>
        <v>0.796516394876531</v>
      </c>
      <c r="T598" s="54" t="n">
        <f aca="true">RAND()</f>
        <v>0.757062464765369</v>
      </c>
      <c r="U598" s="54" t="n">
        <f aca="true">RAND()</f>
        <v>0.356804663520967</v>
      </c>
    </row>
    <row r="599" customFormat="false" ht="15" hidden="false" customHeight="false" outlineLevel="0" collapsed="false">
      <c r="A599" s="50" t="n">
        <v>519</v>
      </c>
      <c r="B599" s="51" t="n">
        <f aca="false">1+IF($G$6=$E$6,$F$6,IF(P599&lt;($F$6-$E$6)/($G$6-$E$6),$E$6+SQRT(P599*($G$6-$E$6)*($F$6-$E$6)),$G$6-SQRT((1-P599)*($G$6-$E$6)*($G$6-$F$6))))</f>
        <v>1.00837909493542</v>
      </c>
      <c r="C599" s="51" t="n">
        <f aca="false">1+IF($G$7=$E$7,$F$7,IF(Q599&lt;($F$7-$E$7)/($G$7-$E$7),$E$7+SQRT(Q599*($G$7-$E$7)*($F$7-$E$7)),$G$7-SQRT((1-Q599)*($G$7-$E$7)*($G$7-$F$7))))</f>
        <v>0.853631096922379</v>
      </c>
      <c r="D599" s="51" t="n">
        <f aca="false">1+IF($G$8=$E$8,$F$8,IF(R599&lt;($F$8-$E$8)/($G$8-$E$8),$E$8+SQRT(R599*($G$8-$E$8)*($F$8-$E$8)),$G$8-SQRT((1-R599)*($G$8-$E$8)*($G$8-$F$8))))</f>
        <v>1.03559206022911</v>
      </c>
      <c r="E599" s="51" t="n">
        <f aca="false">1+IF($G$9=$E$9,$F$9,IF(S599&lt;($F$9-$E$9)/($G$9-$E$9),$E$9+SQRT(S599*($G$9-$E$9)*($F$9-$E$9)),$G$9-SQRT((1-S599)*($G$9-$E$9)*($G$9-$F$9))))</f>
        <v>0.995130026819372</v>
      </c>
      <c r="F599" s="51" t="n">
        <f aca="false">1+IF($G$10=$E$10,$F$10,IF(T599&lt;($F$10-$E$10)/($G$10-$E$10),$E$10+SQRT(T599*($G$10-$E$10)*($F$10-$E$10)),$G$10-SQRT((1-T599)*($G$10-$E$10)*($G$10-$F$10))))</f>
        <v>1.00166175465896</v>
      </c>
      <c r="G599" s="52" t="n">
        <f aca="false">IF($G$11=$E$11,$F$11,IF(U599&lt;($F$11-$E$11)/($G$11-$E$11),$E$11+SQRT(U599*($G$11-$E$11)*($F$11-$E$11)),$G$11-SQRT((1-U599)*($G$11-$E$11)*($G$11-$F$11))))</f>
        <v>0.11559383946226</v>
      </c>
      <c r="H599" s="53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-2003323509.31792</v>
      </c>
      <c r="I599" s="53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-33797060.0746303</v>
      </c>
      <c r="J599" s="53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218702574.881895</v>
      </c>
      <c r="K599" s="53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521285297.571368</v>
      </c>
      <c r="L599" s="53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635200529.057907</v>
      </c>
      <c r="M599" s="53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798818304.813572</v>
      </c>
      <c r="N599" s="53" t="n">
        <f aca="false">IF(COUNT('Business Case'!B11:G11)=0,"",H599+NPV(G599,I599:M599))</f>
        <v>-610045984.803804</v>
      </c>
      <c r="P599" s="54" t="n">
        <f aca="true">RAND()</f>
        <v>0.769026701547364</v>
      </c>
      <c r="Q599" s="54" t="n">
        <f aca="true">RAND()</f>
        <v>0.174833436604247</v>
      </c>
      <c r="R599" s="54" t="n">
        <f aca="true">RAND()</f>
        <v>0.723441152964612</v>
      </c>
      <c r="S599" s="54" t="n">
        <f aca="true">RAND()</f>
        <v>0.361988880106174</v>
      </c>
      <c r="T599" s="54" t="n">
        <f aca="true">RAND()</f>
        <v>0.17770821201246</v>
      </c>
      <c r="U599" s="54" t="n">
        <f aca="true">RAND()</f>
        <v>0.8616416923739</v>
      </c>
    </row>
    <row r="600" customFormat="false" ht="15" hidden="false" customHeight="false" outlineLevel="0" collapsed="false">
      <c r="A600" s="50" t="n">
        <v>520</v>
      </c>
      <c r="B600" s="51" t="n">
        <f aca="false">1+IF($G$6=$E$6,$F$6,IF(P600&lt;($F$6-$E$6)/($G$6-$E$6),$E$6+SQRT(P600*($G$6-$E$6)*($F$6-$E$6)),$G$6-SQRT((1-P600)*($G$6-$E$6)*($G$6-$F$6))))</f>
        <v>0.983247314553053</v>
      </c>
      <c r="C600" s="51" t="n">
        <f aca="false">1+IF($G$7=$E$7,$F$7,IF(Q600&lt;($F$7-$E$7)/($G$7-$E$7),$E$7+SQRT(Q600*($G$7-$E$7)*($F$7-$E$7)),$G$7-SQRT((1-Q600)*($G$7-$E$7)*($G$7-$F$7))))</f>
        <v>1.00529886474173</v>
      </c>
      <c r="D600" s="51" t="n">
        <f aca="false">1+IF($G$8=$E$8,$F$8,IF(R600&lt;($F$8-$E$8)/($G$8-$E$8),$E$8+SQRT(R600*($G$8-$E$8)*($F$8-$E$8)),$G$8-SQRT((1-R600)*($G$8-$E$8)*($G$8-$F$8))))</f>
        <v>1.02787861447613</v>
      </c>
      <c r="E600" s="51" t="n">
        <f aca="false">1+IF($G$9=$E$9,$F$9,IF(S600&lt;($F$9-$E$9)/($G$9-$E$9),$E$9+SQRT(S600*($G$9-$E$9)*($F$9-$E$9)),$G$9-SQRT((1-S600)*($G$9-$E$9)*($G$9-$F$9))))</f>
        <v>1.11629199054476</v>
      </c>
      <c r="F600" s="51" t="n">
        <f aca="false">1+IF($G$10=$E$10,$F$10,IF(T600&lt;($F$10-$E$10)/($G$10-$E$10),$E$10+SQRT(T600*($G$10-$E$10)*($F$10-$E$10)),$G$10-SQRT((1-T600)*($G$10-$E$10)*($G$10-$F$10))))</f>
        <v>0.962508092983963</v>
      </c>
      <c r="G600" s="52" t="n">
        <f aca="false">IF($G$11=$E$11,$F$11,IF(U600&lt;($F$11-$E$11)/($G$11-$E$11),$E$11+SQRT(U600*($G$11-$E$11)*($F$11-$E$11)),$G$11-SQRT((1-U600)*($G$11-$E$11)*($G$11-$F$11))))</f>
        <v>0.098849600815418</v>
      </c>
      <c r="H600" s="53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-1925016185.96793</v>
      </c>
      <c r="I600" s="53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-25591214.0171216</v>
      </c>
      <c r="J600" s="53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255046734.406353</v>
      </c>
      <c r="K600" s="53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583810087.479025</v>
      </c>
      <c r="L600" s="53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711517158.344673</v>
      </c>
      <c r="M600" s="53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899403142.662701</v>
      </c>
      <c r="N600" s="53" t="n">
        <f aca="false">IF(COUNT('Business Case'!B11:G11)=0,"",H600+NPV(G600,I600:M600))</f>
        <v>-247674986.330086</v>
      </c>
      <c r="P600" s="54" t="n">
        <f aca="true">RAND()</f>
        <v>0.462007692019668</v>
      </c>
      <c r="Q600" s="54" t="n">
        <f aca="true">RAND()</f>
        <v>0.689801206740245</v>
      </c>
      <c r="R600" s="54" t="n">
        <f aca="true">RAND()</f>
        <v>0.653233716674453</v>
      </c>
      <c r="S600" s="54" t="n">
        <f aca="true">RAND()</f>
        <v>0.969700535961743</v>
      </c>
      <c r="T600" s="54" t="n">
        <f aca="true">RAND()</f>
        <v>0.0104301593396976</v>
      </c>
      <c r="U600" s="54" t="n">
        <f aca="true">RAND()</f>
        <v>0.355307450900606</v>
      </c>
    </row>
    <row r="601" customFormat="false" ht="15" hidden="false" customHeight="false" outlineLevel="0" collapsed="false">
      <c r="A601" s="50" t="n">
        <v>521</v>
      </c>
      <c r="B601" s="51" t="n">
        <f aca="false">1+IF($G$6=$E$6,$F$6,IF(P601&lt;($F$6-$E$6)/($G$6-$E$6),$E$6+SQRT(P601*($G$6-$E$6)*($F$6-$E$6)),$G$6-SQRT((1-P601)*($G$6-$E$6)*($G$6-$F$6))))</f>
        <v>0.975964305023523</v>
      </c>
      <c r="C601" s="51" t="n">
        <f aca="false">1+IF($G$7=$E$7,$F$7,IF(Q601&lt;($F$7-$E$7)/($G$7-$E$7),$E$7+SQRT(Q601*($G$7-$E$7)*($F$7-$E$7)),$G$7-SQRT((1-Q601)*($G$7-$E$7)*($G$7-$F$7))))</f>
        <v>0.944940484079428</v>
      </c>
      <c r="D601" s="51" t="n">
        <f aca="false">1+IF($G$8=$E$8,$F$8,IF(R601&lt;($F$8-$E$8)/($G$8-$E$8),$E$8+SQRT(R601*($G$8-$E$8)*($F$8-$E$8)),$G$8-SQRT((1-R601)*($G$8-$E$8)*($G$8-$F$8))))</f>
        <v>1.00023883538365</v>
      </c>
      <c r="E601" s="51" t="n">
        <f aca="false">1+IF($G$9=$E$9,$F$9,IF(S601&lt;($F$9-$E$9)/($G$9-$E$9),$E$9+SQRT(S601*($G$9-$E$9)*($F$9-$E$9)),$G$9-SQRT((1-S601)*($G$9-$E$9)*($G$9-$F$9))))</f>
        <v>1.07812480060604</v>
      </c>
      <c r="F601" s="51" t="n">
        <f aca="false">1+IF($G$10=$E$10,$F$10,IF(T601&lt;($F$10-$E$10)/($G$10-$E$10),$E$10+SQRT(T601*($G$10-$E$10)*($F$10-$E$10)),$G$10-SQRT((1-T601)*($G$10-$E$10)*($G$10-$F$10))))</f>
        <v>1.051818056661</v>
      </c>
      <c r="G601" s="52" t="n">
        <f aca="false">IF($G$11=$E$11,$F$11,IF(U601&lt;($F$11-$E$11)/($G$11-$E$11),$E$11+SQRT(U601*($G$11-$E$11)*($F$11-$E$11)),$G$11-SQRT((1-U601)*($G$11-$E$11)*($G$11-$F$11))))</f>
        <v>0.0881841355706407</v>
      </c>
      <c r="H601" s="53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-2103636113.322</v>
      </c>
      <c r="I601" s="53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-34777644.5301379</v>
      </c>
      <c r="J601" s="53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236744172.250075</v>
      </c>
      <c r="K601" s="53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560856891.863337</v>
      </c>
      <c r="L601" s="53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683236370.122122</v>
      </c>
      <c r="M601" s="53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858533503.115052</v>
      </c>
      <c r="N601" s="53" t="n">
        <f aca="false">IF(COUNT('Business Case'!B11:G11)=0,"",H601+NPV(G601,I601:M601))</f>
        <v>-450491144.600765</v>
      </c>
      <c r="P601" s="54" t="n">
        <f aca="true">RAND()</f>
        <v>0.384705042513791</v>
      </c>
      <c r="Q601" s="54" t="n">
        <f aca="true">RAND()</f>
        <v>0.444413635118998</v>
      </c>
      <c r="R601" s="54" t="n">
        <f aca="true">RAND()</f>
        <v>0.336514002292579</v>
      </c>
      <c r="S601" s="54" t="n">
        <f aca="true">RAND()</f>
        <v>0.862238818988765</v>
      </c>
      <c r="T601" s="54" t="n">
        <f aca="true">RAND()</f>
        <v>0.476318897791693</v>
      </c>
      <c r="U601" s="54" t="n">
        <f aca="true">RAND()</f>
        <v>0.0669800750386258</v>
      </c>
    </row>
    <row r="602" customFormat="false" ht="15" hidden="false" customHeight="false" outlineLevel="0" collapsed="false">
      <c r="A602" s="50" t="n">
        <v>522</v>
      </c>
      <c r="B602" s="51" t="n">
        <f aca="false">1+IF($G$6=$E$6,$F$6,IF(P602&lt;($F$6-$E$6)/($G$6-$E$6),$E$6+SQRT(P602*($G$6-$E$6)*($F$6-$E$6)),$G$6-SQRT((1-P602)*($G$6-$E$6)*($G$6-$F$6))))</f>
        <v>1.01007717047869</v>
      </c>
      <c r="C602" s="51" t="n">
        <f aca="false">1+IF($G$7=$E$7,$F$7,IF(Q602&lt;($F$7-$E$7)/($G$7-$E$7),$E$7+SQRT(Q602*($G$7-$E$7)*($F$7-$E$7)),$G$7-SQRT((1-Q602)*($G$7-$E$7)*($G$7-$F$7))))</f>
        <v>0.94621202722133</v>
      </c>
      <c r="D602" s="51" t="n">
        <f aca="false">1+IF($G$8=$E$8,$F$8,IF(R602&lt;($F$8-$E$8)/($G$8-$E$8),$E$8+SQRT(R602*($G$8-$E$8)*($F$8-$E$8)),$G$8-SQRT((1-R602)*($G$8-$E$8)*($G$8-$F$8))))</f>
        <v>1.01615498821326</v>
      </c>
      <c r="E602" s="51" t="n">
        <f aca="false">1+IF($G$9=$E$9,$F$9,IF(S602&lt;($F$9-$E$9)/($G$9-$E$9),$E$9+SQRT(S602*($G$9-$E$9)*($F$9-$E$9)),$G$9-SQRT((1-S602)*($G$9-$E$9)*($G$9-$F$9))))</f>
        <v>0.998531605308806</v>
      </c>
      <c r="F602" s="51" t="n">
        <f aca="false">1+IF($G$10=$E$10,$F$10,IF(T602&lt;($F$10-$E$10)/($G$10-$E$10),$E$10+SQRT(T602*($G$10-$E$10)*($F$10-$E$10)),$G$10-SQRT((1-T602)*($G$10-$E$10)*($G$10-$F$10))))</f>
        <v>1.16671529219298</v>
      </c>
      <c r="G602" s="52" t="n">
        <f aca="false">IF($G$11=$E$11,$F$11,IF(U602&lt;($F$11-$E$11)/($G$11-$E$11),$E$11+SQRT(U602*($G$11-$E$11)*($F$11-$E$11)),$G$11-SQRT((1-U602)*($G$11-$E$11)*($G$11-$F$11))))</f>
        <v>0.10132975609632</v>
      </c>
      <c r="H602" s="53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-2333430584.38595</v>
      </c>
      <c r="I602" s="53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-17593005.6586605</v>
      </c>
      <c r="J602" s="53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273022645.320837</v>
      </c>
      <c r="K602" s="53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621974060.909982</v>
      </c>
      <c r="L602" s="53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751876566.66578</v>
      </c>
      <c r="M602" s="53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933544988.193588</v>
      </c>
      <c r="N602" s="53" t="n">
        <f aca="false">IF(COUNT('Business Case'!B11:G11)=0,"",H602+NPV(G602,I602:M602))</f>
        <v>-571470127.870579</v>
      </c>
      <c r="P602" s="54" t="n">
        <f aca="true">RAND()</f>
        <v>0.787489024401614</v>
      </c>
      <c r="Q602" s="54" t="n">
        <f aca="true">RAND()</f>
        <v>0.449039721099531</v>
      </c>
      <c r="R602" s="54" t="n">
        <f aca="true">RAND()</f>
        <v>0.531334266565421</v>
      </c>
      <c r="S602" s="54" t="n">
        <f aca="true">RAND()</f>
        <v>0.388339089789215</v>
      </c>
      <c r="T602" s="54" t="n">
        <f aca="true">RAND()</f>
        <v>0.907515432606647</v>
      </c>
      <c r="U602" s="54" t="n">
        <f aca="true">RAND()</f>
        <v>0.452011409668992</v>
      </c>
    </row>
    <row r="603" customFormat="false" ht="15" hidden="false" customHeight="false" outlineLevel="0" collapsed="false">
      <c r="A603" s="50" t="n">
        <v>523</v>
      </c>
      <c r="B603" s="51" t="n">
        <f aca="false">1+IF($G$6=$E$6,$F$6,IF(P603&lt;($F$6-$E$6)/($G$6-$E$6),$E$6+SQRT(P603*($G$6-$E$6)*($F$6-$E$6)),$G$6-SQRT((1-P603)*($G$6-$E$6)*($G$6-$F$6))))</f>
        <v>1.00440755398006</v>
      </c>
      <c r="C603" s="51" t="n">
        <f aca="false">1+IF($G$7=$E$7,$F$7,IF(Q603&lt;($F$7-$E$7)/($G$7-$E$7),$E$7+SQRT(Q603*($G$7-$E$7)*($F$7-$E$7)),$G$7-SQRT((1-Q603)*($G$7-$E$7)*($G$7-$F$7))))</f>
        <v>1.00456000861593</v>
      </c>
      <c r="D603" s="51" t="n">
        <f aca="false">1+IF($G$8=$E$8,$F$8,IF(R603&lt;($F$8-$E$8)/($G$8-$E$8),$E$8+SQRT(R603*($G$8-$E$8)*($F$8-$E$8)),$G$8-SQRT((1-R603)*($G$8-$E$8)*($G$8-$F$8))))</f>
        <v>0.975253205869913</v>
      </c>
      <c r="E603" s="51" t="n">
        <f aca="false">1+IF($G$9=$E$9,$F$9,IF(S603&lt;($F$9-$E$9)/($G$9-$E$9),$E$9+SQRT(S603*($G$9-$E$9)*($F$9-$E$9)),$G$9-SQRT((1-S603)*($G$9-$E$9)*($G$9-$F$9))))</f>
        <v>1.11512865754076</v>
      </c>
      <c r="F603" s="51" t="n">
        <f aca="false">1+IF($G$10=$E$10,$F$10,IF(T603&lt;($F$10-$E$10)/($G$10-$E$10),$E$10+SQRT(T603*($G$10-$E$10)*($F$10-$E$10)),$G$10-SQRT((1-T603)*($G$10-$E$10)*($G$10-$F$10))))</f>
        <v>0.983477959276963</v>
      </c>
      <c r="G603" s="52" t="n">
        <f aca="false">IF($G$11=$E$11,$F$11,IF(U603&lt;($F$11-$E$11)/($G$11-$E$11),$E$11+SQRT(U603*($G$11-$E$11)*($F$11-$E$11)),$G$11-SQRT((1-U603)*($G$11-$E$11)*($G$11-$F$11))))</f>
        <v>0.11363851195697</v>
      </c>
      <c r="H603" s="53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-1966955918.55393</v>
      </c>
      <c r="I603" s="53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15680317.3129443</v>
      </c>
      <c r="J603" s="53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340585646.006275</v>
      </c>
      <c r="K603" s="53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714664872.663453</v>
      </c>
      <c r="L603" s="53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857837262.461493</v>
      </c>
      <c r="M603" s="53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1049625637.0796</v>
      </c>
      <c r="N603" s="53" t="n">
        <f aca="false">IF(COUNT('Business Case'!B11:G11)=0,"",H603+NPV(G603,I603:M603))</f>
        <v>9726761.14677072</v>
      </c>
      <c r="P603" s="54" t="n">
        <f aca="true">RAND()</f>
        <v>0.722843848789175</v>
      </c>
      <c r="Q603" s="54" t="n">
        <f aca="true">RAND()</f>
        <v>0.686625317128931</v>
      </c>
      <c r="R603" s="54" t="n">
        <f aca="true">RAND()</f>
        <v>0.0850299208944274</v>
      </c>
      <c r="S603" s="54" t="n">
        <f aca="true">RAND()</f>
        <v>0.967573052669085</v>
      </c>
      <c r="T603" s="54" t="n">
        <f aca="true">RAND()</f>
        <v>0.0747182504899992</v>
      </c>
      <c r="U603" s="54" t="n">
        <f aca="true">RAND()</f>
        <v>0.821534472678514</v>
      </c>
    </row>
    <row r="604" customFormat="false" ht="15" hidden="false" customHeight="false" outlineLevel="0" collapsed="false">
      <c r="A604" s="50" t="n">
        <v>524</v>
      </c>
      <c r="B604" s="51" t="n">
        <f aca="false">1+IF($G$6=$E$6,$F$6,IF(P604&lt;($F$6-$E$6)/($G$6-$E$6),$E$6+SQRT(P604*($G$6-$E$6)*($F$6-$E$6)),$G$6-SQRT((1-P604)*($G$6-$E$6)*($G$6-$F$6))))</f>
        <v>0.996497074182209</v>
      </c>
      <c r="C604" s="51" t="n">
        <f aca="false">1+IF($G$7=$E$7,$F$7,IF(Q604&lt;($F$7-$E$7)/($G$7-$E$7),$E$7+SQRT(Q604*($G$7-$E$7)*($F$7-$E$7)),$G$7-SQRT((1-Q604)*($G$7-$E$7)*($G$7-$F$7))))</f>
        <v>1.08430300398354</v>
      </c>
      <c r="D604" s="51" t="n">
        <f aca="false">1+IF($G$8=$E$8,$F$8,IF(R604&lt;($F$8-$E$8)/($G$8-$E$8),$E$8+SQRT(R604*($G$8-$E$8)*($F$8-$E$8)),$G$8-SQRT((1-R604)*($G$8-$E$8)*($G$8-$F$8))))</f>
        <v>1.0214871375842</v>
      </c>
      <c r="E604" s="51" t="n">
        <f aca="false">1+IF($G$9=$E$9,$F$9,IF(S604&lt;($F$9-$E$9)/($G$9-$E$9),$E$9+SQRT(S604*($G$9-$E$9)*($F$9-$E$9)),$G$9-SQRT((1-S604)*($G$9-$E$9)*($G$9-$F$9))))</f>
        <v>0.970094675623273</v>
      </c>
      <c r="F604" s="51" t="n">
        <f aca="false">1+IF($G$10=$E$10,$F$10,IF(T604&lt;($F$10-$E$10)/($G$10-$E$10),$E$10+SQRT(T604*($G$10-$E$10)*($F$10-$E$10)),$G$10-SQRT((1-T604)*($G$10-$E$10)*($G$10-$F$10))))</f>
        <v>1.0009614097731</v>
      </c>
      <c r="G604" s="52" t="n">
        <f aca="false">IF($G$11=$E$11,$F$11,IF(U604&lt;($F$11-$E$11)/($G$11-$E$11),$E$11+SQRT(U604*($G$11-$E$11)*($F$11-$E$11)),$G$11-SQRT((1-U604)*($G$11-$E$11)*($G$11-$F$11))))</f>
        <v>0.097882361669713</v>
      </c>
      <c r="H604" s="53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-2001922819.54619</v>
      </c>
      <c r="I604" s="53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23950835.9677451</v>
      </c>
      <c r="J604" s="53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341958643.114892</v>
      </c>
      <c r="K604" s="53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710014520.750693</v>
      </c>
      <c r="L604" s="53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853359368.018717</v>
      </c>
      <c r="M604" s="53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1058741714.88975</v>
      </c>
      <c r="N604" s="53" t="n">
        <f aca="false">IF(COUNT('Business Case'!B11:G11)=0,"",H604+NPV(G604,I604:M604))</f>
        <v>91257306.1442301</v>
      </c>
      <c r="P604" s="54" t="n">
        <f aca="true">RAND()</f>
        <v>0.620779021715114</v>
      </c>
      <c r="Q604" s="54" t="n">
        <f aca="true">RAND()</f>
        <v>0.936057847620937</v>
      </c>
      <c r="R604" s="54" t="n">
        <f aca="true">RAND()</f>
        <v>0.589048695685217</v>
      </c>
      <c r="S604" s="54" t="n">
        <f aca="true">RAND()</f>
        <v>0.196530542029272</v>
      </c>
      <c r="T604" s="54" t="n">
        <f aca="true">RAND()</f>
        <v>0.17306374103729</v>
      </c>
      <c r="U604" s="54" t="n">
        <f aca="true">RAND()</f>
        <v>0.319778858886419</v>
      </c>
    </row>
    <row r="605" customFormat="false" ht="15" hidden="false" customHeight="false" outlineLevel="0" collapsed="false">
      <c r="A605" s="50" t="n">
        <v>525</v>
      </c>
      <c r="B605" s="51" t="n">
        <f aca="false">1+IF($G$6=$E$6,$F$6,IF(P605&lt;($F$6-$E$6)/($G$6-$E$6),$E$6+SQRT(P605*($G$6-$E$6)*($F$6-$E$6)),$G$6-SQRT((1-P605)*($G$6-$E$6)*($G$6-$F$6))))</f>
        <v>1.03564331668126</v>
      </c>
      <c r="C605" s="51" t="n">
        <f aca="false">1+IF($G$7=$E$7,$F$7,IF(Q605&lt;($F$7-$E$7)/($G$7-$E$7),$E$7+SQRT(Q605*($G$7-$E$7)*($F$7-$E$7)),$G$7-SQRT((1-Q605)*($G$7-$E$7)*($G$7-$F$7))))</f>
        <v>1.09255617319197</v>
      </c>
      <c r="D605" s="51" t="n">
        <f aca="false">1+IF($G$8=$E$8,$F$8,IF(R605&lt;($F$8-$E$8)/($G$8-$E$8),$E$8+SQRT(R605*($G$8-$E$8)*($F$8-$E$8)),$G$8-SQRT((1-R605)*($G$8-$E$8)*($G$8-$F$8))))</f>
        <v>0.994444418577146</v>
      </c>
      <c r="E605" s="51" t="n">
        <f aca="false">1+IF($G$9=$E$9,$F$9,IF(S605&lt;($F$9-$E$9)/($G$9-$E$9),$E$9+SQRT(S605*($G$9-$E$9)*($F$9-$E$9)),$G$9-SQRT((1-S605)*($G$9-$E$9)*($G$9-$F$9))))</f>
        <v>1.0737555216852</v>
      </c>
      <c r="F605" s="51" t="n">
        <f aca="false">1+IF($G$10=$E$10,$F$10,IF(T605&lt;($F$10-$E$10)/($G$10-$E$10),$E$10+SQRT(T605*($G$10-$E$10)*($F$10-$E$10)),$G$10-SQRT((1-T605)*($G$10-$E$10)*($G$10-$F$10))))</f>
        <v>1.10793572394343</v>
      </c>
      <c r="G605" s="52" t="n">
        <f aca="false">IF($G$11=$E$11,$F$11,IF(U605&lt;($F$11-$E$11)/($G$11-$E$11),$E$11+SQRT(U605*($G$11-$E$11)*($F$11-$E$11)),$G$11-SQRT((1-U605)*($G$11-$E$11)*($G$11-$F$11))))</f>
        <v>0.103914445494394</v>
      </c>
      <c r="H605" s="53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-2215871447.88686</v>
      </c>
      <c r="I605" s="53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48446136.7470411</v>
      </c>
      <c r="J605" s="53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419030763.253228</v>
      </c>
      <c r="K605" s="53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845012175.956586</v>
      </c>
      <c r="L605" s="53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1007644972.91276</v>
      </c>
      <c r="M605" s="53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1222720207.57704</v>
      </c>
      <c r="N605" s="53" t="n">
        <f aca="false">IF(COUNT('Business Case'!B11:G11)=0,"",H605+NPV(G605,I605:M605))</f>
        <v>224381980.575479</v>
      </c>
      <c r="P605" s="54" t="n">
        <f aca="true">RAND()</f>
        <v>0.97251808587804</v>
      </c>
      <c r="Q605" s="54" t="n">
        <f aca="true">RAND()</f>
        <v>0.95111417424666</v>
      </c>
      <c r="R605" s="54" t="n">
        <f aca="true">RAND()</f>
        <v>0.263374179021411</v>
      </c>
      <c r="S605" s="54" t="n">
        <f aca="true">RAND()</f>
        <v>0.84498078737342</v>
      </c>
      <c r="T605" s="54" t="n">
        <f aca="true">RAND()</f>
        <v>0.730903219580302</v>
      </c>
      <c r="U605" s="54" t="n">
        <f aca="true">RAND()</f>
        <v>0.546362564090047</v>
      </c>
    </row>
    <row r="606" customFormat="false" ht="15" hidden="false" customHeight="false" outlineLevel="0" collapsed="false">
      <c r="A606" s="50" t="n">
        <v>526</v>
      </c>
      <c r="B606" s="51" t="n">
        <f aca="false">1+IF($G$6=$E$6,$F$6,IF(P606&lt;($F$6-$E$6)/($G$6-$E$6),$E$6+SQRT(P606*($G$6-$E$6)*($F$6-$E$6)),$G$6-SQRT((1-P606)*($G$6-$E$6)*($G$6-$F$6))))</f>
        <v>0.928848963852089</v>
      </c>
      <c r="C606" s="51" t="n">
        <f aca="false">1+IF($G$7=$E$7,$F$7,IF(Q606&lt;($F$7-$E$7)/($G$7-$E$7),$E$7+SQRT(Q606*($G$7-$E$7)*($F$7-$E$7)),$G$7-SQRT((1-Q606)*($G$7-$E$7)*($G$7-$F$7))))</f>
        <v>0.872034252361675</v>
      </c>
      <c r="D606" s="51" t="n">
        <f aca="false">1+IF($G$8=$E$8,$F$8,IF(R606&lt;($F$8-$E$8)/($G$8-$E$8),$E$8+SQRT(R606*($G$8-$E$8)*($F$8-$E$8)),$G$8-SQRT((1-R606)*($G$8-$E$8)*($G$8-$F$8))))</f>
        <v>0.989749097005325</v>
      </c>
      <c r="E606" s="51" t="n">
        <f aca="false">1+IF($G$9=$E$9,$F$9,IF(S606&lt;($F$9-$E$9)/($G$9-$E$9),$E$9+SQRT(S606*($G$9-$E$9)*($F$9-$E$9)),$G$9-SQRT((1-S606)*($G$9-$E$9)*($G$9-$F$9))))</f>
        <v>1.02182100613463</v>
      </c>
      <c r="F606" s="51" t="n">
        <f aca="false">1+IF($G$10=$E$10,$F$10,IF(T606&lt;($F$10-$E$10)/($G$10-$E$10),$E$10+SQRT(T606*($G$10-$E$10)*($F$10-$E$10)),$G$10-SQRT((1-T606)*($G$10-$E$10)*($G$10-$F$10))))</f>
        <v>1.13077545641535</v>
      </c>
      <c r="G606" s="52" t="n">
        <f aca="false">IF($G$11=$E$11,$F$11,IF(U606&lt;($F$11-$E$11)/($G$11-$E$11),$E$11+SQRT(U606*($G$11-$E$11)*($F$11-$E$11)),$G$11-SQRT((1-U606)*($G$11-$E$11)*($G$11-$F$11))))</f>
        <v>0.100230561118934</v>
      </c>
      <c r="H606" s="53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-2261550912.83071</v>
      </c>
      <c r="I606" s="53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-78767344.4331801</v>
      </c>
      <c r="J606" s="53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142835587.560622</v>
      </c>
      <c r="K606" s="53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420977292.375192</v>
      </c>
      <c r="L606" s="53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522838125.515194</v>
      </c>
      <c r="M606" s="53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676800665.796572</v>
      </c>
      <c r="N606" s="53" t="n">
        <f aca="false">IF(COUNT('Business Case'!B11:G11)=0,"",H606+NPV(G606,I606:M606))</f>
        <v>-1122452380.39022</v>
      </c>
      <c r="P606" s="54" t="n">
        <f aca="true">RAND()</f>
        <v>0.0554841810226105</v>
      </c>
      <c r="Q606" s="54" t="n">
        <f aca="true">RAND()</f>
        <v>0.219228029523262</v>
      </c>
      <c r="R606" s="54" t="n">
        <f aca="true">RAND()</f>
        <v>0.210665428365163</v>
      </c>
      <c r="S606" s="54" t="n">
        <f aca="true">RAND()</f>
        <v>0.561870547510945</v>
      </c>
      <c r="T606" s="54" t="n">
        <f aca="true">RAND()</f>
        <v>0.810473442760433</v>
      </c>
      <c r="U606" s="54" t="n">
        <f aca="true">RAND()</f>
        <v>0.409187005804326</v>
      </c>
    </row>
    <row r="607" customFormat="false" ht="15" hidden="false" customHeight="false" outlineLevel="0" collapsed="false">
      <c r="A607" s="50" t="n">
        <v>527</v>
      </c>
      <c r="B607" s="51" t="n">
        <f aca="false">1+IF($G$6=$E$6,$F$6,IF(P607&lt;($F$6-$E$6)/($G$6-$E$6),$E$6+SQRT(P607*($G$6-$E$6)*($F$6-$E$6)),$G$6-SQRT((1-P607)*($G$6-$E$6)*($G$6-$F$6))))</f>
        <v>0.946738998458407</v>
      </c>
      <c r="C607" s="51" t="n">
        <f aca="false">1+IF($G$7=$E$7,$F$7,IF(Q607&lt;($F$7-$E$7)/($G$7-$E$7),$E$7+SQRT(Q607*($G$7-$E$7)*($F$7-$E$7)),$G$7-SQRT((1-Q607)*($G$7-$E$7)*($G$7-$F$7))))</f>
        <v>0.945904962191644</v>
      </c>
      <c r="D607" s="51" t="n">
        <f aca="false">1+IF($G$8=$E$8,$F$8,IF(R607&lt;($F$8-$E$8)/($G$8-$E$8),$E$8+SQRT(R607*($G$8-$E$8)*($F$8-$E$8)),$G$8-SQRT((1-R607)*($G$8-$E$8)*($G$8-$F$8))))</f>
        <v>1.07209960062134</v>
      </c>
      <c r="E607" s="51" t="n">
        <f aca="false">1+IF($G$9=$E$9,$F$9,IF(S607&lt;($F$9-$E$9)/($G$9-$E$9),$E$9+SQRT(S607*($G$9-$E$9)*($F$9-$E$9)),$G$9-SQRT((1-S607)*($G$9-$E$9)*($G$9-$F$9))))</f>
        <v>0.998001472319173</v>
      </c>
      <c r="F607" s="51" t="n">
        <f aca="false">1+IF($G$10=$E$10,$F$10,IF(T607&lt;($F$10-$E$10)/($G$10-$E$10),$E$10+SQRT(T607*($G$10-$E$10)*($F$10-$E$10)),$G$10-SQRT((1-T607)*($G$10-$E$10)*($G$10-$F$10))))</f>
        <v>1.09788433647787</v>
      </c>
      <c r="G607" s="52" t="n">
        <f aca="false">IF($G$11=$E$11,$F$11,IF(U607&lt;($F$11-$E$11)/($G$11-$E$11),$E$11+SQRT(U607*($G$11-$E$11)*($F$11-$E$11)),$G$11-SQRT((1-U607)*($G$11-$E$11)*($G$11-$F$11))))</f>
        <v>0.0956566544460827</v>
      </c>
      <c r="H607" s="53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-2195768672.95575</v>
      </c>
      <c r="I607" s="53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-83769006.532126</v>
      </c>
      <c r="J607" s="53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130590251.988867</v>
      </c>
      <c r="K607" s="53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399843727.333754</v>
      </c>
      <c r="L607" s="53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502246161.535115</v>
      </c>
      <c r="M607" s="53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672467575.687447</v>
      </c>
      <c r="N607" s="53" t="n">
        <f aca="false">IF(COUNT('Business Case'!B11:G11)=0,"",H607+NPV(G607,I607:M607))</f>
        <v>-1085041475.31105</v>
      </c>
      <c r="P607" s="54" t="n">
        <f aca="true">RAND()</f>
        <v>0.145635598459662</v>
      </c>
      <c r="Q607" s="54" t="n">
        <f aca="true">RAND()</f>
        <v>0.447920373559067</v>
      </c>
      <c r="R607" s="54" t="n">
        <f aca="true">RAND()</f>
        <v>0.948104514300736</v>
      </c>
      <c r="S607" s="54" t="n">
        <f aca="true">RAND()</f>
        <v>0.384171543069024</v>
      </c>
      <c r="T607" s="54" t="n">
        <f aca="true">RAND()</f>
        <v>0.69147766548298</v>
      </c>
      <c r="U607" s="54" t="n">
        <f aca="true">RAND()</f>
        <v>0.24513082844404</v>
      </c>
    </row>
    <row r="608" customFormat="false" ht="15" hidden="false" customHeight="false" outlineLevel="0" collapsed="false">
      <c r="A608" s="50" t="n">
        <v>528</v>
      </c>
      <c r="B608" s="51" t="n">
        <f aca="false">1+IF($G$6=$E$6,$F$6,IF(P608&lt;($F$6-$E$6)/($G$6-$E$6),$E$6+SQRT(P608*($G$6-$E$6)*($F$6-$E$6)),$G$6-SQRT((1-P608)*($G$6-$E$6)*($G$6-$F$6))))</f>
        <v>1.00413541261177</v>
      </c>
      <c r="C608" s="51" t="n">
        <f aca="false">1+IF($G$7=$E$7,$F$7,IF(Q608&lt;($F$7-$E$7)/($G$7-$E$7),$E$7+SQRT(Q608*($G$7-$E$7)*($F$7-$E$7)),$G$7-SQRT((1-Q608)*($G$7-$E$7)*($G$7-$F$7))))</f>
        <v>0.959652345997225</v>
      </c>
      <c r="D608" s="51" t="n">
        <f aca="false">1+IF($G$8=$E$8,$F$8,IF(R608&lt;($F$8-$E$8)/($G$8-$E$8),$E$8+SQRT(R608*($G$8-$E$8)*($F$8-$E$8)),$G$8-SQRT((1-R608)*($G$8-$E$8)*($G$8-$F$8))))</f>
        <v>1.06813909172056</v>
      </c>
      <c r="E608" s="51" t="n">
        <f aca="false">1+IF($G$9=$E$9,$F$9,IF(S608&lt;($F$9-$E$9)/($G$9-$E$9),$E$9+SQRT(S608*($G$9-$E$9)*($F$9-$E$9)),$G$9-SQRT((1-S608)*($G$9-$E$9)*($G$9-$F$9))))</f>
        <v>1.11873003055224</v>
      </c>
      <c r="F608" s="51" t="n">
        <f aca="false">1+IF($G$10=$E$10,$F$10,IF(T608&lt;($F$10-$E$10)/($G$10-$E$10),$E$10+SQRT(T608*($G$10-$E$10)*($F$10-$E$10)),$G$10-SQRT((1-T608)*($G$10-$E$10)*($G$10-$F$10))))</f>
        <v>1.14780442939908</v>
      </c>
      <c r="G608" s="52" t="n">
        <f aca="false">IF($G$11=$E$11,$F$11,IF(U608&lt;($F$11-$E$11)/($G$11-$E$11),$E$11+SQRT(U608*($G$11-$E$11)*($F$11-$E$11)),$G$11-SQRT((1-U608)*($G$11-$E$11)*($G$11-$F$11))))</f>
        <v>0.0963085021142763</v>
      </c>
      <c r="H608" s="53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-2295608858.79816</v>
      </c>
      <c r="I608" s="53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-59282655.0091035</v>
      </c>
      <c r="J608" s="53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205252650.950936</v>
      </c>
      <c r="K608" s="53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527178178.380929</v>
      </c>
      <c r="L608" s="53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648659352.157414</v>
      </c>
      <c r="M608" s="53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831824413.668004</v>
      </c>
      <c r="N608" s="53" t="n">
        <f aca="false">IF(COUNT('Business Case'!B11:G11)=0,"",H608+NPV(G608,I608:M608))</f>
        <v>-804525215.722174</v>
      </c>
      <c r="P608" s="54" t="n">
        <f aca="true">RAND()</f>
        <v>0.719525283160994</v>
      </c>
      <c r="Q608" s="54" t="n">
        <f aca="true">RAND()</f>
        <v>0.499402524310092</v>
      </c>
      <c r="R608" s="54" t="n">
        <f aca="true">RAND()</f>
        <v>0.932325501573934</v>
      </c>
      <c r="S608" s="54" t="n">
        <f aca="true">RAND()</f>
        <v>0.973925040286298</v>
      </c>
      <c r="T608" s="54" t="n">
        <f aca="true">RAND()</f>
        <v>0.860747537994028</v>
      </c>
      <c r="U608" s="54" t="n">
        <f aca="true">RAND()</f>
        <v>0.265967241211356</v>
      </c>
    </row>
    <row r="609" customFormat="false" ht="15" hidden="false" customHeight="false" outlineLevel="0" collapsed="false">
      <c r="A609" s="50" t="n">
        <v>529</v>
      </c>
      <c r="B609" s="51" t="n">
        <f aca="false">1+IF($G$6=$E$6,$F$6,IF(P609&lt;($F$6-$E$6)/($G$6-$E$6),$E$6+SQRT(P609*($G$6-$E$6)*($F$6-$E$6)),$G$6-SQRT((1-P609)*($G$6-$E$6)*($G$6-$F$6))))</f>
        <v>0.989404633812133</v>
      </c>
      <c r="C609" s="51" t="n">
        <f aca="false">1+IF($G$7=$E$7,$F$7,IF(Q609&lt;($F$7-$E$7)/($G$7-$E$7),$E$7+SQRT(Q609*($G$7-$E$7)*($F$7-$E$7)),$G$7-SQRT((1-Q609)*($G$7-$E$7)*($G$7-$F$7))))</f>
        <v>0.974387321017815</v>
      </c>
      <c r="D609" s="51" t="n">
        <f aca="false">1+IF($G$8=$E$8,$F$8,IF(R609&lt;($F$8-$E$8)/($G$8-$E$8),$E$8+SQRT(R609*($G$8-$E$8)*($F$8-$E$8)),$G$8-SQRT((1-R609)*($G$8-$E$8)*($G$8-$F$8))))</f>
        <v>0.980639650399572</v>
      </c>
      <c r="E609" s="51" t="n">
        <f aca="false">1+IF($G$9=$E$9,$F$9,IF(S609&lt;($F$9-$E$9)/($G$9-$E$9),$E$9+SQRT(S609*($G$9-$E$9)*($F$9-$E$9)),$G$9-SQRT((1-S609)*($G$9-$E$9)*($G$9-$F$9))))</f>
        <v>1.00220141522805</v>
      </c>
      <c r="F609" s="51" t="n">
        <f aca="false">1+IF($G$10=$E$10,$F$10,IF(T609&lt;($F$10-$E$10)/($G$10-$E$10),$E$10+SQRT(T609*($G$10-$E$10)*($F$10-$E$10)),$G$10-SQRT((1-T609)*($G$10-$E$10)*($G$10-$F$10))))</f>
        <v>0.994418351403911</v>
      </c>
      <c r="G609" s="52" t="n">
        <f aca="false">IF($G$11=$E$11,$F$11,IF(U609&lt;($F$11-$E$11)/($G$11-$E$11),$E$11+SQRT(U609*($G$11-$E$11)*($F$11-$E$11)),$G$11-SQRT((1-U609)*($G$11-$E$11)*($G$11-$F$11))))</f>
        <v>0.124551982150968</v>
      </c>
      <c r="H609" s="53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-1988836702.80782</v>
      </c>
      <c r="I609" s="53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8554107.64017017</v>
      </c>
      <c r="J609" s="53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309040134.7215</v>
      </c>
      <c r="K609" s="53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659247079.373025</v>
      </c>
      <c r="L609" s="53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792727117.103694</v>
      </c>
      <c r="M609" s="53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975976274.973273</v>
      </c>
      <c r="N609" s="53" t="n">
        <f aca="false">IF(COUNT('Business Case'!B11:G11)=0,"",H609+NPV(G609,I609:M609))</f>
        <v>-234929685.536649</v>
      </c>
      <c r="P609" s="54" t="n">
        <f aca="true">RAND()</f>
        <v>0.532879236472102</v>
      </c>
      <c r="Q609" s="54" t="n">
        <f aca="true">RAND()</f>
        <v>0.557691866187656</v>
      </c>
      <c r="R609" s="54" t="n">
        <f aca="true">RAND()</f>
        <v>0.125171756881067</v>
      </c>
      <c r="S609" s="54" t="n">
        <f aca="true">RAND()</f>
        <v>0.417482089050881</v>
      </c>
      <c r="T609" s="54" t="n">
        <f aca="true">RAND()</f>
        <v>0.131532662762756</v>
      </c>
      <c r="U609" s="54" t="n">
        <f aca="true">RAND()</f>
        <v>0.980212734344418</v>
      </c>
    </row>
    <row r="610" customFormat="false" ht="15" hidden="false" customHeight="false" outlineLevel="0" collapsed="false">
      <c r="A610" s="50" t="n">
        <v>530</v>
      </c>
      <c r="B610" s="51" t="n">
        <f aca="false">1+IF($G$6=$E$6,$F$6,IF(P610&lt;($F$6-$E$6)/($G$6-$E$6),$E$6+SQRT(P610*($G$6-$E$6)*($F$6-$E$6)),$G$6-SQRT((1-P610)*($G$6-$E$6)*($G$6-$F$6))))</f>
        <v>0.993045541441735</v>
      </c>
      <c r="C610" s="51" t="n">
        <f aca="false">1+IF($G$7=$E$7,$F$7,IF(Q610&lt;($F$7-$E$7)/($G$7-$E$7),$E$7+SQRT(Q610*($G$7-$E$7)*($F$7-$E$7)),$G$7-SQRT((1-Q610)*($G$7-$E$7)*($G$7-$F$7))))</f>
        <v>0.889898751935384</v>
      </c>
      <c r="D610" s="51" t="n">
        <f aca="false">1+IF($G$8=$E$8,$F$8,IF(R610&lt;($F$8-$E$8)/($G$8-$E$8),$E$8+SQRT(R610*($G$8-$E$8)*($F$8-$E$8)),$G$8-SQRT((1-R610)*($G$8-$E$8)*($G$8-$F$8))))</f>
        <v>1.07623274471374</v>
      </c>
      <c r="E610" s="51" t="n">
        <f aca="false">1+IF($G$9=$E$9,$F$9,IF(S610&lt;($F$9-$E$9)/($G$9-$E$9),$E$9+SQRT(S610*($G$9-$E$9)*($F$9-$E$9)),$G$9-SQRT((1-S610)*($G$9-$E$9)*($G$9-$F$9))))</f>
        <v>1.07874101011551</v>
      </c>
      <c r="F610" s="51" t="n">
        <f aca="false">1+IF($G$10=$E$10,$F$10,IF(T610&lt;($F$10-$E$10)/($G$10-$E$10),$E$10+SQRT(T610*($G$10-$E$10)*($F$10-$E$10)),$G$10-SQRT((1-T610)*($G$10-$E$10)*($G$10-$F$10))))</f>
        <v>1.0613562289408</v>
      </c>
      <c r="G610" s="52" t="n">
        <f aca="false">IF($G$11=$E$11,$F$11,IF(U610&lt;($F$11-$E$11)/($G$11-$E$11),$E$11+SQRT(U610*($G$11-$E$11)*($F$11-$E$11)),$G$11-SQRT((1-U610)*($G$11-$E$11)*($G$11-$F$11))))</f>
        <v>0.101795625792937</v>
      </c>
      <c r="H610" s="53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-2122712457.88159</v>
      </c>
      <c r="I610" s="53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-71807340.28028</v>
      </c>
      <c r="J610" s="53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161729439.746962</v>
      </c>
      <c r="K610" s="53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448334031.221245</v>
      </c>
      <c r="L610" s="53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556720641.747003</v>
      </c>
      <c r="M610" s="53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724696236.255398</v>
      </c>
      <c r="N610" s="53" t="n">
        <f aca="false">IF(COUNT('Business Case'!B11:G11)=0,"",H610+NPV(G610,I610:M610))</f>
        <v>-895364773.937498</v>
      </c>
      <c r="P610" s="54" t="n">
        <f aca="true">RAND()</f>
        <v>0.577164852145706</v>
      </c>
      <c r="Q610" s="54" t="n">
        <f aca="true">RAND()</f>
        <v>0.267122488789751</v>
      </c>
      <c r="R610" s="54" t="n">
        <f aca="true">RAND()</f>
        <v>0.962341171743853</v>
      </c>
      <c r="S610" s="54" t="n">
        <f aca="true">RAND()</f>
        <v>0.864590836283794</v>
      </c>
      <c r="T610" s="54" t="n">
        <f aca="true">RAND()</f>
        <v>0.525513701874174</v>
      </c>
      <c r="U610" s="54" t="n">
        <f aca="true">RAND()</f>
        <v>0.46967551705865</v>
      </c>
    </row>
    <row r="611" customFormat="false" ht="15" hidden="false" customHeight="false" outlineLevel="0" collapsed="false">
      <c r="A611" s="50" t="n">
        <v>531</v>
      </c>
      <c r="B611" s="51" t="n">
        <f aca="false">1+IF($G$6=$E$6,$F$6,IF(P611&lt;($F$6-$E$6)/($G$6-$E$6),$E$6+SQRT(P611*($G$6-$E$6)*($F$6-$E$6)),$G$6-SQRT((1-P611)*($G$6-$E$6)*($G$6-$F$6))))</f>
        <v>0.933809399638455</v>
      </c>
      <c r="C611" s="51" t="n">
        <f aca="false">1+IF($G$7=$E$7,$F$7,IF(Q611&lt;($F$7-$E$7)/($G$7-$E$7),$E$7+SQRT(Q611*($G$7-$E$7)*($F$7-$E$7)),$G$7-SQRT((1-Q611)*($G$7-$E$7)*($G$7-$F$7))))</f>
        <v>1.01996773728679</v>
      </c>
      <c r="D611" s="51" t="n">
        <f aca="false">1+IF($G$8=$E$8,$F$8,IF(R611&lt;($F$8-$E$8)/($G$8-$E$8),$E$8+SQRT(R611*($G$8-$E$8)*($F$8-$E$8)),$G$8-SQRT((1-R611)*($G$8-$E$8)*($G$8-$F$8))))</f>
        <v>1.01293461438778</v>
      </c>
      <c r="E611" s="51" t="n">
        <f aca="false">1+IF($G$9=$E$9,$F$9,IF(S611&lt;($F$9-$E$9)/($G$9-$E$9),$E$9+SQRT(S611*($G$9-$E$9)*($F$9-$E$9)),$G$9-SQRT((1-S611)*($G$9-$E$9)*($G$9-$F$9))))</f>
        <v>0.987968083245328</v>
      </c>
      <c r="F611" s="51" t="n">
        <f aca="false">1+IF($G$10=$E$10,$F$10,IF(T611&lt;($F$10-$E$10)/($G$10-$E$10),$E$10+SQRT(T611*($G$10-$E$10)*($F$10-$E$10)),$G$10-SQRT((1-T611)*($G$10-$E$10)*($G$10-$F$10))))</f>
        <v>1.06999557674011</v>
      </c>
      <c r="G611" s="52" t="n">
        <f aca="false">IF($G$11=$E$11,$F$11,IF(U611&lt;($F$11-$E$11)/($G$11-$E$11),$E$11+SQRT(U611*($G$11-$E$11)*($F$11-$E$11)),$G$11-SQRT((1-U611)*($G$11-$E$11)*($G$11-$F$11))))</f>
        <v>0.0879553946633079</v>
      </c>
      <c r="H611" s="53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-2139991153.48022</v>
      </c>
      <c r="I611" s="53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-45629899.3110296</v>
      </c>
      <c r="J611" s="53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205604111.556904</v>
      </c>
      <c r="K611" s="53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510337901.261842</v>
      </c>
      <c r="L611" s="53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626999432.262797</v>
      </c>
      <c r="M611" s="53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808042166.176839</v>
      </c>
      <c r="N611" s="53" t="n">
        <f aca="false">IF(COUNT('Business Case'!B11:G11)=0,"",H611+NPV(G611,I611:M611))</f>
        <v>-634271755.270536</v>
      </c>
      <c r="P611" s="54" t="n">
        <f aca="true">RAND()</f>
        <v>0.0762050335941859</v>
      </c>
      <c r="Q611" s="54" t="n">
        <f aca="true">RAND()</f>
        <v>0.749505343017505</v>
      </c>
      <c r="R611" s="54" t="n">
        <f aca="true">RAND()</f>
        <v>0.494641241879721</v>
      </c>
      <c r="S611" s="54" t="n">
        <f aca="true">RAND()</f>
        <v>0.309535346794278</v>
      </c>
      <c r="T611" s="54" t="n">
        <f aca="true">RAND()</f>
        <v>0.567978768091658</v>
      </c>
      <c r="U611" s="54" t="n">
        <f aca="true">RAND()</f>
        <v>0.0632883042489874</v>
      </c>
    </row>
    <row r="612" customFormat="false" ht="15" hidden="false" customHeight="false" outlineLevel="0" collapsed="false">
      <c r="A612" s="50" t="n">
        <v>532</v>
      </c>
      <c r="B612" s="51" t="n">
        <f aca="false">1+IF($G$6=$E$6,$F$6,IF(P612&lt;($F$6-$E$6)/($G$6-$E$6),$E$6+SQRT(P612*($G$6-$E$6)*($F$6-$E$6)),$G$6-SQRT((1-P612)*($G$6-$E$6)*($G$6-$F$6))))</f>
        <v>1.01863122412821</v>
      </c>
      <c r="C612" s="51" t="n">
        <f aca="false">1+IF($G$7=$E$7,$F$7,IF(Q612&lt;($F$7-$E$7)/($G$7-$E$7),$E$7+SQRT(Q612*($G$7-$E$7)*($F$7-$E$7)),$G$7-SQRT((1-Q612)*($G$7-$E$7)*($G$7-$F$7))))</f>
        <v>1.06584721900162</v>
      </c>
      <c r="D612" s="51" t="n">
        <f aca="false">1+IF($G$8=$E$8,$F$8,IF(R612&lt;($F$8-$E$8)/($G$8-$E$8),$E$8+SQRT(R612*($G$8-$E$8)*($F$8-$E$8)),$G$8-SQRT((1-R612)*($G$8-$E$8)*($G$8-$F$8))))</f>
        <v>1.00382430272239</v>
      </c>
      <c r="E612" s="51" t="n">
        <f aca="false">1+IF($G$9=$E$9,$F$9,IF(S612&lt;($F$9-$E$9)/($G$9-$E$9),$E$9+SQRT(S612*($G$9-$E$9)*($F$9-$E$9)),$G$9-SQRT((1-S612)*($G$9-$E$9)*($G$9-$F$9))))</f>
        <v>0.972407674040178</v>
      </c>
      <c r="F612" s="51" t="n">
        <f aca="false">1+IF($G$10=$E$10,$F$10,IF(T612&lt;($F$10-$E$10)/($G$10-$E$10),$E$10+SQRT(T612*($G$10-$E$10)*($F$10-$E$10)),$G$10-SQRT((1-T612)*($G$10-$E$10)*($G$10-$F$10))))</f>
        <v>1.04049888868348</v>
      </c>
      <c r="G612" s="52" t="n">
        <f aca="false">IF($G$11=$E$11,$F$11,IF(U612&lt;($F$11-$E$11)/($G$11-$E$11),$E$11+SQRT(U612*($G$11-$E$11)*($F$11-$E$11)),$G$11-SQRT((1-U612)*($G$11-$E$11)*($G$11-$F$11))))</f>
        <v>0.0950818121524673</v>
      </c>
      <c r="H612" s="53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-2080997777.36697</v>
      </c>
      <c r="I612" s="53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42946399.0068369</v>
      </c>
      <c r="J612" s="53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384502018.675462</v>
      </c>
      <c r="K612" s="53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778082582.778261</v>
      </c>
      <c r="L612" s="53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929456429.697754</v>
      </c>
      <c r="M612" s="53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1135827285.02915</v>
      </c>
      <c r="N612" s="53" t="n">
        <f aca="false">IF(COUNT('Business Case'!B11:G11)=0,"",H612+NPV(G612,I612:M612))</f>
        <v>238899779.732471</v>
      </c>
      <c r="P612" s="54" t="n">
        <f aca="true">RAND()</f>
        <v>0.868799986707415</v>
      </c>
      <c r="Q612" s="54" t="n">
        <f aca="true">RAND()</f>
        <v>0.89508606592947</v>
      </c>
      <c r="R612" s="54" t="n">
        <f aca="true">RAND()</f>
        <v>0.383349016877648</v>
      </c>
      <c r="S612" s="54" t="n">
        <f aca="true">RAND()</f>
        <v>0.209714850396347</v>
      </c>
      <c r="T612" s="54" t="n">
        <f aca="true">RAND()</f>
        <v>0.41479045809526</v>
      </c>
      <c r="U612" s="54" t="n">
        <f aca="true">RAND()</f>
        <v>0.227461057802309</v>
      </c>
    </row>
    <row r="613" customFormat="false" ht="15" hidden="false" customHeight="false" outlineLevel="0" collapsed="false">
      <c r="A613" s="50" t="n">
        <v>533</v>
      </c>
      <c r="B613" s="51" t="n">
        <f aca="false">1+IF($G$6=$E$6,$F$6,IF(P613&lt;($F$6-$E$6)/($G$6-$E$6),$E$6+SQRT(P613*($G$6-$E$6)*($F$6-$E$6)),$G$6-SQRT((1-P613)*($G$6-$E$6)*($G$6-$F$6))))</f>
        <v>0.956250217340513</v>
      </c>
      <c r="C613" s="51" t="n">
        <f aca="false">1+IF($G$7=$E$7,$F$7,IF(Q613&lt;($F$7-$E$7)/($G$7-$E$7),$E$7+SQRT(Q613*($G$7-$E$7)*($F$7-$E$7)),$G$7-SQRT((1-Q613)*($G$7-$E$7)*($G$7-$F$7))))</f>
        <v>1.03620330730546</v>
      </c>
      <c r="D613" s="51" t="n">
        <f aca="false">1+IF($G$8=$E$8,$F$8,IF(R613&lt;($F$8-$E$8)/($G$8-$E$8),$E$8+SQRT(R613*($G$8-$E$8)*($F$8-$E$8)),$G$8-SQRT((1-R613)*($G$8-$E$8)*($G$8-$F$8))))</f>
        <v>0.97553318399814</v>
      </c>
      <c r="E613" s="51" t="n">
        <f aca="false">1+IF($G$9=$E$9,$F$9,IF(S613&lt;($F$9-$E$9)/($G$9-$E$9),$E$9+SQRT(S613*($G$9-$E$9)*($F$9-$E$9)),$G$9-SQRT((1-S613)*($G$9-$E$9)*($G$9-$F$9))))</f>
        <v>0.965385039092103</v>
      </c>
      <c r="F613" s="51" t="n">
        <f aca="false">1+IF($G$10=$E$10,$F$10,IF(T613&lt;($F$10-$E$10)/($G$10-$E$10),$E$10+SQRT(T613*($G$10-$E$10)*($F$10-$E$10)),$G$10-SQRT((1-T613)*($G$10-$E$10)*($G$10-$F$10))))</f>
        <v>1.08585549159371</v>
      </c>
      <c r="G613" s="52" t="n">
        <f aca="false">IF($G$11=$E$11,$F$11,IF(U613&lt;($F$11-$E$11)/($G$11-$E$11),$E$11+SQRT(U613*($G$11-$E$11)*($F$11-$E$11)),$G$11-SQRT((1-U613)*($G$11-$E$11)*($G$11-$F$11))))</f>
        <v>0.0896015393180005</v>
      </c>
      <c r="H613" s="53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-2171710983.18742</v>
      </c>
      <c r="I613" s="53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-3111104.05986314</v>
      </c>
      <c r="J613" s="53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291007775.62312</v>
      </c>
      <c r="K613" s="53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639419429.885789</v>
      </c>
      <c r="L613" s="53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771703511.129836</v>
      </c>
      <c r="M613" s="53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960048011.886624</v>
      </c>
      <c r="N613" s="53" t="n">
        <f aca="false">IF(COUNT('Business Case'!B11:G11)=0,"",H613+NPV(G613,I613:M613))</f>
        <v>-262559226.471849</v>
      </c>
      <c r="P613" s="54" t="n">
        <f aca="true">RAND()</f>
        <v>0.210939130056995</v>
      </c>
      <c r="Q613" s="54" t="n">
        <f aca="true">RAND()</f>
        <v>0.808152781211612</v>
      </c>
      <c r="R613" s="54" t="n">
        <f aca="true">RAND()</f>
        <v>0.0869257980110492</v>
      </c>
      <c r="S613" s="54" t="n">
        <f aca="true">RAND()</f>
        <v>0.171008133483031</v>
      </c>
      <c r="T613" s="54" t="n">
        <f aca="true">RAND()</f>
        <v>0.640754404800756</v>
      </c>
      <c r="U613" s="54" t="n">
        <f aca="true">RAND()</f>
        <v>0.0921895572751088</v>
      </c>
    </row>
    <row r="614" customFormat="false" ht="15" hidden="false" customHeight="false" outlineLevel="0" collapsed="false">
      <c r="A614" s="50" t="n">
        <v>534</v>
      </c>
      <c r="B614" s="51" t="n">
        <f aca="false">1+IF($G$6=$E$6,$F$6,IF(P614&lt;($F$6-$E$6)/($G$6-$E$6),$E$6+SQRT(P614*($G$6-$E$6)*($F$6-$E$6)),$G$6-SQRT((1-P614)*($G$6-$E$6)*($G$6-$F$6))))</f>
        <v>1.0042419935788</v>
      </c>
      <c r="C614" s="51" t="n">
        <f aca="false">1+IF($G$7=$E$7,$F$7,IF(Q614&lt;($F$7-$E$7)/($G$7-$E$7),$E$7+SQRT(Q614*($G$7-$E$7)*($F$7-$E$7)),$G$7-SQRT((1-Q614)*($G$7-$E$7)*($G$7-$F$7))))</f>
        <v>0.958450765611036</v>
      </c>
      <c r="D614" s="51" t="n">
        <f aca="false">1+IF($G$8=$E$8,$F$8,IF(R614&lt;($F$8-$E$8)/($G$8-$E$8),$E$8+SQRT(R614*($G$8-$E$8)*($F$8-$E$8)),$G$8-SQRT((1-R614)*($G$8-$E$8)*($G$8-$F$8))))</f>
        <v>0.978815869972797</v>
      </c>
      <c r="E614" s="51" t="n">
        <f aca="false">1+IF($G$9=$E$9,$F$9,IF(S614&lt;($F$9-$E$9)/($G$9-$E$9),$E$9+SQRT(S614*($G$9-$E$9)*($F$9-$E$9)),$G$9-SQRT((1-S614)*($G$9-$E$9)*($G$9-$F$9))))</f>
        <v>0.978321081404874</v>
      </c>
      <c r="F614" s="51" t="n">
        <f aca="false">1+IF($G$10=$E$10,$F$10,IF(T614&lt;($F$10-$E$10)/($G$10-$E$10),$E$10+SQRT(T614*($G$10-$E$10)*($F$10-$E$10)),$G$10-SQRT((1-T614)*($G$10-$E$10)*($G$10-$F$10))))</f>
        <v>1.0555180577742</v>
      </c>
      <c r="G614" s="52" t="n">
        <f aca="false">IF($G$11=$E$11,$F$11,IF(U614&lt;($F$11-$E$11)/($G$11-$E$11),$E$11+SQRT(U614*($G$11-$E$11)*($F$11-$E$11)),$G$11-SQRT((1-U614)*($G$11-$E$11)*($G$11-$F$11))))</f>
        <v>0.096040858796984</v>
      </c>
      <c r="H614" s="53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-2111036115.54839</v>
      </c>
      <c r="I614" s="53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13548281.531269</v>
      </c>
      <c r="J614" s="53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321662482.369941</v>
      </c>
      <c r="K614" s="53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682552586.097322</v>
      </c>
      <c r="L614" s="53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818521890.213019</v>
      </c>
      <c r="M614" s="53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1001477027.97846</v>
      </c>
      <c r="N614" s="53" t="n">
        <f aca="false">IF(COUNT('Business Case'!B11:G11)=0,"",H614+NPV(G614,I614:M614))</f>
        <v>-112191013.864631</v>
      </c>
      <c r="P614" s="54" t="n">
        <f aca="true">RAND()</f>
        <v>0.720827313114357</v>
      </c>
      <c r="Q614" s="54" t="n">
        <f aca="true">RAND()</f>
        <v>0.494791098110596</v>
      </c>
      <c r="R614" s="54" t="n">
        <f aca="true">RAND()</f>
        <v>0.110713914971882</v>
      </c>
      <c r="S614" s="54" t="n">
        <f aca="true">RAND()</f>
        <v>0.245367671697159</v>
      </c>
      <c r="T614" s="54" t="n">
        <f aca="true">RAND()</f>
        <v>0.495690321974386</v>
      </c>
      <c r="U614" s="54" t="n">
        <f aca="true">RAND()</f>
        <v>0.257309150944779</v>
      </c>
    </row>
    <row r="615" customFormat="false" ht="15" hidden="false" customHeight="false" outlineLevel="0" collapsed="false">
      <c r="A615" s="50" t="n">
        <v>535</v>
      </c>
      <c r="B615" s="51" t="n">
        <f aca="false">1+IF($G$6=$E$6,$F$6,IF(P615&lt;($F$6-$E$6)/($G$6-$E$6),$E$6+SQRT(P615*($G$6-$E$6)*($F$6-$E$6)),$G$6-SQRT((1-P615)*($G$6-$E$6)*($G$6-$F$6))))</f>
        <v>1.00653913649761</v>
      </c>
      <c r="C615" s="51" t="n">
        <f aca="false">1+IF($G$7=$E$7,$F$7,IF(Q615&lt;($F$7-$E$7)/($G$7-$E$7),$E$7+SQRT(Q615*($G$7-$E$7)*($F$7-$E$7)),$G$7-SQRT((1-Q615)*($G$7-$E$7)*($G$7-$F$7))))</f>
        <v>0.810120752133785</v>
      </c>
      <c r="D615" s="51" t="n">
        <f aca="false">1+IF($G$8=$E$8,$F$8,IF(R615&lt;($F$8-$E$8)/($G$8-$E$8),$E$8+SQRT(R615*($G$8-$E$8)*($F$8-$E$8)),$G$8-SQRT((1-R615)*($G$8-$E$8)*($G$8-$F$8))))</f>
        <v>1.06626271761962</v>
      </c>
      <c r="E615" s="51" t="n">
        <f aca="false">1+IF($G$9=$E$9,$F$9,IF(S615&lt;($F$9-$E$9)/($G$9-$E$9),$E$9+SQRT(S615*($G$9-$E$9)*($F$9-$E$9)),$G$9-SQRT((1-S615)*($G$9-$E$9)*($G$9-$F$9))))</f>
        <v>1.06440596104274</v>
      </c>
      <c r="F615" s="51" t="n">
        <f aca="false">1+IF($G$10=$E$10,$F$10,IF(T615&lt;($F$10-$E$10)/($G$10-$E$10),$E$10+SQRT(T615*($G$10-$E$10)*($F$10-$E$10)),$G$10-SQRT((1-T615)*($G$10-$E$10)*($G$10-$F$10))))</f>
        <v>1.03757133369262</v>
      </c>
      <c r="G615" s="52" t="n">
        <f aca="false">IF($G$11=$E$11,$F$11,IF(U615&lt;($F$11-$E$11)/($G$11-$E$11),$E$11+SQRT(U615*($G$11-$E$11)*($F$11-$E$11)),$G$11-SQRT((1-U615)*($G$11-$E$11)*($G$11-$F$11))))</f>
        <v>0.095737760602688</v>
      </c>
      <c r="H615" s="53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-2075142667.38524</v>
      </c>
      <c r="I615" s="53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-71697984.0623494</v>
      </c>
      <c r="J615" s="53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153990974.586271</v>
      </c>
      <c r="K615" s="53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431558499.919522</v>
      </c>
      <c r="L615" s="53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534969007.256682</v>
      </c>
      <c r="M615" s="53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689963706.755258</v>
      </c>
      <c r="N615" s="53" t="n">
        <f aca="false">IF(COUNT('Business Case'!B11:G11)=0,"",H615+NPV(G615,I615:M615))</f>
        <v>-876364145.77449</v>
      </c>
      <c r="P615" s="54" t="n">
        <f aca="true">RAND()</f>
        <v>0.748153779150216</v>
      </c>
      <c r="Q615" s="54" t="n">
        <f aca="true">RAND()</f>
        <v>0.0898265188926708</v>
      </c>
      <c r="R615" s="54" t="n">
        <f aca="true">RAND()</f>
        <v>0.924119718505785</v>
      </c>
      <c r="S615" s="54" t="n">
        <f aca="true">RAND()</f>
        <v>0.804630946532871</v>
      </c>
      <c r="T615" s="54" t="n">
        <f aca="true">RAND()</f>
        <v>0.398320823078252</v>
      </c>
      <c r="U615" s="54" t="n">
        <f aca="true">RAND()</f>
        <v>0.247677108787517</v>
      </c>
    </row>
    <row r="616" customFormat="false" ht="15" hidden="false" customHeight="false" outlineLevel="0" collapsed="false">
      <c r="A616" s="50" t="n">
        <v>536</v>
      </c>
      <c r="B616" s="51" t="n">
        <f aca="false">1+IF($G$6=$E$6,$F$6,IF(P616&lt;($F$6-$E$6)/($G$6-$E$6),$E$6+SQRT(P616*($G$6-$E$6)*($F$6-$E$6)),$G$6-SQRT((1-P616)*($G$6-$E$6)*($G$6-$F$6))))</f>
        <v>0.989154682273128</v>
      </c>
      <c r="C616" s="51" t="n">
        <f aca="false">1+IF($G$7=$E$7,$F$7,IF(Q616&lt;($F$7-$E$7)/($G$7-$E$7),$E$7+SQRT(Q616*($G$7-$E$7)*($F$7-$E$7)),$G$7-SQRT((1-Q616)*($G$7-$E$7)*($G$7-$F$7))))</f>
        <v>0.953254272051127</v>
      </c>
      <c r="D616" s="51" t="n">
        <f aca="false">1+IF($G$8=$E$8,$F$8,IF(R616&lt;($F$8-$E$8)/($G$8-$E$8),$E$8+SQRT(R616*($G$8-$E$8)*($F$8-$E$8)),$G$8-SQRT((1-R616)*($G$8-$E$8)*($G$8-$F$8))))</f>
        <v>1.01253991745454</v>
      </c>
      <c r="E616" s="51" t="n">
        <f aca="false">1+IF($G$9=$E$9,$F$9,IF(S616&lt;($F$9-$E$9)/($G$9-$E$9),$E$9+SQRT(S616*($G$9-$E$9)*($F$9-$E$9)),$G$9-SQRT((1-S616)*($G$9-$E$9)*($G$9-$F$9))))</f>
        <v>1.03061133869083</v>
      </c>
      <c r="F616" s="51" t="n">
        <f aca="false">1+IF($G$10=$E$10,$F$10,IF(T616&lt;($F$10-$E$10)/($G$10-$E$10),$E$10+SQRT(T616*($G$10-$E$10)*($F$10-$E$10)),$G$10-SQRT((1-T616)*($G$10-$E$10)*($G$10-$F$10))))</f>
        <v>1.02634984094123</v>
      </c>
      <c r="G616" s="52" t="n">
        <f aca="false">IF($G$11=$E$11,$F$11,IF(U616&lt;($F$11-$E$11)/($G$11-$E$11),$E$11+SQRT(U616*($G$11-$E$11)*($F$11-$E$11)),$G$11-SQRT((1-U616)*($G$11-$E$11)*($G$11-$F$11))))</f>
        <v>0.11149038263892</v>
      </c>
      <c r="H616" s="53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-2052699681.88245</v>
      </c>
      <c r="I616" s="53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-19861924.6126677</v>
      </c>
      <c r="J616" s="53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258344828.865371</v>
      </c>
      <c r="K616" s="53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587869074.390472</v>
      </c>
      <c r="L616" s="53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713191833.306317</v>
      </c>
      <c r="M616" s="53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892421292.63373</v>
      </c>
      <c r="N616" s="53" t="n">
        <f aca="false">IF(COUNT('Business Case'!B11:G11)=0,"",H616+NPV(G616,I616:M616))</f>
        <v>-439980592.873829</v>
      </c>
      <c r="P616" s="54" t="n">
        <f aca="true">RAND()</f>
        <v>0.52990382474816</v>
      </c>
      <c r="Q616" s="54" t="n">
        <f aca="true">RAND()</f>
        <v>0.475094268978861</v>
      </c>
      <c r="R616" s="54" t="n">
        <f aca="true">RAND()</f>
        <v>0.490048930742726</v>
      </c>
      <c r="S616" s="54" t="n">
        <f aca="true">RAND()</f>
        <v>0.619902601354754</v>
      </c>
      <c r="T616" s="54" t="n">
        <f aca="true">RAND()</f>
        <v>0.333074751373134</v>
      </c>
      <c r="U616" s="54" t="n">
        <f aca="true">RAND()</f>
        <v>0.771596043430937</v>
      </c>
    </row>
    <row r="617" customFormat="false" ht="15" hidden="false" customHeight="false" outlineLevel="0" collapsed="false">
      <c r="A617" s="50" t="n">
        <v>537</v>
      </c>
      <c r="B617" s="51" t="n">
        <f aca="false">1+IF($G$6=$E$6,$F$6,IF(P617&lt;($F$6-$E$6)/($G$6-$E$6),$E$6+SQRT(P617*($G$6-$E$6)*($F$6-$E$6)),$G$6-SQRT((1-P617)*($G$6-$E$6)*($G$6-$F$6))))</f>
        <v>1.02471230743476</v>
      </c>
      <c r="C617" s="51" t="n">
        <f aca="false">1+IF($G$7=$E$7,$F$7,IF(Q617&lt;($F$7-$E$7)/($G$7-$E$7),$E$7+SQRT(Q617*($G$7-$E$7)*($F$7-$E$7)),$G$7-SQRT((1-Q617)*($G$7-$E$7)*($G$7-$F$7))))</f>
        <v>0.944318296056713</v>
      </c>
      <c r="D617" s="51" t="n">
        <f aca="false">1+IF($G$8=$E$8,$F$8,IF(R617&lt;($F$8-$E$8)/($G$8-$E$8),$E$8+SQRT(R617*($G$8-$E$8)*($F$8-$E$8)),$G$8-SQRT((1-R617)*($G$8-$E$8)*($G$8-$F$8))))</f>
        <v>0.981798134809473</v>
      </c>
      <c r="E617" s="51" t="n">
        <f aca="false">1+IF($G$9=$E$9,$F$9,IF(S617&lt;($F$9-$E$9)/($G$9-$E$9),$E$9+SQRT(S617*($G$9-$E$9)*($F$9-$E$9)),$G$9-SQRT((1-S617)*($G$9-$E$9)*($G$9-$F$9))))</f>
        <v>1.05894612976818</v>
      </c>
      <c r="F617" s="51" t="n">
        <f aca="false">1+IF($G$10=$E$10,$F$10,IF(T617&lt;($F$10-$E$10)/($G$10-$E$10),$E$10+SQRT(T617*($G$10-$E$10)*($F$10-$E$10)),$G$10-SQRT((1-T617)*($G$10-$E$10)*($G$10-$F$10))))</f>
        <v>1.03341043200376</v>
      </c>
      <c r="G617" s="52" t="n">
        <f aca="false">IF($G$11=$E$11,$F$11,IF(U617&lt;($F$11-$E$11)/($G$11-$E$11),$E$11+SQRT(U617*($G$11-$E$11)*($F$11-$E$11)),$G$11-SQRT((1-U617)*($G$11-$E$11)*($G$11-$F$11))))</f>
        <v>0.10435712330809</v>
      </c>
      <c r="H617" s="53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-2066820864.00752</v>
      </c>
      <c r="I617" s="53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13876016.1768626</v>
      </c>
      <c r="J617" s="53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331838428.639786</v>
      </c>
      <c r="K617" s="53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701471362.702898</v>
      </c>
      <c r="L617" s="53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840900975.812306</v>
      </c>
      <c r="M617" s="53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1024832758.39869</v>
      </c>
      <c r="N617" s="53" t="n">
        <f aca="false">IF(COUNT('Business Case'!B11:G11)=0,"",H617+NPV(G617,I617:M617))</f>
        <v>-72134571.8573294</v>
      </c>
      <c r="P617" s="54" t="n">
        <f aca="true">RAND()</f>
        <v>0.914737680630134</v>
      </c>
      <c r="Q617" s="54" t="n">
        <f aca="true">RAND()</f>
        <v>0.442158739170781</v>
      </c>
      <c r="R617" s="54" t="n">
        <f aca="true">RAND()</f>
        <v>0.13481618364819</v>
      </c>
      <c r="S617" s="54" t="n">
        <f aca="true">RAND()</f>
        <v>0.778911805754845</v>
      </c>
      <c r="T617" s="54" t="n">
        <f aca="true">RAND()</f>
        <v>0.374519453802694</v>
      </c>
      <c r="U617" s="54" t="n">
        <f aca="true">RAND()</f>
        <v>0.561628583308991</v>
      </c>
    </row>
    <row r="618" customFormat="false" ht="15" hidden="false" customHeight="false" outlineLevel="0" collapsed="false">
      <c r="A618" s="50" t="n">
        <v>538</v>
      </c>
      <c r="B618" s="51" t="n">
        <f aca="false">1+IF($G$6=$E$6,$F$6,IF(P618&lt;($F$6-$E$6)/($G$6-$E$6),$E$6+SQRT(P618*($G$6-$E$6)*($F$6-$E$6)),$G$6-SQRT((1-P618)*($G$6-$E$6)*($G$6-$F$6))))</f>
        <v>1.04826512358162</v>
      </c>
      <c r="C618" s="51" t="n">
        <f aca="false">1+IF($G$7=$E$7,$F$7,IF(Q618&lt;($F$7-$E$7)/($G$7-$E$7),$E$7+SQRT(Q618*($G$7-$E$7)*($F$7-$E$7)),$G$7-SQRT((1-Q618)*($G$7-$E$7)*($G$7-$F$7))))</f>
        <v>0.989312256770247</v>
      </c>
      <c r="D618" s="51" t="n">
        <f aca="false">1+IF($G$8=$E$8,$F$8,IF(R618&lt;($F$8-$E$8)/($G$8-$E$8),$E$8+SQRT(R618*($G$8-$E$8)*($F$8-$E$8)),$G$8-SQRT((1-R618)*($G$8-$E$8)*($G$8-$F$8))))</f>
        <v>1.00491341530672</v>
      </c>
      <c r="E618" s="51" t="n">
        <f aca="false">1+IF($G$9=$E$9,$F$9,IF(S618&lt;($F$9-$E$9)/($G$9-$E$9),$E$9+SQRT(S618*($G$9-$E$9)*($F$9-$E$9)),$G$9-SQRT((1-S618)*($G$9-$E$9)*($G$9-$F$9))))</f>
        <v>1.05403624534054</v>
      </c>
      <c r="F618" s="51" t="n">
        <f aca="false">1+IF($G$10=$E$10,$F$10,IF(T618&lt;($F$10-$E$10)/($G$10-$E$10),$E$10+SQRT(T618*($G$10-$E$10)*($F$10-$E$10)),$G$10-SQRT((1-T618)*($G$10-$E$10)*($G$10-$F$10))))</f>
        <v>1.17377655121787</v>
      </c>
      <c r="G618" s="52" t="n">
        <f aca="false">IF($G$11=$E$11,$F$11,IF(U618&lt;($F$11-$E$11)/($G$11-$E$11),$E$11+SQRT(U618*($G$11-$E$11)*($F$11-$E$11)),$G$11-SQRT((1-U618)*($G$11-$E$11)*($G$11-$F$11))))</f>
        <v>0.0993915039255592</v>
      </c>
      <c r="H618" s="53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-2347553102.43574</v>
      </c>
      <c r="I618" s="53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19468063.0614981</v>
      </c>
      <c r="J618" s="53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359959005.312003</v>
      </c>
      <c r="K618" s="53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759138775.123402</v>
      </c>
      <c r="L618" s="53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908476602.526767</v>
      </c>
      <c r="M618" s="53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1105601259.11935</v>
      </c>
      <c r="N618" s="53" t="n">
        <f aca="false">IF(COUNT('Business Case'!B11:G11)=0,"",H618+NPV(G618,I618:M618))</f>
        <v>-150459172.648584</v>
      </c>
      <c r="P618" s="54" t="n">
        <f aca="true">RAND()</f>
        <v>0.999598693841729</v>
      </c>
      <c r="Q618" s="54" t="n">
        <f aca="true">RAND()</f>
        <v>0.620011717907356</v>
      </c>
      <c r="R618" s="54" t="n">
        <f aca="true">RAND()</f>
        <v>0.397236094091177</v>
      </c>
      <c r="S618" s="54" t="n">
        <f aca="true">RAND()</f>
        <v>0.754425541110891</v>
      </c>
      <c r="T618" s="54" t="n">
        <f aca="true">RAND()</f>
        <v>0.92253314474344</v>
      </c>
      <c r="U618" s="54" t="n">
        <f aca="true">RAND()</f>
        <v>0.376030424494978</v>
      </c>
    </row>
    <row r="619" customFormat="false" ht="15" hidden="false" customHeight="false" outlineLevel="0" collapsed="false">
      <c r="A619" s="50" t="n">
        <v>539</v>
      </c>
      <c r="B619" s="51" t="n">
        <f aca="false">1+IF($G$6=$E$6,$F$6,IF(P619&lt;($F$6-$E$6)/($G$6-$E$6),$E$6+SQRT(P619*($G$6-$E$6)*($F$6-$E$6)),$G$6-SQRT((1-P619)*($G$6-$E$6)*($G$6-$F$6))))</f>
        <v>0.982792936851635</v>
      </c>
      <c r="C619" s="51" t="n">
        <f aca="false">1+IF($G$7=$E$7,$F$7,IF(Q619&lt;($F$7-$E$7)/($G$7-$E$7),$E$7+SQRT(Q619*($G$7-$E$7)*($F$7-$E$7)),$G$7-SQRT((1-Q619)*($G$7-$E$7)*($G$7-$F$7))))</f>
        <v>1.05745784407072</v>
      </c>
      <c r="D619" s="51" t="n">
        <f aca="false">1+IF($G$8=$E$8,$F$8,IF(R619&lt;($F$8-$E$8)/($G$8-$E$8),$E$8+SQRT(R619*($G$8-$E$8)*($F$8-$E$8)),$G$8-SQRT((1-R619)*($G$8-$E$8)*($G$8-$F$8))))</f>
        <v>0.987898702073247</v>
      </c>
      <c r="E619" s="51" t="n">
        <f aca="false">1+IF($G$9=$E$9,$F$9,IF(S619&lt;($F$9-$E$9)/($G$9-$E$9),$E$9+SQRT(S619*($G$9-$E$9)*($F$9-$E$9)),$G$9-SQRT((1-S619)*($G$9-$E$9)*($G$9-$F$9))))</f>
        <v>0.958359804520833</v>
      </c>
      <c r="F619" s="51" t="n">
        <f aca="false">1+IF($G$10=$E$10,$F$10,IF(T619&lt;($F$10-$E$10)/($G$10-$E$10),$E$10+SQRT(T619*($G$10-$E$10)*($F$10-$E$10)),$G$10-SQRT((1-T619)*($G$10-$E$10)*($G$10-$F$10))))</f>
        <v>0.986033211605472</v>
      </c>
      <c r="G619" s="52" t="n">
        <f aca="false">IF($G$11=$E$11,$F$11,IF(U619&lt;($F$11-$E$11)/($G$11-$E$11),$E$11+SQRT(U619*($G$11-$E$11)*($F$11-$E$11)),$G$11-SQRT((1-U619)*($G$11-$E$11)*($G$11-$F$11))))</f>
        <v>0.128913540528322</v>
      </c>
      <c r="H619" s="53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-1972066423.21094</v>
      </c>
      <c r="I619" s="53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27690076.5663907</v>
      </c>
      <c r="J619" s="53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344137585.769059</v>
      </c>
      <c r="K619" s="53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709886755.552</v>
      </c>
      <c r="L619" s="53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851286156.801468</v>
      </c>
      <c r="M619" s="53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1048829096.80198</v>
      </c>
      <c r="N619" s="53" t="n">
        <f aca="false">IF(COUNT('Business Case'!B11:G11)=0,"",H619+NPV(G619,I619:M619))</f>
        <v>-87970673.2868114</v>
      </c>
      <c r="P619" s="54" t="n">
        <f aca="true">RAND()</f>
        <v>0.456978026167918</v>
      </c>
      <c r="Q619" s="54" t="n">
        <f aca="true">RAND()</f>
        <v>0.873125175940153</v>
      </c>
      <c r="R619" s="54" t="n">
        <f aca="true">RAND()</f>
        <v>0.191508215844899</v>
      </c>
      <c r="S619" s="54" t="n">
        <f aca="true">RAND()</f>
        <v>0.136234671348394</v>
      </c>
      <c r="T619" s="54" t="n">
        <f aca="true">RAND()</f>
        <v>0.0865594892403142</v>
      </c>
      <c r="U619" s="54" t="n">
        <f aca="true">RAND()</f>
        <v>0.999213070544268</v>
      </c>
    </row>
    <row r="620" customFormat="false" ht="15" hidden="false" customHeight="false" outlineLevel="0" collapsed="false">
      <c r="A620" s="50" t="n">
        <v>540</v>
      </c>
      <c r="B620" s="51" t="n">
        <f aca="false">1+IF($G$6=$E$6,$F$6,IF(P620&lt;($F$6-$E$6)/($G$6-$E$6),$E$6+SQRT(P620*($G$6-$E$6)*($F$6-$E$6)),$G$6-SQRT((1-P620)*($G$6-$E$6)*($G$6-$F$6))))</f>
        <v>0.961350296768927</v>
      </c>
      <c r="C620" s="51" t="n">
        <f aca="false">1+IF($G$7=$E$7,$F$7,IF(Q620&lt;($F$7-$E$7)/($G$7-$E$7),$E$7+SQRT(Q620*($G$7-$E$7)*($F$7-$E$7)),$G$7-SQRT((1-Q620)*($G$7-$E$7)*($G$7-$F$7))))</f>
        <v>1.05802841147155</v>
      </c>
      <c r="D620" s="51" t="n">
        <f aca="false">1+IF($G$8=$E$8,$F$8,IF(R620&lt;($F$8-$E$8)/($G$8-$E$8),$E$8+SQRT(R620*($G$8-$E$8)*($F$8-$E$8)),$G$8-SQRT((1-R620)*($G$8-$E$8)*($G$8-$F$8))))</f>
        <v>0.989188436391942</v>
      </c>
      <c r="E620" s="51" t="n">
        <f aca="false">1+IF($G$9=$E$9,$F$9,IF(S620&lt;($F$9-$E$9)/($G$9-$E$9),$E$9+SQRT(S620*($G$9-$E$9)*($F$9-$E$9)),$G$9-SQRT((1-S620)*($G$9-$E$9)*($G$9-$F$9))))</f>
        <v>0.923407009508692</v>
      </c>
      <c r="F620" s="51" t="n">
        <f aca="false">1+IF($G$10=$E$10,$F$10,IF(T620&lt;($F$10-$E$10)/($G$10-$E$10),$E$10+SQRT(T620*($G$10-$E$10)*($F$10-$E$10)),$G$10-SQRT((1-T620)*($G$10-$E$10)*($G$10-$F$10))))</f>
        <v>1.09167073218162</v>
      </c>
      <c r="G620" s="52" t="n">
        <f aca="false">IF($G$11=$E$11,$F$11,IF(U620&lt;($F$11-$E$11)/($G$11-$E$11),$E$11+SQRT(U620*($G$11-$E$11)*($F$11-$E$11)),$G$11-SQRT((1-U620)*($G$11-$E$11)*($G$11-$F$11))))</f>
        <v>0.0968364184308258</v>
      </c>
      <c r="H620" s="53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-2183341464.36323</v>
      </c>
      <c r="I620" s="53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4133600.36521925</v>
      </c>
      <c r="J620" s="53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301471077.174982</v>
      </c>
      <c r="K620" s="53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653392090.593825</v>
      </c>
      <c r="L620" s="53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787656800.513243</v>
      </c>
      <c r="M620" s="53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980993997.585477</v>
      </c>
      <c r="N620" s="53" t="n">
        <f aca="false">IF(COUNT('Business Case'!B11:G11)=0,"",H620+NPV(G620,I620:M620))</f>
        <v>-271651628.275177</v>
      </c>
      <c r="P620" s="54" t="n">
        <f aca="true">RAND()</f>
        <v>0.250923927575696</v>
      </c>
      <c r="Q620" s="54" t="n">
        <f aca="true">RAND()</f>
        <v>0.874684843015616</v>
      </c>
      <c r="R620" s="54" t="n">
        <f aca="true">RAND()</f>
        <v>0.204764472912699</v>
      </c>
      <c r="S620" s="54" t="n">
        <f aca="true">RAND()</f>
        <v>0.0219155237655993</v>
      </c>
      <c r="T620" s="54" t="n">
        <f aca="true">RAND()</f>
        <v>0.665757906027931</v>
      </c>
      <c r="U620" s="54" t="n">
        <f aca="true">RAND()</f>
        <v>0.283464985577851</v>
      </c>
    </row>
    <row r="621" customFormat="false" ht="15" hidden="false" customHeight="false" outlineLevel="0" collapsed="false">
      <c r="A621" s="50" t="n">
        <v>541</v>
      </c>
      <c r="B621" s="51" t="n">
        <f aca="false">1+IF($G$6=$E$6,$F$6,IF(P621&lt;($F$6-$E$6)/($G$6-$E$6),$E$6+SQRT(P621*($G$6-$E$6)*($F$6-$E$6)),$G$6-SQRT((1-P621)*($G$6-$E$6)*($G$6-$F$6))))</f>
        <v>0.977760573469001</v>
      </c>
      <c r="C621" s="51" t="n">
        <f aca="false">1+IF($G$7=$E$7,$F$7,IF(Q621&lt;($F$7-$E$7)/($G$7-$E$7),$E$7+SQRT(Q621*($G$7-$E$7)*($F$7-$E$7)),$G$7-SQRT((1-Q621)*($G$7-$E$7)*($G$7-$F$7))))</f>
        <v>0.910440196149746</v>
      </c>
      <c r="D621" s="51" t="n">
        <f aca="false">1+IF($G$8=$E$8,$F$8,IF(R621&lt;($F$8-$E$8)/($G$8-$E$8),$E$8+SQRT(R621*($G$8-$E$8)*($F$8-$E$8)),$G$8-SQRT((1-R621)*($G$8-$E$8)*($G$8-$F$8))))</f>
        <v>1.04488024018954</v>
      </c>
      <c r="E621" s="51" t="n">
        <f aca="false">1+IF($G$9=$E$9,$F$9,IF(S621&lt;($F$9-$E$9)/($G$9-$E$9),$E$9+SQRT(S621*($G$9-$E$9)*($F$9-$E$9)),$G$9-SQRT((1-S621)*($G$9-$E$9)*($G$9-$F$9))))</f>
        <v>1.105212933198</v>
      </c>
      <c r="F621" s="51" t="n">
        <f aca="false">1+IF($G$10=$E$10,$F$10,IF(T621&lt;($F$10-$E$10)/($G$10-$E$10),$E$10+SQRT(T621*($G$10-$E$10)*($F$10-$E$10)),$G$10-SQRT((1-T621)*($G$10-$E$10)*($G$10-$F$10))))</f>
        <v>1.1437196603195</v>
      </c>
      <c r="G621" s="52" t="n">
        <f aca="false">IF($G$11=$E$11,$F$11,IF(U621&lt;($F$11-$E$11)/($G$11-$E$11),$E$11+SQRT(U621*($G$11-$E$11)*($F$11-$E$11)),$G$11-SQRT((1-U621)*($G$11-$E$11)*($G$11-$F$11))))</f>
        <v>0.0857653650227249</v>
      </c>
      <c r="H621" s="53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-2287439320.63899</v>
      </c>
      <c r="I621" s="53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-75539044.2505314</v>
      </c>
      <c r="J621" s="53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166602737.298538</v>
      </c>
      <c r="K621" s="53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465930501.863582</v>
      </c>
      <c r="L621" s="53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577409482.824536</v>
      </c>
      <c r="M621" s="53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746617278.603155</v>
      </c>
      <c r="N621" s="53" t="n">
        <f aca="false">IF(COUNT('Business Case'!B11:G11)=0,"",H621+NPV(G621,I621:M621))</f>
        <v>-941422353.682422</v>
      </c>
      <c r="P621" s="54" t="n">
        <f aca="true">RAND()</f>
        <v>0.403113785748529</v>
      </c>
      <c r="Q621" s="54" t="n">
        <f aca="true">RAND()</f>
        <v>0.328037601152174</v>
      </c>
      <c r="R621" s="54" t="n">
        <f aca="true">RAND()</f>
        <v>0.797454138562496</v>
      </c>
      <c r="S621" s="54" t="n">
        <f aca="true">RAND()</f>
        <v>0.94650983059395</v>
      </c>
      <c r="T621" s="54" t="n">
        <f aca="true">RAND()</f>
        <v>0.849393191965286</v>
      </c>
      <c r="U621" s="54" t="n">
        <f aca="true">RAND()</f>
        <v>0.0332394338452594</v>
      </c>
    </row>
    <row r="622" customFormat="false" ht="15" hidden="false" customHeight="false" outlineLevel="0" collapsed="false">
      <c r="A622" s="50" t="n">
        <v>542</v>
      </c>
      <c r="B622" s="51" t="n">
        <f aca="false">1+IF($G$6=$E$6,$F$6,IF(P622&lt;($F$6-$E$6)/($G$6-$E$6),$E$6+SQRT(P622*($G$6-$E$6)*($F$6-$E$6)),$G$6-SQRT((1-P622)*($G$6-$E$6)*($G$6-$F$6))))</f>
        <v>0.992537120210975</v>
      </c>
      <c r="C622" s="51" t="n">
        <f aca="false">1+IF($G$7=$E$7,$F$7,IF(Q622&lt;($F$7-$E$7)/($G$7-$E$7),$E$7+SQRT(Q622*($G$7-$E$7)*($F$7-$E$7)),$G$7-SQRT((1-Q622)*($G$7-$E$7)*($G$7-$F$7))))</f>
        <v>0.870223030080097</v>
      </c>
      <c r="D622" s="51" t="n">
        <f aca="false">1+IF($G$8=$E$8,$F$8,IF(R622&lt;($F$8-$E$8)/($G$8-$E$8),$E$8+SQRT(R622*($G$8-$E$8)*($F$8-$E$8)),$G$8-SQRT((1-R622)*($G$8-$E$8)*($G$8-$F$8))))</f>
        <v>1.0129640269835</v>
      </c>
      <c r="E622" s="51" t="n">
        <f aca="false">1+IF($G$9=$E$9,$F$9,IF(S622&lt;($F$9-$E$9)/($G$9-$E$9),$E$9+SQRT(S622*($G$9-$E$9)*($F$9-$E$9)),$G$9-SQRT((1-S622)*($G$9-$E$9)*($G$9-$F$9))))</f>
        <v>1.01157416380355</v>
      </c>
      <c r="F622" s="51" t="n">
        <f aca="false">1+IF($G$10=$E$10,$F$10,IF(T622&lt;($F$10-$E$10)/($G$10-$E$10),$E$10+SQRT(T622*($G$10-$E$10)*($F$10-$E$10)),$G$10-SQRT((1-T622)*($G$10-$E$10)*($G$10-$F$10))))</f>
        <v>1.07440595794093</v>
      </c>
      <c r="G622" s="52" t="n">
        <f aca="false">IF($G$11=$E$11,$F$11,IF(U622&lt;($F$11-$E$11)/($G$11-$E$11),$E$11+SQRT(U622*($G$11-$E$11)*($F$11-$E$11)),$G$11-SQRT((1-U622)*($G$11-$E$11)*($G$11-$F$11))))</f>
        <v>0.0912915858650738</v>
      </c>
      <c r="H622" s="53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-2148811915.88186</v>
      </c>
      <c r="I622" s="53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-39866022.0423242</v>
      </c>
      <c r="J622" s="53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216330091.547957</v>
      </c>
      <c r="K622" s="53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526246503.035285</v>
      </c>
      <c r="L622" s="53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641495670.062477</v>
      </c>
      <c r="M622" s="53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805673213.796518</v>
      </c>
      <c r="N622" s="53" t="n">
        <f aca="false">IF(COUNT('Business Case'!B11:G11)=0,"",H622+NPV(G622,I622:M622))</f>
        <v>-625930239.829818</v>
      </c>
      <c r="P622" s="54" t="n">
        <f aca="true">RAND()</f>
        <v>0.570874574462698</v>
      </c>
      <c r="Q622" s="54" t="n">
        <f aca="true">RAND()</f>
        <v>0.21463614792333</v>
      </c>
      <c r="R622" s="54" t="n">
        <f aca="true">RAND()</f>
        <v>0.49498262673811</v>
      </c>
      <c r="S622" s="54" t="n">
        <f aca="true">RAND()</f>
        <v>0.489021009955039</v>
      </c>
      <c r="T622" s="54" t="n">
        <f aca="true">RAND()</f>
        <v>0.588889765244757</v>
      </c>
      <c r="U622" s="54" t="n">
        <f aca="true">RAND()</f>
        <v>0.127499911348334</v>
      </c>
    </row>
    <row r="623" customFormat="false" ht="15" hidden="false" customHeight="false" outlineLevel="0" collapsed="false">
      <c r="A623" s="50" t="n">
        <v>543</v>
      </c>
      <c r="B623" s="51" t="n">
        <f aca="false">1+IF($G$6=$E$6,$F$6,IF(P623&lt;($F$6-$E$6)/($G$6-$E$6),$E$6+SQRT(P623*($G$6-$E$6)*($F$6-$E$6)),$G$6-SQRT((1-P623)*($G$6-$E$6)*($G$6-$F$6))))</f>
        <v>0.994208008235793</v>
      </c>
      <c r="C623" s="51" t="n">
        <f aca="false">1+IF($G$7=$E$7,$F$7,IF(Q623&lt;($F$7-$E$7)/($G$7-$E$7),$E$7+SQRT(Q623*($G$7-$E$7)*($F$7-$E$7)),$G$7-SQRT((1-Q623)*($G$7-$E$7)*($G$7-$F$7))))</f>
        <v>0.923999877300045</v>
      </c>
      <c r="D623" s="51" t="n">
        <f aca="false">1+IF($G$8=$E$8,$F$8,IF(R623&lt;($F$8-$E$8)/($G$8-$E$8),$E$8+SQRT(R623*($G$8-$E$8)*($F$8-$E$8)),$G$8-SQRT((1-R623)*($G$8-$E$8)*($G$8-$F$8))))</f>
        <v>0.993589583309722</v>
      </c>
      <c r="E623" s="51" t="n">
        <f aca="false">1+IF($G$9=$E$9,$F$9,IF(S623&lt;($F$9-$E$9)/($G$9-$E$9),$E$9+SQRT(S623*($G$9-$E$9)*($F$9-$E$9)),$G$9-SQRT((1-S623)*($G$9-$E$9)*($G$9-$F$9))))</f>
        <v>1.09889493208407</v>
      </c>
      <c r="F623" s="51" t="n">
        <f aca="false">1+IF($G$10=$E$10,$F$10,IF(T623&lt;($F$10-$E$10)/($G$10-$E$10),$E$10+SQRT(T623*($G$10-$E$10)*($F$10-$E$10)),$G$10-SQRT((1-T623)*($G$10-$E$10)*($G$10-$F$10))))</f>
        <v>1.00740535568404</v>
      </c>
      <c r="G623" s="52" t="n">
        <f aca="false">IF($G$11=$E$11,$F$11,IF(U623&lt;($F$11-$E$11)/($G$11-$E$11),$E$11+SQRT(U623*($G$11-$E$11)*($F$11-$E$11)),$G$11-SQRT((1-U623)*($G$11-$E$11)*($G$11-$F$11))))</f>
        <v>0.0884120973187732</v>
      </c>
      <c r="H623" s="53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-2014810711.36808</v>
      </c>
      <c r="I623" s="53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-22168993.2586793</v>
      </c>
      <c r="J623" s="53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260288124.737252</v>
      </c>
      <c r="K623" s="53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593115510.517384</v>
      </c>
      <c r="L623" s="53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719016360.745263</v>
      </c>
      <c r="M623" s="53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893632987.339386</v>
      </c>
      <c r="N623" s="53" t="n">
        <f aca="false">IF(COUNT('Business Case'!B11:G11)=0,"",H623+NPV(G623,I623:M623))</f>
        <v>-258060909.12375</v>
      </c>
      <c r="P623" s="54" t="n">
        <f aca="true">RAND()</f>
        <v>0.591676587717017</v>
      </c>
      <c r="Q623" s="54" t="n">
        <f aca="true">RAND()</f>
        <v>0.371673666892113</v>
      </c>
      <c r="R623" s="54" t="n">
        <f aca="true">RAND()</f>
        <v>0.253340236415359</v>
      </c>
      <c r="S623" s="54" t="n">
        <f aca="true">RAND()</f>
        <v>0.930353920888208</v>
      </c>
      <c r="T623" s="54" t="n">
        <f aca="true">RAND()</f>
        <v>0.215304513989517</v>
      </c>
      <c r="U623" s="54" t="n">
        <f aca="true">RAND()</f>
        <v>0.0707633813005116</v>
      </c>
    </row>
    <row r="624" customFormat="false" ht="15" hidden="false" customHeight="false" outlineLevel="0" collapsed="false">
      <c r="A624" s="50" t="n">
        <v>544</v>
      </c>
      <c r="B624" s="51" t="n">
        <f aca="false">1+IF($G$6=$E$6,$F$6,IF(P624&lt;($F$6-$E$6)/($G$6-$E$6),$E$6+SQRT(P624*($G$6-$E$6)*($F$6-$E$6)),$G$6-SQRT((1-P624)*($G$6-$E$6)*($G$6-$F$6))))</f>
        <v>1.01454612010456</v>
      </c>
      <c r="C624" s="51" t="n">
        <f aca="false">1+IF($G$7=$E$7,$F$7,IF(Q624&lt;($F$7-$E$7)/($G$7-$E$7),$E$7+SQRT(Q624*($G$7-$E$7)*($F$7-$E$7)),$G$7-SQRT((1-Q624)*($G$7-$E$7)*($G$7-$F$7))))</f>
        <v>1.00526337860958</v>
      </c>
      <c r="D624" s="51" t="n">
        <f aca="false">1+IF($G$8=$E$8,$F$8,IF(R624&lt;($F$8-$E$8)/($G$8-$E$8),$E$8+SQRT(R624*($G$8-$E$8)*($F$8-$E$8)),$G$8-SQRT((1-R624)*($G$8-$E$8)*($G$8-$F$8))))</f>
        <v>0.999900372741302</v>
      </c>
      <c r="E624" s="51" t="n">
        <f aca="false">1+IF($G$9=$E$9,$F$9,IF(S624&lt;($F$9-$E$9)/($G$9-$E$9),$E$9+SQRT(S624*($G$9-$E$9)*($F$9-$E$9)),$G$9-SQRT((1-S624)*($G$9-$E$9)*($G$9-$F$9))))</f>
        <v>1.00094383605691</v>
      </c>
      <c r="F624" s="51" t="n">
        <f aca="false">1+IF($G$10=$E$10,$F$10,IF(T624&lt;($F$10-$E$10)/($G$10-$E$10),$E$10+SQRT(T624*($G$10-$E$10)*($F$10-$E$10)),$G$10-SQRT((1-T624)*($G$10-$E$10)*($G$10-$F$10))))</f>
        <v>1.01823025260553</v>
      </c>
      <c r="G624" s="52" t="n">
        <f aca="false">IF($G$11=$E$11,$F$11,IF(U624&lt;($F$11-$E$11)/($G$11-$E$11),$E$11+SQRT(U624*($G$11-$E$11)*($F$11-$E$11)),$G$11-SQRT((1-U624)*($G$11-$E$11)*($G$11-$F$11))))</f>
        <v>0.100775190562172</v>
      </c>
      <c r="H624" s="53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-2036460505.21106</v>
      </c>
      <c r="I624" s="53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23768824.0315306</v>
      </c>
      <c r="J624" s="53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344565780.184715</v>
      </c>
      <c r="K624" s="53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716274248.968177</v>
      </c>
      <c r="L624" s="53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858453829.935111</v>
      </c>
      <c r="M624" s="53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1052313772.30574</v>
      </c>
      <c r="N624" s="53" t="n">
        <f aca="false">IF(COUNT('Business Case'!B11:G11)=0,"",H624+NPV(G624,I624:M624))</f>
        <v>42299998.4522405</v>
      </c>
      <c r="P624" s="54" t="n">
        <f aca="true">RAND()</f>
        <v>0.832402986714672</v>
      </c>
      <c r="Q624" s="54" t="n">
        <f aca="true">RAND()</f>
        <v>0.689649043384969</v>
      </c>
      <c r="R624" s="54" t="n">
        <f aca="true">RAND()</f>
        <v>0.332006293296118</v>
      </c>
      <c r="S624" s="54" t="n">
        <f aca="true">RAND()</f>
        <v>0.407526933081904</v>
      </c>
      <c r="T624" s="54" t="n">
        <f aca="true">RAND()</f>
        <v>0.2837704559027</v>
      </c>
      <c r="U624" s="54" t="n">
        <f aca="true">RAND()</f>
        <v>0.43060700888175</v>
      </c>
    </row>
    <row r="625" customFormat="false" ht="15" hidden="false" customHeight="false" outlineLevel="0" collapsed="false">
      <c r="A625" s="50" t="n">
        <v>545</v>
      </c>
      <c r="B625" s="51" t="n">
        <f aca="false">1+IF($G$6=$E$6,$F$6,IF(P625&lt;($F$6-$E$6)/($G$6-$E$6),$E$6+SQRT(P625*($G$6-$E$6)*($F$6-$E$6)),$G$6-SQRT((1-P625)*($G$6-$E$6)*($G$6-$F$6))))</f>
        <v>1.0047011758015</v>
      </c>
      <c r="C625" s="51" t="n">
        <f aca="false">1+IF($G$7=$E$7,$F$7,IF(Q625&lt;($F$7-$E$7)/($G$7-$E$7),$E$7+SQRT(Q625*($G$7-$E$7)*($F$7-$E$7)),$G$7-SQRT((1-Q625)*($G$7-$E$7)*($G$7-$F$7))))</f>
        <v>0.939131758013723</v>
      </c>
      <c r="D625" s="51" t="n">
        <f aca="false">1+IF($G$8=$E$8,$F$8,IF(R625&lt;($F$8-$E$8)/($G$8-$E$8),$E$8+SQRT(R625*($G$8-$E$8)*($F$8-$E$8)),$G$8-SQRT((1-R625)*($G$8-$E$8)*($G$8-$F$8))))</f>
        <v>1.0109461598934</v>
      </c>
      <c r="E625" s="51" t="n">
        <f aca="false">1+IF($G$9=$E$9,$F$9,IF(S625&lt;($F$9-$E$9)/($G$9-$E$9),$E$9+SQRT(S625*($G$9-$E$9)*($F$9-$E$9)),$G$9-SQRT((1-S625)*($G$9-$E$9)*($G$9-$F$9))))</f>
        <v>0.98881201526461</v>
      </c>
      <c r="F625" s="51" t="n">
        <f aca="false">1+IF($G$10=$E$10,$F$10,IF(T625&lt;($F$10-$E$10)/($G$10-$E$10),$E$10+SQRT(T625*($G$10-$E$10)*($F$10-$E$10)),$G$10-SQRT((1-T625)*($G$10-$E$10)*($G$10-$F$10))))</f>
        <v>1.05215961924468</v>
      </c>
      <c r="G625" s="52" t="n">
        <f aca="false">IF($G$11=$E$11,$F$11,IF(U625&lt;($F$11-$E$11)/($G$11-$E$11),$E$11+SQRT(U625*($G$11-$E$11)*($F$11-$E$11)),$G$11-SQRT((1-U625)*($G$11-$E$11)*($G$11-$F$11))))</f>
        <v>0.0984867654542369</v>
      </c>
      <c r="H625" s="53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-2104319238.48936</v>
      </c>
      <c r="I625" s="53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-7928555.22462478</v>
      </c>
      <c r="J625" s="53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278881385.199268</v>
      </c>
      <c r="K625" s="53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618299306.585396</v>
      </c>
      <c r="L625" s="53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746511596.828975</v>
      </c>
      <c r="M625" s="53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925860969.05819</v>
      </c>
      <c r="N625" s="53" t="n">
        <f aca="false">IF(COUNT('Business Case'!B11:G11)=0,"",H625+NPV(G625,I625:M625))</f>
        <v>-322410881.637501</v>
      </c>
      <c r="P625" s="54" t="n">
        <f aca="true">RAND()</f>
        <v>0.726402203497777</v>
      </c>
      <c r="Q625" s="54" t="n">
        <f aca="true">RAND()</f>
        <v>0.423585168079511</v>
      </c>
      <c r="R625" s="54" t="n">
        <f aca="true">RAND()</f>
        <v>0.471294237484533</v>
      </c>
      <c r="S625" s="54" t="n">
        <f aca="true">RAND()</f>
        <v>0.31550296221445</v>
      </c>
      <c r="T625" s="54" t="n">
        <f aca="true">RAND()</f>
        <v>0.478122449901206</v>
      </c>
      <c r="U625" s="54" t="n">
        <f aca="true">RAND()</f>
        <v>0.341760496959968</v>
      </c>
    </row>
    <row r="626" customFormat="false" ht="15" hidden="false" customHeight="false" outlineLevel="0" collapsed="false">
      <c r="A626" s="50" t="n">
        <v>546</v>
      </c>
      <c r="B626" s="51" t="n">
        <f aca="false">1+IF($G$6=$E$6,$F$6,IF(P626&lt;($F$6-$E$6)/($G$6-$E$6),$E$6+SQRT(P626*($G$6-$E$6)*($F$6-$E$6)),$G$6-SQRT((1-P626)*($G$6-$E$6)*($G$6-$F$6))))</f>
        <v>0.996950416490011</v>
      </c>
      <c r="C626" s="51" t="n">
        <f aca="false">1+IF($G$7=$E$7,$F$7,IF(Q626&lt;($F$7-$E$7)/($G$7-$E$7),$E$7+SQRT(Q626*($G$7-$E$7)*($F$7-$E$7)),$G$7-SQRT((1-Q626)*($G$7-$E$7)*($G$7-$F$7))))</f>
        <v>1.05657895824644</v>
      </c>
      <c r="D626" s="51" t="n">
        <f aca="false">1+IF($G$8=$E$8,$F$8,IF(R626&lt;($F$8-$E$8)/($G$8-$E$8),$E$8+SQRT(R626*($G$8-$E$8)*($F$8-$E$8)),$G$8-SQRT((1-R626)*($G$8-$E$8)*($G$8-$F$8))))</f>
        <v>0.99465703365397</v>
      </c>
      <c r="E626" s="51" t="n">
        <f aca="false">1+IF($G$9=$E$9,$F$9,IF(S626&lt;($F$9-$E$9)/($G$9-$E$9),$E$9+SQRT(S626*($G$9-$E$9)*($F$9-$E$9)),$G$9-SQRT((1-S626)*($G$9-$E$9)*($G$9-$F$9))))</f>
        <v>1.01592544866817</v>
      </c>
      <c r="F626" s="51" t="n">
        <f aca="false">1+IF($G$10=$E$10,$F$10,IF(T626&lt;($F$10-$E$10)/($G$10-$E$10),$E$10+SQRT(T626*($G$10-$E$10)*($F$10-$E$10)),$G$10-SQRT((1-T626)*($G$10-$E$10)*($G$10-$F$10))))</f>
        <v>1.01706524311715</v>
      </c>
      <c r="G626" s="52" t="n">
        <f aca="false">IF($G$11=$E$11,$F$11,IF(U626&lt;($F$11-$E$11)/($G$11-$E$11),$E$11+SQRT(U626*($G$11-$E$11)*($F$11-$E$11)),$G$11-SQRT((1-U626)*($G$11-$E$11)*($G$11-$F$11))))</f>
        <v>0.0856764827807634</v>
      </c>
      <c r="H626" s="53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-2034130486.23431</v>
      </c>
      <c r="I626" s="53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24003970.3546398</v>
      </c>
      <c r="J626" s="53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348785082.017288</v>
      </c>
      <c r="K626" s="53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724419455.835794</v>
      </c>
      <c r="L626" s="53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869083838.520462</v>
      </c>
      <c r="M626" s="53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1069305905.23795</v>
      </c>
      <c r="N626" s="53" t="n">
        <f aca="false">IF(COUNT('Business Case'!B11:G11)=0,"",H626+NPV(G626,I626:M626))</f>
        <v>184452999.326122</v>
      </c>
      <c r="P626" s="54" t="n">
        <f aca="true">RAND()</f>
        <v>0.626625550505773</v>
      </c>
      <c r="Q626" s="54" t="n">
        <f aca="true">RAND()</f>
        <v>0.870703836410069</v>
      </c>
      <c r="R626" s="54" t="n">
        <f aca="true">RAND()</f>
        <v>0.26590008730291</v>
      </c>
      <c r="S626" s="54" t="n">
        <f aca="true">RAND()</f>
        <v>0.520640391604501</v>
      </c>
      <c r="T626" s="54" t="n">
        <f aca="true">RAND()</f>
        <v>0.276551987145727</v>
      </c>
      <c r="U626" s="54" t="n">
        <f aca="true">RAND()</f>
        <v>0.0322224567603035</v>
      </c>
    </row>
    <row r="627" customFormat="false" ht="15" hidden="false" customHeight="false" outlineLevel="0" collapsed="false">
      <c r="A627" s="50" t="n">
        <v>547</v>
      </c>
      <c r="B627" s="51" t="n">
        <f aca="false">1+IF($G$6=$E$6,$F$6,IF(P627&lt;($F$6-$E$6)/($G$6-$E$6),$E$6+SQRT(P627*($G$6-$E$6)*($F$6-$E$6)),$G$6-SQRT((1-P627)*($G$6-$E$6)*($G$6-$F$6))))</f>
        <v>0.982432656006522</v>
      </c>
      <c r="C627" s="51" t="n">
        <f aca="false">1+IF($G$7=$E$7,$F$7,IF(Q627&lt;($F$7-$E$7)/($G$7-$E$7),$E$7+SQRT(Q627*($G$7-$E$7)*($F$7-$E$7)),$G$7-SQRT((1-Q627)*($G$7-$E$7)*($G$7-$F$7))))</f>
        <v>0.989640848635489</v>
      </c>
      <c r="D627" s="51" t="n">
        <f aca="false">1+IF($G$8=$E$8,$F$8,IF(R627&lt;($F$8-$E$8)/($G$8-$E$8),$E$8+SQRT(R627*($G$8-$E$8)*($F$8-$E$8)),$G$8-SQRT((1-R627)*($G$8-$E$8)*($G$8-$F$8))))</f>
        <v>0.994905550044375</v>
      </c>
      <c r="E627" s="51" t="n">
        <f aca="false">1+IF($G$9=$E$9,$F$9,IF(S627&lt;($F$9-$E$9)/($G$9-$E$9),$E$9+SQRT(S627*($G$9-$E$9)*($F$9-$E$9)),$G$9-SQRT((1-S627)*($G$9-$E$9)*($G$9-$F$9))))</f>
        <v>1.03624405450024</v>
      </c>
      <c r="F627" s="51" t="n">
        <f aca="false">1+IF($G$10=$E$10,$F$10,IF(T627&lt;($F$10-$E$10)/($G$10-$E$10),$E$10+SQRT(T627*($G$10-$E$10)*($F$10-$E$10)),$G$10-SQRT((1-T627)*($G$10-$E$10)*($G$10-$F$10))))</f>
        <v>1.0918225658211</v>
      </c>
      <c r="G627" s="52" t="n">
        <f aca="false">IF($G$11=$E$11,$F$11,IF(U627&lt;($F$11-$E$11)/($G$11-$E$11),$E$11+SQRT(U627*($G$11-$E$11)*($F$11-$E$11)),$G$11-SQRT((1-U627)*($G$11-$E$11)*($G$11-$F$11))))</f>
        <v>0.105809447564613</v>
      </c>
      <c r="H627" s="53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-2183645131.64219</v>
      </c>
      <c r="I627" s="53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-14626647.5792365</v>
      </c>
      <c r="J627" s="53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277684590.441295</v>
      </c>
      <c r="K627" s="53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624586956.752881</v>
      </c>
      <c r="L627" s="53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755625185.738207</v>
      </c>
      <c r="M627" s="53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940431508.786527</v>
      </c>
      <c r="N627" s="53" t="n">
        <f aca="false">IF(COUNT('Business Case'!B11:G11)=0,"",H627+NPV(G627,I627:M627))</f>
        <v>-433784048.464011</v>
      </c>
      <c r="P627" s="54" t="n">
        <f aca="true">RAND()</f>
        <v>0.453009518419303</v>
      </c>
      <c r="Q627" s="54" t="n">
        <f aca="true">RAND()</f>
        <v>0.621420897765085</v>
      </c>
      <c r="R627" s="54" t="n">
        <f aca="true">RAND()</f>
        <v>0.268867789971719</v>
      </c>
      <c r="S627" s="54" t="n">
        <f aca="true">RAND()</f>
        <v>0.65492226302549</v>
      </c>
      <c r="T627" s="54" t="n">
        <f aca="true">RAND()</f>
        <v>0.666398657554379</v>
      </c>
      <c r="U627" s="54" t="n">
        <f aca="true">RAND()</f>
        <v>0.609878115247207</v>
      </c>
    </row>
    <row r="628" customFormat="false" ht="15" hidden="false" customHeight="false" outlineLevel="0" collapsed="false">
      <c r="A628" s="50" t="n">
        <v>548</v>
      </c>
      <c r="B628" s="51" t="n">
        <f aca="false">1+IF($G$6=$E$6,$F$6,IF(P628&lt;($F$6-$E$6)/($G$6-$E$6),$E$6+SQRT(P628*($G$6-$E$6)*($F$6-$E$6)),$G$6-SQRT((1-P628)*($G$6-$E$6)*($G$6-$F$6))))</f>
        <v>0.930731740140746</v>
      </c>
      <c r="C628" s="51" t="n">
        <f aca="false">1+IF($G$7=$E$7,$F$7,IF(Q628&lt;($F$7-$E$7)/($G$7-$E$7),$E$7+SQRT(Q628*($G$7-$E$7)*($F$7-$E$7)),$G$7-SQRT((1-Q628)*($G$7-$E$7)*($G$7-$F$7))))</f>
        <v>0.826091309067695</v>
      </c>
      <c r="D628" s="51" t="n">
        <f aca="false">1+IF($G$8=$E$8,$F$8,IF(R628&lt;($F$8-$E$8)/($G$8-$E$8),$E$8+SQRT(R628*($G$8-$E$8)*($F$8-$E$8)),$G$8-SQRT((1-R628)*($G$8-$E$8)*($G$8-$F$8))))</f>
        <v>0.993984458004563</v>
      </c>
      <c r="E628" s="51" t="n">
        <f aca="false">1+IF($G$9=$E$9,$F$9,IF(S628&lt;($F$9-$E$9)/($G$9-$E$9),$E$9+SQRT(S628*($G$9-$E$9)*($F$9-$E$9)),$G$9-SQRT((1-S628)*($G$9-$E$9)*($G$9-$F$9))))</f>
        <v>1.07918061866931</v>
      </c>
      <c r="F628" s="51" t="n">
        <f aca="false">1+IF($G$10=$E$10,$F$10,IF(T628&lt;($F$10-$E$10)/($G$10-$E$10),$E$10+SQRT(T628*($G$10-$E$10)*($F$10-$E$10)),$G$10-SQRT((1-T628)*($G$10-$E$10)*($G$10-$F$10))))</f>
        <v>1.06556756567695</v>
      </c>
      <c r="G628" s="52" t="n">
        <f aca="false">IF($G$11=$E$11,$F$11,IF(U628&lt;($F$11-$E$11)/($G$11-$E$11),$E$11+SQRT(U628*($G$11-$E$11)*($F$11-$E$11)),$G$11-SQRT((1-U628)*($G$11-$E$11)*($G$11-$F$11))))</f>
        <v>0.106286035076742</v>
      </c>
      <c r="H628" s="53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-2131135131.3539</v>
      </c>
      <c r="I628" s="53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-90463766.1757125</v>
      </c>
      <c r="J628" s="53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118946897.970183</v>
      </c>
      <c r="K628" s="53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381635940.399926</v>
      </c>
      <c r="L628" s="53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478011621.634649</v>
      </c>
      <c r="M628" s="53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624158317.491484</v>
      </c>
      <c r="N628" s="53" t="n">
        <f aca="false">IF(COUNT('Business Case'!B11:G11)=0,"",H628+NPV(G628,I628:M628))</f>
        <v>-1138051743.20629</v>
      </c>
      <c r="P628" s="54" t="n">
        <f aca="true">RAND()</f>
        <v>0.0629626568052233</v>
      </c>
      <c r="Q628" s="54" t="n">
        <f aca="true">RAND()</f>
        <v>0.117770505351148</v>
      </c>
      <c r="R628" s="54" t="n">
        <f aca="true">RAND()</f>
        <v>0.25795100612736</v>
      </c>
      <c r="S628" s="54" t="n">
        <f aca="true">RAND()</f>
        <v>0.866256406078342</v>
      </c>
      <c r="T628" s="54" t="n">
        <f aca="true">RAND()</f>
        <v>0.546462362262327</v>
      </c>
      <c r="U628" s="54" t="n">
        <f aca="true">RAND()</f>
        <v>0.625098578412312</v>
      </c>
    </row>
    <row r="629" customFormat="false" ht="15" hidden="false" customHeight="false" outlineLevel="0" collapsed="false">
      <c r="A629" s="50" t="n">
        <v>549</v>
      </c>
      <c r="B629" s="51" t="n">
        <f aca="false">1+IF($G$6=$E$6,$F$6,IF(P629&lt;($F$6-$E$6)/($G$6-$E$6),$E$6+SQRT(P629*($G$6-$E$6)*($F$6-$E$6)),$G$6-SQRT((1-P629)*($G$6-$E$6)*($G$6-$F$6))))</f>
        <v>1.00366462230636</v>
      </c>
      <c r="C629" s="51" t="n">
        <f aca="false">1+IF($G$7=$E$7,$F$7,IF(Q629&lt;($F$7-$E$7)/($G$7-$E$7),$E$7+SQRT(Q629*($G$7-$E$7)*($F$7-$E$7)),$G$7-SQRT((1-Q629)*($G$7-$E$7)*($G$7-$F$7))))</f>
        <v>0.931909290072496</v>
      </c>
      <c r="D629" s="51" t="n">
        <f aca="false">1+IF($G$8=$E$8,$F$8,IF(R629&lt;($F$8-$E$8)/($G$8-$E$8),$E$8+SQRT(R629*($G$8-$E$8)*($F$8-$E$8)),$G$8-SQRT((1-R629)*($G$8-$E$8)*($G$8-$F$8))))</f>
        <v>1.0145464492799</v>
      </c>
      <c r="E629" s="51" t="n">
        <f aca="false">1+IF($G$9=$E$9,$F$9,IF(S629&lt;($F$9-$E$9)/($G$9-$E$9),$E$9+SQRT(S629*($G$9-$E$9)*($F$9-$E$9)),$G$9-SQRT((1-S629)*($G$9-$E$9)*($G$9-$F$9))))</f>
        <v>1.0859091534723</v>
      </c>
      <c r="F629" s="51" t="n">
        <f aca="false">1+IF($G$10=$E$10,$F$10,IF(T629&lt;($F$10-$E$10)/($G$10-$E$10),$E$10+SQRT(T629*($G$10-$E$10)*($F$10-$E$10)),$G$10-SQRT((1-T629)*($G$10-$E$10)*($G$10-$F$10))))</f>
        <v>1.07212175747029</v>
      </c>
      <c r="G629" s="52" t="n">
        <f aca="false">IF($G$11=$E$11,$F$11,IF(U629&lt;($F$11-$E$11)/($G$11-$E$11),$E$11+SQRT(U629*($G$11-$E$11)*($F$11-$E$11)),$G$11-SQRT((1-U629)*($G$11-$E$11)*($G$11-$F$11))))</f>
        <v>0.103468542969139</v>
      </c>
      <c r="H629" s="53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-2144243514.94059</v>
      </c>
      <c r="I629" s="53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-28020234.8856949</v>
      </c>
      <c r="J629" s="53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254075203.751207</v>
      </c>
      <c r="K629" s="53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589776730.261623</v>
      </c>
      <c r="L629" s="53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716133353.908461</v>
      </c>
      <c r="M629" s="53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893919813.131748</v>
      </c>
      <c r="N629" s="53" t="n">
        <f aca="false">IF(COUNT('Business Case'!B11:G11)=0,"",H629+NPV(G629,I629:M629))</f>
        <v>-492639501.361287</v>
      </c>
      <c r="P629" s="54" t="n">
        <f aca="true">RAND()</f>
        <v>0.713737703198336</v>
      </c>
      <c r="Q629" s="54" t="n">
        <f aca="true">RAND()</f>
        <v>0.398384583866139</v>
      </c>
      <c r="R629" s="54" t="n">
        <f aca="true">RAND()</f>
        <v>0.513179377955158</v>
      </c>
      <c r="S629" s="54" t="n">
        <f aca="true">RAND()</f>
        <v>0.890463023769687</v>
      </c>
      <c r="T629" s="54" t="n">
        <f aca="true">RAND()</f>
        <v>0.57812441112724</v>
      </c>
      <c r="U629" s="54" t="n">
        <f aca="true">RAND()</f>
        <v>0.530721191879728</v>
      </c>
    </row>
    <row r="630" customFormat="false" ht="15" hidden="false" customHeight="false" outlineLevel="0" collapsed="false">
      <c r="A630" s="50" t="n">
        <v>550</v>
      </c>
      <c r="B630" s="51" t="n">
        <f aca="false">1+IF($G$6=$E$6,$F$6,IF(P630&lt;($F$6-$E$6)/($G$6-$E$6),$E$6+SQRT(P630*($G$6-$E$6)*($F$6-$E$6)),$G$6-SQRT((1-P630)*($G$6-$E$6)*($G$6-$F$6))))</f>
        <v>0.972610460117095</v>
      </c>
      <c r="C630" s="51" t="n">
        <f aca="false">1+IF($G$7=$E$7,$F$7,IF(Q630&lt;($F$7-$E$7)/($G$7-$E$7),$E$7+SQRT(Q630*($G$7-$E$7)*($F$7-$E$7)),$G$7-SQRT((1-Q630)*($G$7-$E$7)*($G$7-$F$7))))</f>
        <v>0.885427802557864</v>
      </c>
      <c r="D630" s="51" t="n">
        <f aca="false">1+IF($G$8=$E$8,$F$8,IF(R630&lt;($F$8-$E$8)/($G$8-$E$8),$E$8+SQRT(R630*($G$8-$E$8)*($F$8-$E$8)),$G$8-SQRT((1-R630)*($G$8-$E$8)*($G$8-$F$8))))</f>
        <v>0.963352947539975</v>
      </c>
      <c r="E630" s="51" t="n">
        <f aca="false">1+IF($G$9=$E$9,$F$9,IF(S630&lt;($F$9-$E$9)/($G$9-$E$9),$E$9+SQRT(S630*($G$9-$E$9)*($F$9-$E$9)),$G$9-SQRT((1-S630)*($G$9-$E$9)*($G$9-$F$9))))</f>
        <v>1.04640256646554</v>
      </c>
      <c r="F630" s="51" t="n">
        <f aca="false">1+IF($G$10=$E$10,$F$10,IF(T630&lt;($F$10-$E$10)/($G$10-$E$10),$E$10+SQRT(T630*($G$10-$E$10)*($F$10-$E$10)),$G$10-SQRT((1-T630)*($G$10-$E$10)*($G$10-$F$10))))</f>
        <v>1.00099624226749</v>
      </c>
      <c r="G630" s="52" t="n">
        <f aca="false">IF($G$11=$E$11,$F$11,IF(U630&lt;($F$11-$E$11)/($G$11-$E$11),$E$11+SQRT(U630*($G$11-$E$11)*($F$11-$E$11)),$G$11-SQRT((1-U630)*($G$11-$E$11)*($G$11-$F$11))))</f>
        <v>0.101917574957798</v>
      </c>
      <c r="H630" s="53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-2001992484.53497</v>
      </c>
      <c r="I630" s="53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-24833278.7668518</v>
      </c>
      <c r="J630" s="53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243874893.23686</v>
      </c>
      <c r="K630" s="53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562632877.353945</v>
      </c>
      <c r="L630" s="53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681964522.416792</v>
      </c>
      <c r="M630" s="53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845656921.58898</v>
      </c>
      <c r="N630" s="53" t="n">
        <f aca="false">IF(COUNT('Business Case'!B11:G11)=0,"",H630+NPV(G630,I630:M630))</f>
        <v>-420078314.418071</v>
      </c>
      <c r="P630" s="54" t="n">
        <f aca="true">RAND()</f>
        <v>0.351485261227746</v>
      </c>
      <c r="Q630" s="54" t="n">
        <f aca="true">RAND()</f>
        <v>0.254692370084728</v>
      </c>
      <c r="R630" s="54" t="n">
        <f aca="true">RAND()</f>
        <v>0.0237734944007096</v>
      </c>
      <c r="S630" s="54" t="n">
        <f aca="true">RAND()</f>
        <v>0.713801913735274</v>
      </c>
      <c r="T630" s="54" t="n">
        <f aca="true">RAND()</f>
        <v>0.173295048467841</v>
      </c>
      <c r="U630" s="54" t="n">
        <f aca="true">RAND()</f>
        <v>0.474251602499411</v>
      </c>
    </row>
    <row r="631" customFormat="false" ht="15" hidden="false" customHeight="false" outlineLevel="0" collapsed="false">
      <c r="A631" s="50" t="n">
        <v>551</v>
      </c>
      <c r="B631" s="51" t="n">
        <f aca="false">1+IF($G$6=$E$6,$F$6,IF(P631&lt;($F$6-$E$6)/($G$6-$E$6),$E$6+SQRT(P631*($G$6-$E$6)*($F$6-$E$6)),$G$6-SQRT((1-P631)*($G$6-$E$6)*($G$6-$F$6))))</f>
        <v>0.928128810307433</v>
      </c>
      <c r="C631" s="51" t="n">
        <f aca="false">1+IF($G$7=$E$7,$F$7,IF(Q631&lt;($F$7-$E$7)/($G$7-$E$7),$E$7+SQRT(Q631*($G$7-$E$7)*($F$7-$E$7)),$G$7-SQRT((1-Q631)*($G$7-$E$7)*($G$7-$F$7))))</f>
        <v>1.05920811284068</v>
      </c>
      <c r="D631" s="51" t="n">
        <f aca="false">1+IF($G$8=$E$8,$F$8,IF(R631&lt;($F$8-$E$8)/($G$8-$E$8),$E$8+SQRT(R631*($G$8-$E$8)*($F$8-$E$8)),$G$8-SQRT((1-R631)*($G$8-$E$8)*($G$8-$F$8))))</f>
        <v>0.983192912035897</v>
      </c>
      <c r="E631" s="51" t="n">
        <f aca="false">1+IF($G$9=$E$9,$F$9,IF(S631&lt;($F$9-$E$9)/($G$9-$E$9),$E$9+SQRT(S631*($G$9-$E$9)*($F$9-$E$9)),$G$9-SQRT((1-S631)*($G$9-$E$9)*($G$9-$F$9))))</f>
        <v>1.07186302989682</v>
      </c>
      <c r="F631" s="51" t="n">
        <f aca="false">1+IF($G$10=$E$10,$F$10,IF(T631&lt;($F$10-$E$10)/($G$10-$E$10),$E$10+SQRT(T631*($G$10-$E$10)*($F$10-$E$10)),$G$10-SQRT((1-T631)*($G$10-$E$10)*($G$10-$F$10))))</f>
        <v>1.02952495812743</v>
      </c>
      <c r="G631" s="52" t="n">
        <f aca="false">IF($G$11=$E$11,$F$11,IF(U631&lt;($F$11-$E$11)/($G$11-$E$11),$E$11+SQRT(U631*($G$11-$E$11)*($F$11-$E$11)),$G$11-SQRT((1-U631)*($G$11-$E$11)*($G$11-$F$11))))</f>
        <v>0.118519246819986</v>
      </c>
      <c r="H631" s="53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-2059049916.25487</v>
      </c>
      <c r="I631" s="53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-34236295.7880966</v>
      </c>
      <c r="J631" s="53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237861775.450593</v>
      </c>
      <c r="K631" s="53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561436094.595655</v>
      </c>
      <c r="L631" s="53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686110750.583695</v>
      </c>
      <c r="M631" s="53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872974894.580318</v>
      </c>
      <c r="N631" s="53" t="n">
        <f aca="false">IF(COUNT('Business Case'!B11:G11)=0,"",H631+NPV(G631,I631:M631))</f>
        <v>-561339527.305266</v>
      </c>
      <c r="P631" s="54" t="n">
        <f aca="true">RAND()</f>
        <v>0.0527486646207706</v>
      </c>
      <c r="Q631" s="54" t="n">
        <f aca="true">RAND()</f>
        <v>0.877879010756281</v>
      </c>
      <c r="R631" s="54" t="n">
        <f aca="true">RAND()</f>
        <v>0.146902587923035</v>
      </c>
      <c r="S631" s="54" t="n">
        <f aca="true">RAND()</f>
        <v>0.837189704082514</v>
      </c>
      <c r="T631" s="54" t="n">
        <f aca="true">RAND()</f>
        <v>0.351876745483872</v>
      </c>
      <c r="U631" s="54" t="n">
        <f aca="true">RAND()</f>
        <v>0.912128204279731</v>
      </c>
    </row>
    <row r="632" customFormat="false" ht="15" hidden="false" customHeight="false" outlineLevel="0" collapsed="false">
      <c r="A632" s="50" t="n">
        <v>552</v>
      </c>
      <c r="B632" s="51" t="n">
        <f aca="false">1+IF($G$6=$E$6,$F$6,IF(P632&lt;($F$6-$E$6)/($G$6-$E$6),$E$6+SQRT(P632*($G$6-$E$6)*($F$6-$E$6)),$G$6-SQRT((1-P632)*($G$6-$E$6)*($G$6-$F$6))))</f>
        <v>1.00194006636507</v>
      </c>
      <c r="C632" s="51" t="n">
        <f aca="false">1+IF($G$7=$E$7,$F$7,IF(Q632&lt;($F$7-$E$7)/($G$7-$E$7),$E$7+SQRT(Q632*($G$7-$E$7)*($F$7-$E$7)),$G$7-SQRT((1-Q632)*($G$7-$E$7)*($G$7-$F$7))))</f>
        <v>1.0317078551461</v>
      </c>
      <c r="D632" s="51" t="n">
        <f aca="false">1+IF($G$8=$E$8,$F$8,IF(R632&lt;($F$8-$E$8)/($G$8-$E$8),$E$8+SQRT(R632*($G$8-$E$8)*($F$8-$E$8)),$G$8-SQRT((1-R632)*($G$8-$E$8)*($G$8-$F$8))))</f>
        <v>0.988228275936373</v>
      </c>
      <c r="E632" s="51" t="n">
        <f aca="false">1+IF($G$9=$E$9,$F$9,IF(S632&lt;($F$9-$E$9)/($G$9-$E$9),$E$9+SQRT(S632*($G$9-$E$9)*($F$9-$E$9)),$G$9-SQRT((1-S632)*($G$9-$E$9)*($G$9-$F$9))))</f>
        <v>0.980334720928437</v>
      </c>
      <c r="F632" s="51" t="n">
        <f aca="false">1+IF($G$10=$E$10,$F$10,IF(T632&lt;($F$10-$E$10)/($G$10-$E$10),$E$10+SQRT(T632*($G$10-$E$10)*($F$10-$E$10)),$G$10-SQRT((1-T632)*($G$10-$E$10)*($G$10-$F$10))))</f>
        <v>1.08496942801266</v>
      </c>
      <c r="G632" s="52" t="n">
        <f aca="false">IF($G$11=$E$11,$F$11,IF(U632&lt;($F$11-$E$11)/($G$11-$E$11),$E$11+SQRT(U632*($G$11-$E$11)*($F$11-$E$11)),$G$11-SQRT((1-U632)*($G$11-$E$11)*($G$11-$F$11))))</f>
        <v>0.0891860249421378</v>
      </c>
      <c r="H632" s="53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-2169938856.02532</v>
      </c>
      <c r="I632" s="53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23259791.5893664</v>
      </c>
      <c r="J632" s="53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348007620.502557</v>
      </c>
      <c r="K632" s="53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727003920.816381</v>
      </c>
      <c r="L632" s="53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870978195.258468</v>
      </c>
      <c r="M632" s="53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1067465685.01576</v>
      </c>
      <c r="N632" s="53" t="n">
        <f aca="false">IF(COUNT('Business Case'!B11:G11)=0,"",H632+NPV(G632,I632:M632))</f>
        <v>22650487.8036981</v>
      </c>
      <c r="P632" s="54" t="n">
        <f aca="true">RAND()</f>
        <v>0.692032370534172</v>
      </c>
      <c r="Q632" s="54" t="n">
        <f aca="true">RAND()</f>
        <v>0.792695829123919</v>
      </c>
      <c r="R632" s="54" t="n">
        <f aca="true">RAND()</f>
        <v>0.194853477475661</v>
      </c>
      <c r="S632" s="54" t="n">
        <f aca="true">RAND()</f>
        <v>0.258146695465995</v>
      </c>
      <c r="T632" s="54" t="n">
        <f aca="true">RAND()</f>
        <v>0.636865470793745</v>
      </c>
      <c r="U632" s="54" t="n">
        <f aca="true">RAND()</f>
        <v>0.0843830542375774</v>
      </c>
    </row>
    <row r="633" customFormat="false" ht="15" hidden="false" customHeight="false" outlineLevel="0" collapsed="false">
      <c r="A633" s="50" t="n">
        <v>553</v>
      </c>
      <c r="B633" s="51" t="n">
        <f aca="false">1+IF($G$6=$E$6,$F$6,IF(P633&lt;($F$6-$E$6)/($G$6-$E$6),$E$6+SQRT(P633*($G$6-$E$6)*($F$6-$E$6)),$G$6-SQRT((1-P633)*($G$6-$E$6)*($G$6-$F$6))))</f>
        <v>0.944055701437444</v>
      </c>
      <c r="C633" s="51" t="n">
        <f aca="false">1+IF($G$7=$E$7,$F$7,IF(Q633&lt;($F$7-$E$7)/($G$7-$E$7),$E$7+SQRT(Q633*($G$7-$E$7)*($F$7-$E$7)),$G$7-SQRT((1-Q633)*($G$7-$E$7)*($G$7-$F$7))))</f>
        <v>0.957086963063324</v>
      </c>
      <c r="D633" s="51" t="n">
        <f aca="false">1+IF($G$8=$E$8,$F$8,IF(R633&lt;($F$8-$E$8)/($G$8-$E$8),$E$8+SQRT(R633*($G$8-$E$8)*($F$8-$E$8)),$G$8-SQRT((1-R633)*($G$8-$E$8)*($G$8-$F$8))))</f>
        <v>1.01658953824258</v>
      </c>
      <c r="E633" s="51" t="n">
        <f aca="false">1+IF($G$9=$E$9,$F$9,IF(S633&lt;($F$9-$E$9)/($G$9-$E$9),$E$9+SQRT(S633*($G$9-$E$9)*($F$9-$E$9)),$G$9-SQRT((1-S633)*($G$9-$E$9)*($G$9-$F$9))))</f>
        <v>1.05716561549951</v>
      </c>
      <c r="F633" s="51" t="n">
        <f aca="false">1+IF($G$10=$E$10,$F$10,IF(T633&lt;($F$10-$E$10)/($G$10-$E$10),$E$10+SQRT(T633*($G$10-$E$10)*($F$10-$E$10)),$G$10-SQRT((1-T633)*($G$10-$E$10)*($G$10-$F$10))))</f>
        <v>0.954216239561549</v>
      </c>
      <c r="G633" s="52" t="n">
        <f aca="false">IF($G$11=$E$11,$F$11,IF(U633&lt;($F$11-$E$11)/($G$11-$E$11),$E$11+SQRT(U633*($G$11-$E$11)*($F$11-$E$11)),$G$11-SQRT((1-U633)*($G$11-$E$11)*($G$11-$F$11))))</f>
        <v>0.0973034100761061</v>
      </c>
      <c r="H633" s="53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-1908432479.1231</v>
      </c>
      <c r="I633" s="53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-50603196.2274144</v>
      </c>
      <c r="J633" s="53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191383872.101748</v>
      </c>
      <c r="K633" s="53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481081752.408987</v>
      </c>
      <c r="L633" s="53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592970568.569636</v>
      </c>
      <c r="M633" s="53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764716098.849738</v>
      </c>
      <c r="N633" s="53" t="n">
        <f aca="false">IF(COUNT('Business Case'!B11:G11)=0,"",H633+NPV(G633,I633:M633))</f>
        <v>-541792088.885444</v>
      </c>
      <c r="P633" s="54" t="n">
        <f aca="true">RAND()</f>
        <v>0.129393655276348</v>
      </c>
      <c r="Q633" s="54" t="n">
        <f aca="true">RAND()</f>
        <v>0.489583011682392</v>
      </c>
      <c r="R633" s="54" t="n">
        <f aca="true">RAND()</f>
        <v>0.536179657960924</v>
      </c>
      <c r="S633" s="54" t="n">
        <f aca="true">RAND()</f>
        <v>0.77018072145106</v>
      </c>
      <c r="T633" s="54" t="n">
        <f aca="true">RAND()</f>
        <v>0.00118511173602492</v>
      </c>
      <c r="U633" s="54" t="n">
        <f aca="true">RAND()</f>
        <v>0.299408000261888</v>
      </c>
    </row>
    <row r="634" customFormat="false" ht="15" hidden="false" customHeight="false" outlineLevel="0" collapsed="false">
      <c r="A634" s="50" t="n">
        <v>554</v>
      </c>
      <c r="B634" s="51" t="n">
        <f aca="false">1+IF($G$6=$E$6,$F$6,IF(P634&lt;($F$6-$E$6)/($G$6-$E$6),$E$6+SQRT(P634*($G$6-$E$6)*($F$6-$E$6)),$G$6-SQRT((1-P634)*($G$6-$E$6)*($G$6-$F$6))))</f>
        <v>0.968160405729836</v>
      </c>
      <c r="C634" s="51" t="n">
        <f aca="false">1+IF($G$7=$E$7,$F$7,IF(Q634&lt;($F$7-$E$7)/($G$7-$E$7),$E$7+SQRT(Q634*($G$7-$E$7)*($F$7-$E$7)),$G$7-SQRT((1-Q634)*($G$7-$E$7)*($G$7-$F$7))))</f>
        <v>0.79153651481776</v>
      </c>
      <c r="D634" s="51" t="n">
        <f aca="false">1+IF($G$8=$E$8,$F$8,IF(R634&lt;($F$8-$E$8)/($G$8-$E$8),$E$8+SQRT(R634*($G$8-$E$8)*($F$8-$E$8)),$G$8-SQRT((1-R634)*($G$8-$E$8)*($G$8-$F$8))))</f>
        <v>0.982882178890967</v>
      </c>
      <c r="E634" s="51" t="n">
        <f aca="false">1+IF($G$9=$E$9,$F$9,IF(S634&lt;($F$9-$E$9)/($G$9-$E$9),$E$9+SQRT(S634*($G$9-$E$9)*($F$9-$E$9)),$G$9-SQRT((1-S634)*($G$9-$E$9)*($G$9-$F$9))))</f>
        <v>0.992231229723931</v>
      </c>
      <c r="F634" s="51" t="n">
        <f aca="false">1+IF($G$10=$E$10,$F$10,IF(T634&lt;($F$10-$E$10)/($G$10-$E$10),$E$10+SQRT(T634*($G$10-$E$10)*($F$10-$E$10)),$G$10-SQRT((1-T634)*($G$10-$E$10)*($G$10-$F$10))))</f>
        <v>1.00118095756145</v>
      </c>
      <c r="G634" s="52" t="n">
        <f aca="false">IF($G$11=$E$11,$F$11,IF(U634&lt;($F$11-$E$11)/($G$11-$E$11),$E$11+SQRT(U634*($G$11-$E$11)*($F$11-$E$11)),$G$11-SQRT((1-U634)*($G$11-$E$11)*($G$11-$F$11))))</f>
        <v>0.107487105822915</v>
      </c>
      <c r="H634" s="53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-2002361915.1229</v>
      </c>
      <c r="I634" s="53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-51524342.5529683</v>
      </c>
      <c r="J634" s="53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177891462.320287</v>
      </c>
      <c r="K634" s="53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457366315.071614</v>
      </c>
      <c r="L634" s="53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560322763.898256</v>
      </c>
      <c r="M634" s="53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705987590.177152</v>
      </c>
      <c r="N634" s="53" t="n">
        <f aca="false">IF(COUNT('Business Case'!B11:G11)=0,"",H634+NPV(G634,I634:M634))</f>
        <v>-770937558.275294</v>
      </c>
      <c r="P634" s="54" t="n">
        <f aca="true">RAND()</f>
        <v>0.309722727283727</v>
      </c>
      <c r="Q634" s="54" t="n">
        <f aca="true">RAND()</f>
        <v>0.0620661744072739</v>
      </c>
      <c r="R634" s="54" t="n">
        <f aca="true">RAND()</f>
        <v>0.144165025149008</v>
      </c>
      <c r="S634" s="54" t="n">
        <f aca="true">RAND()</f>
        <v>0.340263989455539</v>
      </c>
      <c r="T634" s="54" t="n">
        <f aca="true">RAND()</f>
        <v>0.174521121599497</v>
      </c>
      <c r="U634" s="54" t="n">
        <f aca="true">RAND()</f>
        <v>0.662113063847571</v>
      </c>
    </row>
    <row r="635" customFormat="false" ht="15" hidden="false" customHeight="false" outlineLevel="0" collapsed="false">
      <c r="A635" s="50" t="n">
        <v>555</v>
      </c>
      <c r="B635" s="51" t="n">
        <f aca="false">1+IF($G$6=$E$6,$F$6,IF(P635&lt;($F$6-$E$6)/($G$6-$E$6),$E$6+SQRT(P635*($G$6-$E$6)*($F$6-$E$6)),$G$6-SQRT((1-P635)*($G$6-$E$6)*($G$6-$F$6))))</f>
        <v>1.0079136010508</v>
      </c>
      <c r="C635" s="51" t="n">
        <f aca="false">1+IF($G$7=$E$7,$F$7,IF(Q635&lt;($F$7-$E$7)/($G$7-$E$7),$E$7+SQRT(Q635*($G$7-$E$7)*($F$7-$E$7)),$G$7-SQRT((1-Q635)*($G$7-$E$7)*($G$7-$F$7))))</f>
        <v>1.06749586261753</v>
      </c>
      <c r="D635" s="51" t="n">
        <f aca="false">1+IF($G$8=$E$8,$F$8,IF(R635&lt;($F$8-$E$8)/($G$8-$E$8),$E$8+SQRT(R635*($G$8-$E$8)*($F$8-$E$8)),$G$8-SQRT((1-R635)*($G$8-$E$8)*($G$8-$F$8))))</f>
        <v>1.00573209888254</v>
      </c>
      <c r="E635" s="51" t="n">
        <f aca="false">1+IF($G$9=$E$9,$F$9,IF(S635&lt;($F$9-$E$9)/($G$9-$E$9),$E$9+SQRT(S635*($G$9-$E$9)*($F$9-$E$9)),$G$9-SQRT((1-S635)*($G$9-$E$9)*($G$9-$F$9))))</f>
        <v>0.999905235981857</v>
      </c>
      <c r="F635" s="51" t="n">
        <f aca="false">1+IF($G$10=$E$10,$F$10,IF(T635&lt;($F$10-$E$10)/($G$10-$E$10),$E$10+SQRT(T635*($G$10-$E$10)*($F$10-$E$10)),$G$10-SQRT((1-T635)*($G$10-$E$10)*($G$10-$F$10))))</f>
        <v>1.10543607677192</v>
      </c>
      <c r="G635" s="52" t="n">
        <f aca="false">IF($G$11=$E$11,$F$11,IF(U635&lt;($F$11-$E$11)/($G$11-$E$11),$E$11+SQRT(U635*($G$11-$E$11)*($F$11-$E$11)),$G$11-SQRT((1-U635)*($G$11-$E$11)*($G$11-$F$11))))</f>
        <v>0.0979287632888812</v>
      </c>
      <c r="H635" s="53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-2210872153.54384</v>
      </c>
      <c r="I635" s="53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23163310.8178448</v>
      </c>
      <c r="J635" s="53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354833670.041541</v>
      </c>
      <c r="K635" s="53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741775833.103833</v>
      </c>
      <c r="L635" s="53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889517230.293091</v>
      </c>
      <c r="M635" s="53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1094032589.59057</v>
      </c>
      <c r="N635" s="53" t="n">
        <f aca="false">IF(COUNT('Business Case'!B11:G11)=0,"",H635+NPV(G635,I635:M635))</f>
        <v>-37059499.8253136</v>
      </c>
      <c r="P635" s="54" t="n">
        <f aca="true">RAND()</f>
        <v>0.763831336465217</v>
      </c>
      <c r="Q635" s="54" t="n">
        <f aca="true">RAND()</f>
        <v>0.899156552811483</v>
      </c>
      <c r="R635" s="54" t="n">
        <f aca="true">RAND()</f>
        <v>0.407570854593863</v>
      </c>
      <c r="S635" s="54" t="n">
        <f aca="true">RAND()</f>
        <v>0.399242247063617</v>
      </c>
      <c r="T635" s="54" t="n">
        <f aca="true">RAND()</f>
        <v>0.721350294678739</v>
      </c>
      <c r="U635" s="54" t="n">
        <f aca="true">RAND()</f>
        <v>0.321440553068734</v>
      </c>
    </row>
    <row r="636" customFormat="false" ht="15" hidden="false" customHeight="false" outlineLevel="0" collapsed="false">
      <c r="A636" s="50" t="n">
        <v>556</v>
      </c>
      <c r="B636" s="51" t="n">
        <f aca="false">1+IF($G$6=$E$6,$F$6,IF(P636&lt;($F$6-$E$6)/($G$6-$E$6),$E$6+SQRT(P636*($G$6-$E$6)*($F$6-$E$6)),$G$6-SQRT((1-P636)*($G$6-$E$6)*($G$6-$F$6))))</f>
        <v>1.02505636085573</v>
      </c>
      <c r="C636" s="51" t="n">
        <f aca="false">1+IF($G$7=$E$7,$F$7,IF(Q636&lt;($F$7-$E$7)/($G$7-$E$7),$E$7+SQRT(Q636*($G$7-$E$7)*($F$7-$E$7)),$G$7-SQRT((1-Q636)*($G$7-$E$7)*($G$7-$F$7))))</f>
        <v>1.00433502280629</v>
      </c>
      <c r="D636" s="51" t="n">
        <f aca="false">1+IF($G$8=$E$8,$F$8,IF(R636&lt;($F$8-$E$8)/($G$8-$E$8),$E$8+SQRT(R636*($G$8-$E$8)*($F$8-$E$8)),$G$8-SQRT((1-R636)*($G$8-$E$8)*($G$8-$F$8))))</f>
        <v>1.00352714413469</v>
      </c>
      <c r="E636" s="51" t="n">
        <f aca="false">1+IF($G$9=$E$9,$F$9,IF(S636&lt;($F$9-$E$9)/($G$9-$E$9),$E$9+SQRT(S636*($G$9-$E$9)*($F$9-$E$9)),$G$9-SQRT((1-S636)*($G$9-$E$9)*($G$9-$F$9))))</f>
        <v>1.01570936645315</v>
      </c>
      <c r="F636" s="51" t="n">
        <f aca="false">1+IF($G$10=$E$10,$F$10,IF(T636&lt;($F$10-$E$10)/($G$10-$E$10),$E$10+SQRT(T636*($G$10-$E$10)*($F$10-$E$10)),$G$10-SQRT((1-T636)*($G$10-$E$10)*($G$10-$F$10))))</f>
        <v>0.992765234592242</v>
      </c>
      <c r="G636" s="52" t="n">
        <f aca="false">IF($G$11=$E$11,$F$11,IF(U636&lt;($F$11-$E$11)/($G$11-$E$11),$E$11+SQRT(U636*($G$11-$E$11)*($F$11-$E$11)),$G$11-SQRT((1-U636)*($G$11-$E$11)*($G$11-$F$11))))</f>
        <v>0.118301845779349</v>
      </c>
      <c r="H636" s="53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-1985530469.18448</v>
      </c>
      <c r="I636" s="53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30202323.4754316</v>
      </c>
      <c r="J636" s="53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357484322.504161</v>
      </c>
      <c r="K636" s="53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734404583.262502</v>
      </c>
      <c r="L636" s="53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879078103.061701</v>
      </c>
      <c r="M636" s="53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1074765463.73796</v>
      </c>
      <c r="N636" s="53" t="n">
        <f aca="false">IF(COUNT('Business Case'!B11:G11)=0,"",H636+NPV(G636,I636:M636))</f>
        <v>29013294.2686229</v>
      </c>
      <c r="P636" s="54" t="n">
        <f aca="true">RAND()</f>
        <v>0.917041982165404</v>
      </c>
      <c r="Q636" s="54" t="n">
        <f aca="true">RAND()</f>
        <v>0.685655028431922</v>
      </c>
      <c r="R636" s="54" t="n">
        <f aca="true">RAND()</f>
        <v>0.37953253874609</v>
      </c>
      <c r="S636" s="54" t="n">
        <f aca="true">RAND()</f>
        <v>0.519094019775651</v>
      </c>
      <c r="T636" s="54" t="n">
        <f aca="true">RAND()</f>
        <v>0.121924352648636</v>
      </c>
      <c r="U636" s="54" t="n">
        <f aca="true">RAND()</f>
        <v>0.908768791886569</v>
      </c>
    </row>
    <row r="637" customFormat="false" ht="15" hidden="false" customHeight="false" outlineLevel="0" collapsed="false">
      <c r="A637" s="50" t="n">
        <v>557</v>
      </c>
      <c r="B637" s="51" t="n">
        <f aca="false">1+IF($G$6=$E$6,$F$6,IF(P637&lt;($F$6-$E$6)/($G$6-$E$6),$E$6+SQRT(P637*($G$6-$E$6)*($F$6-$E$6)),$G$6-SQRT((1-P637)*($G$6-$E$6)*($G$6-$F$6))))</f>
        <v>0.999767434101672</v>
      </c>
      <c r="C637" s="51" t="n">
        <f aca="false">1+IF($G$7=$E$7,$F$7,IF(Q637&lt;($F$7-$E$7)/($G$7-$E$7),$E$7+SQRT(Q637*($G$7-$E$7)*($F$7-$E$7)),$G$7-SQRT((1-Q637)*($G$7-$E$7)*($G$7-$F$7))))</f>
        <v>1.00889008294967</v>
      </c>
      <c r="D637" s="51" t="n">
        <f aca="false">1+IF($G$8=$E$8,$F$8,IF(R637&lt;($F$8-$E$8)/($G$8-$E$8),$E$8+SQRT(R637*($G$8-$E$8)*($F$8-$E$8)),$G$8-SQRT((1-R637)*($G$8-$E$8)*($G$8-$F$8))))</f>
        <v>1.03047748008872</v>
      </c>
      <c r="E637" s="51" t="n">
        <f aca="false">1+IF($G$9=$E$9,$F$9,IF(S637&lt;($F$9-$E$9)/($G$9-$E$9),$E$9+SQRT(S637*($G$9-$E$9)*($F$9-$E$9)),$G$9-SQRT((1-S637)*($G$9-$E$9)*($G$9-$F$9))))</f>
        <v>1.08157975552589</v>
      </c>
      <c r="F637" s="51" t="n">
        <f aca="false">1+IF($G$10=$E$10,$F$10,IF(T637&lt;($F$10-$E$10)/($G$10-$E$10),$E$10+SQRT(T637*($G$10-$E$10)*($F$10-$E$10)),$G$10-SQRT((1-T637)*($G$10-$E$10)*($G$10-$F$10))))</f>
        <v>1.01161525852495</v>
      </c>
      <c r="G637" s="52" t="n">
        <f aca="false">IF($G$11=$E$11,$F$11,IF(U637&lt;($F$11-$E$11)/($G$11-$E$11),$E$11+SQRT(U637*($G$11-$E$11)*($F$11-$E$11)),$G$11-SQRT((1-U637)*($G$11-$E$11)*($G$11-$F$11))))</f>
        <v>0.111073196743423</v>
      </c>
      <c r="H637" s="53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-2023230517.0499</v>
      </c>
      <c r="I637" s="53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-13301175.4669981</v>
      </c>
      <c r="J637" s="53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280648514.65746</v>
      </c>
      <c r="K637" s="53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625178967.708167</v>
      </c>
      <c r="L637" s="53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758021330.085106</v>
      </c>
      <c r="M637" s="53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949746557.930098</v>
      </c>
      <c r="N637" s="53" t="n">
        <f aca="false">IF(COUNT('Business Case'!B11:G11)=0,"",H637+NPV(G637,I637:M637))</f>
        <v>-293741824.871254</v>
      </c>
      <c r="P637" s="54" t="n">
        <f aca="true">RAND()</f>
        <v>0.663569393815423</v>
      </c>
      <c r="Q637" s="54" t="n">
        <f aca="true">RAND()</f>
        <v>0.705007278667389</v>
      </c>
      <c r="R637" s="54" t="n">
        <f aca="true">RAND()</f>
        <v>0.677774615012355</v>
      </c>
      <c r="S637" s="54" t="n">
        <f aca="true">RAND()</f>
        <v>0.875164537229431</v>
      </c>
      <c r="T637" s="54" t="n">
        <f aca="true">RAND()</f>
        <v>0.242302867091639</v>
      </c>
      <c r="U637" s="54" t="n">
        <f aca="true">RAND()</f>
        <v>0.761184078991214</v>
      </c>
    </row>
    <row r="638" customFormat="false" ht="15" hidden="false" customHeight="false" outlineLevel="0" collapsed="false">
      <c r="A638" s="50" t="n">
        <v>558</v>
      </c>
      <c r="B638" s="51" t="n">
        <f aca="false">1+IF($G$6=$E$6,$F$6,IF(P638&lt;($F$6-$E$6)/($G$6-$E$6),$E$6+SQRT(P638*($G$6-$E$6)*($F$6-$E$6)),$G$6-SQRT((1-P638)*($G$6-$E$6)*($G$6-$F$6))))</f>
        <v>0.967561164255766</v>
      </c>
      <c r="C638" s="51" t="n">
        <f aca="false">1+IF($G$7=$E$7,$F$7,IF(Q638&lt;($F$7-$E$7)/($G$7-$E$7),$E$7+SQRT(Q638*($G$7-$E$7)*($F$7-$E$7)),$G$7-SQRT((1-Q638)*($G$7-$E$7)*($G$7-$F$7))))</f>
        <v>1.04435026221737</v>
      </c>
      <c r="D638" s="51" t="n">
        <f aca="false">1+IF($G$8=$E$8,$F$8,IF(R638&lt;($F$8-$E$8)/($G$8-$E$8),$E$8+SQRT(R638*($G$8-$E$8)*($F$8-$E$8)),$G$8-SQRT((1-R638)*($G$8-$E$8)*($G$8-$F$8))))</f>
        <v>1.02035771343837</v>
      </c>
      <c r="E638" s="51" t="n">
        <f aca="false">1+IF($G$9=$E$9,$F$9,IF(S638&lt;($F$9-$E$9)/($G$9-$E$9),$E$9+SQRT(S638*($G$9-$E$9)*($F$9-$E$9)),$G$9-SQRT((1-S638)*($G$9-$E$9)*($G$9-$F$9))))</f>
        <v>1.10730352405914</v>
      </c>
      <c r="F638" s="51" t="n">
        <f aca="false">1+IF($G$10=$E$10,$F$10,IF(T638&lt;($F$10-$E$10)/($G$10-$E$10),$E$10+SQRT(T638*($G$10-$E$10)*($F$10-$E$10)),$G$10-SQRT((1-T638)*($G$10-$E$10)*($G$10-$F$10))))</f>
        <v>0.998001675478203</v>
      </c>
      <c r="G638" s="52" t="n">
        <f aca="false">IF($G$11=$E$11,$F$11,IF(U638&lt;($F$11-$E$11)/($G$11-$E$11),$E$11+SQRT(U638*($G$11-$E$11)*($F$11-$E$11)),$G$11-SQRT((1-U638)*($G$11-$E$11)*($G$11-$F$11))))</f>
        <v>0.0900208644603887</v>
      </c>
      <c r="H638" s="53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-1996003350.95641</v>
      </c>
      <c r="I638" s="53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-27499199.5149201</v>
      </c>
      <c r="J638" s="53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254643237.28959</v>
      </c>
      <c r="K638" s="53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586685757.868011</v>
      </c>
      <c r="L638" s="53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715655175.236447</v>
      </c>
      <c r="M638" s="53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907725836.621248</v>
      </c>
      <c r="N638" s="53" t="n">
        <f aca="false">IF(COUNT('Business Case'!B11:G11)=0,"",H638+NPV(G638,I638:M638))</f>
        <v>-257056139.817678</v>
      </c>
      <c r="P638" s="54" t="n">
        <f aca="true">RAND()</f>
        <v>0.304300727706304</v>
      </c>
      <c r="Q638" s="54" t="n">
        <f aca="true">RAND()</f>
        <v>0.83463900602166</v>
      </c>
      <c r="R638" s="54" t="n">
        <f aca="true">RAND()</f>
        <v>0.577140412749025</v>
      </c>
      <c r="S638" s="54" t="n">
        <f aca="true">RAND()</f>
        <v>0.951386958459512</v>
      </c>
      <c r="T638" s="54" t="n">
        <f aca="true">RAND()</f>
        <v>0.153610723247645</v>
      </c>
      <c r="U638" s="54" t="n">
        <f aca="true">RAND()</f>
        <v>0.10041772453348</v>
      </c>
    </row>
    <row r="639" customFormat="false" ht="15" hidden="false" customHeight="false" outlineLevel="0" collapsed="false">
      <c r="A639" s="50" t="n">
        <v>559</v>
      </c>
      <c r="B639" s="51" t="n">
        <f aca="false">1+IF($G$6=$E$6,$F$6,IF(P639&lt;($F$6-$E$6)/($G$6-$E$6),$E$6+SQRT(P639*($G$6-$E$6)*($F$6-$E$6)),$G$6-SQRT((1-P639)*($G$6-$E$6)*($G$6-$F$6))))</f>
        <v>0.965108221990609</v>
      </c>
      <c r="C639" s="51" t="n">
        <f aca="false">1+IF($G$7=$E$7,$F$7,IF(Q639&lt;($F$7-$E$7)/($G$7-$E$7),$E$7+SQRT(Q639*($G$7-$E$7)*($F$7-$E$7)),$G$7-SQRT((1-Q639)*($G$7-$E$7)*($G$7-$F$7))))</f>
        <v>1.12231718856246</v>
      </c>
      <c r="D639" s="51" t="n">
        <f aca="false">1+IF($G$8=$E$8,$F$8,IF(R639&lt;($F$8-$E$8)/($G$8-$E$8),$E$8+SQRT(R639*($G$8-$E$8)*($F$8-$E$8)),$G$8-SQRT((1-R639)*($G$8-$E$8)*($G$8-$F$8))))</f>
        <v>1.0023199960786</v>
      </c>
      <c r="E639" s="51" t="n">
        <f aca="false">1+IF($G$9=$E$9,$F$9,IF(S639&lt;($F$9-$E$9)/($G$9-$E$9),$E$9+SQRT(S639*($G$9-$E$9)*($F$9-$E$9)),$G$9-SQRT((1-S639)*($G$9-$E$9)*($G$9-$F$9))))</f>
        <v>0.967316459641725</v>
      </c>
      <c r="F639" s="51" t="n">
        <f aca="false">1+IF($G$10=$E$10,$F$10,IF(T639&lt;($F$10-$E$10)/($G$10-$E$10),$E$10+SQRT(T639*($G$10-$E$10)*($F$10-$E$10)),$G$10-SQRT((1-T639)*($G$10-$E$10)*($G$10-$F$10))))</f>
        <v>1.00014368735402</v>
      </c>
      <c r="G639" s="52" t="n">
        <f aca="false">IF($G$11=$E$11,$F$11,IF(U639&lt;($F$11-$E$11)/($G$11-$E$11),$E$11+SQRT(U639*($G$11-$E$11)*($F$11-$E$11)),$G$11-SQRT((1-U639)*($G$11-$E$11)*($G$11-$F$11))))</f>
        <v>0.0966001725575374</v>
      </c>
      <c r="H639" s="53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-2000287374.70805</v>
      </c>
      <c r="I639" s="53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17596823.4516312</v>
      </c>
      <c r="J639" s="53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328911303.403177</v>
      </c>
      <c r="K639" s="53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690232967.722423</v>
      </c>
      <c r="L639" s="53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831438385.84191</v>
      </c>
      <c r="M639" s="53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1037324972.25459</v>
      </c>
      <c r="N639" s="53" t="n">
        <f aca="false">IF(COUNT('Business Case'!B11:G11)=0,"",H639+NPV(G639,I639:M639))</f>
        <v>41798354.4473927</v>
      </c>
      <c r="P639" s="54" t="n">
        <f aca="true">RAND()</f>
        <v>0.282605371385232</v>
      </c>
      <c r="Q639" s="54" t="n">
        <f aca="true">RAND()</f>
        <v>0.988646843717235</v>
      </c>
      <c r="R639" s="54" t="n">
        <f aca="true">RAND()</f>
        <v>0.363907788927744</v>
      </c>
      <c r="S639" s="54" t="n">
        <f aca="true">RAND()</f>
        <v>0.181260229547838</v>
      </c>
      <c r="T639" s="54" t="n">
        <f aca="true">RAND()</f>
        <v>0.16762430707941</v>
      </c>
      <c r="U639" s="54" t="n">
        <f aca="true">RAND()</f>
        <v>0.275565728940017</v>
      </c>
    </row>
    <row r="640" customFormat="false" ht="15" hidden="false" customHeight="false" outlineLevel="0" collapsed="false">
      <c r="A640" s="50" t="n">
        <v>560</v>
      </c>
      <c r="B640" s="51" t="n">
        <f aca="false">1+IF($G$6=$E$6,$F$6,IF(P640&lt;($F$6-$E$6)/($G$6-$E$6),$E$6+SQRT(P640*($G$6-$E$6)*($F$6-$E$6)),$G$6-SQRT((1-P640)*($G$6-$E$6)*($G$6-$F$6))))</f>
        <v>0.97240271059403</v>
      </c>
      <c r="C640" s="51" t="n">
        <f aca="false">1+IF($G$7=$E$7,$F$7,IF(Q640&lt;($F$7-$E$7)/($G$7-$E$7),$E$7+SQRT(Q640*($G$7-$E$7)*($F$7-$E$7)),$G$7-SQRT((1-Q640)*($G$7-$E$7)*($G$7-$F$7))))</f>
        <v>1.04914178430781</v>
      </c>
      <c r="D640" s="51" t="n">
        <f aca="false">1+IF($G$8=$E$8,$F$8,IF(R640&lt;($F$8-$E$8)/($G$8-$E$8),$E$8+SQRT(R640*($G$8-$E$8)*($F$8-$E$8)),$G$8-SQRT((1-R640)*($G$8-$E$8)*($G$8-$F$8))))</f>
        <v>1.02488771933523</v>
      </c>
      <c r="E640" s="51" t="n">
        <f aca="false">1+IF($G$9=$E$9,$F$9,IF(S640&lt;($F$9-$E$9)/($G$9-$E$9),$E$9+SQRT(S640*($G$9-$E$9)*($F$9-$E$9)),$G$9-SQRT((1-S640)*($G$9-$E$9)*($G$9-$F$9))))</f>
        <v>1.03720578333188</v>
      </c>
      <c r="F640" s="51" t="n">
        <f aca="false">1+IF($G$10=$E$10,$F$10,IF(T640&lt;($F$10-$E$10)/($G$10-$E$10),$E$10+SQRT(T640*($G$10-$E$10)*($F$10-$E$10)),$G$10-SQRT((1-T640)*($G$10-$E$10)*($G$10-$F$10))))</f>
        <v>1.09451297270849</v>
      </c>
      <c r="G640" s="52" t="n">
        <f aca="false">IF($G$11=$E$11,$F$11,IF(U640&lt;($F$11-$E$11)/($G$11-$E$11),$E$11+SQRT(U640*($G$11-$E$11)*($F$11-$E$11)),$G$11-SQRT((1-U640)*($G$11-$E$11)*($G$11-$F$11))))</f>
        <v>0.0913312489483683</v>
      </c>
      <c r="H640" s="53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-2189025945.41698</v>
      </c>
      <c r="I640" s="53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-24664113.9289828</v>
      </c>
      <c r="J640" s="53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260500294.044935</v>
      </c>
      <c r="K640" s="53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600390350.654277</v>
      </c>
      <c r="L640" s="53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730702861.473755</v>
      </c>
      <c r="M640" s="53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924620256.362035</v>
      </c>
      <c r="N640" s="53" t="n">
        <f aca="false">IF(COUNT('Business Case'!B11:G11)=0,"",H640+NPV(G640,I640:M640))</f>
        <v>-418575132.099238</v>
      </c>
      <c r="P640" s="54" t="n">
        <f aca="true">RAND()</f>
        <v>0.349476833424188</v>
      </c>
      <c r="Q640" s="54" t="n">
        <f aca="true">RAND()</f>
        <v>0.849298078924275</v>
      </c>
      <c r="R640" s="54" t="n">
        <f aca="true">RAND()</f>
        <v>0.623876352889132</v>
      </c>
      <c r="S640" s="54" t="n">
        <f aca="true">RAND()</f>
        <v>0.660732391632669</v>
      </c>
      <c r="T640" s="54" t="n">
        <f aca="true">RAND()</f>
        <v>0.677650457920666</v>
      </c>
      <c r="U640" s="54" t="n">
        <f aca="true">RAND()</f>
        <v>0.128397202729897</v>
      </c>
    </row>
    <row r="641" customFormat="false" ht="15" hidden="false" customHeight="false" outlineLevel="0" collapsed="false">
      <c r="A641" s="50" t="n">
        <v>561</v>
      </c>
      <c r="B641" s="51" t="n">
        <f aca="false">1+IF($G$6=$E$6,$F$6,IF(P641&lt;($F$6-$E$6)/($G$6-$E$6),$E$6+SQRT(P641*($G$6-$E$6)*($F$6-$E$6)),$G$6-SQRT((1-P641)*($G$6-$E$6)*($G$6-$F$6))))</f>
        <v>0.96972111582578</v>
      </c>
      <c r="C641" s="51" t="n">
        <f aca="false">1+IF($G$7=$E$7,$F$7,IF(Q641&lt;($F$7-$E$7)/($G$7-$E$7),$E$7+SQRT(Q641*($G$7-$E$7)*($F$7-$E$7)),$G$7-SQRT((1-Q641)*($G$7-$E$7)*($G$7-$F$7))))</f>
        <v>0.762743996322867</v>
      </c>
      <c r="D641" s="51" t="n">
        <f aca="false">1+IF($G$8=$E$8,$F$8,IF(R641&lt;($F$8-$E$8)/($G$8-$E$8),$E$8+SQRT(R641*($G$8-$E$8)*($F$8-$E$8)),$G$8-SQRT((1-R641)*($G$8-$E$8)*($G$8-$F$8))))</f>
        <v>1.0486325276045</v>
      </c>
      <c r="E641" s="51" t="n">
        <f aca="false">1+IF($G$9=$E$9,$F$9,IF(S641&lt;($F$9-$E$9)/($G$9-$E$9),$E$9+SQRT(S641*($G$9-$E$9)*($F$9-$E$9)),$G$9-SQRT((1-S641)*($G$9-$E$9)*($G$9-$F$9))))</f>
        <v>0.979661894952577</v>
      </c>
      <c r="F641" s="51" t="n">
        <f aca="false">1+IF($G$10=$E$10,$F$10,IF(T641&lt;($F$10-$E$10)/($G$10-$E$10),$E$10+SQRT(T641*($G$10-$E$10)*($F$10-$E$10)),$G$10-SQRT((1-T641)*($G$10-$E$10)*($G$10-$F$10))))</f>
        <v>0.982766811378298</v>
      </c>
      <c r="G641" s="52" t="n">
        <f aca="false">IF($G$11=$E$11,$F$11,IF(U641&lt;($F$11-$E$11)/($G$11-$E$11),$E$11+SQRT(U641*($G$11-$E$11)*($F$11-$E$11)),$G$11-SQRT((1-U641)*($G$11-$E$11)*($G$11-$F$11))))</f>
        <v>0.089107487166808</v>
      </c>
      <c r="H641" s="53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-1965533622.7566</v>
      </c>
      <c r="I641" s="53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-79555405.6461428</v>
      </c>
      <c r="J641" s="53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116817193.352917</v>
      </c>
      <c r="K641" s="53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362328132.920891</v>
      </c>
      <c r="L641" s="53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453347933.950654</v>
      </c>
      <c r="M641" s="53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593940408.116079</v>
      </c>
      <c r="N641" s="53" t="n">
        <f aca="false">IF(COUNT('Business Case'!B11:G11)=0,"",H641+NPV(G641,I641:M641))</f>
        <v>-949801965.240208</v>
      </c>
      <c r="P641" s="54" t="n">
        <f aca="true">RAND()</f>
        <v>0.324068932799457</v>
      </c>
      <c r="Q641" s="54" t="n">
        <f aca="true">RAND()</f>
        <v>0.0291615487004735</v>
      </c>
      <c r="R641" s="54" t="n">
        <f aca="true">RAND()</f>
        <v>0.824092185313199</v>
      </c>
      <c r="S641" s="54" t="n">
        <f aca="true">RAND()</f>
        <v>0.253840700297416</v>
      </c>
      <c r="T641" s="54" t="n">
        <f aca="true">RAND()</f>
        <v>0.0715775951933958</v>
      </c>
      <c r="U641" s="54" t="n">
        <f aca="true">RAND()</f>
        <v>0.0829463224935723</v>
      </c>
    </row>
    <row r="642" customFormat="false" ht="15" hidden="false" customHeight="false" outlineLevel="0" collapsed="false">
      <c r="A642" s="50" t="n">
        <v>562</v>
      </c>
      <c r="B642" s="51" t="n">
        <f aca="false">1+IF($G$6=$E$6,$F$6,IF(P642&lt;($F$6-$E$6)/($G$6-$E$6),$E$6+SQRT(P642*($G$6-$E$6)*($F$6-$E$6)),$G$6-SQRT((1-P642)*($G$6-$E$6)*($G$6-$F$6))))</f>
        <v>1.00022187187611</v>
      </c>
      <c r="C642" s="51" t="n">
        <f aca="false">1+IF($G$7=$E$7,$F$7,IF(Q642&lt;($F$7-$E$7)/($G$7-$E$7),$E$7+SQRT(Q642*($G$7-$E$7)*($F$7-$E$7)),$G$7-SQRT((1-Q642)*($G$7-$E$7)*($G$7-$F$7))))</f>
        <v>0.831589292313457</v>
      </c>
      <c r="D642" s="51" t="n">
        <f aca="false">1+IF($G$8=$E$8,$F$8,IF(R642&lt;($F$8-$E$8)/($G$8-$E$8),$E$8+SQRT(R642*($G$8-$E$8)*($F$8-$E$8)),$G$8-SQRT((1-R642)*($G$8-$E$8)*($G$8-$F$8))))</f>
        <v>0.964045324453358</v>
      </c>
      <c r="E642" s="51" t="n">
        <f aca="false">1+IF($G$9=$E$9,$F$9,IF(S642&lt;($F$9-$E$9)/($G$9-$E$9),$E$9+SQRT(S642*($G$9-$E$9)*($F$9-$E$9)),$G$9-SQRT((1-S642)*($G$9-$E$9)*($G$9-$F$9))))</f>
        <v>1.05297190591137</v>
      </c>
      <c r="F642" s="51" t="n">
        <f aca="false">1+IF($G$10=$E$10,$F$10,IF(T642&lt;($F$10-$E$10)/($G$10-$E$10),$E$10+SQRT(T642*($G$10-$E$10)*($F$10-$E$10)),$G$10-SQRT((1-T642)*($G$10-$E$10)*($G$10-$F$10))))</f>
        <v>0.970654704805766</v>
      </c>
      <c r="G642" s="52" t="n">
        <f aca="false">IF($G$11=$E$11,$F$11,IF(U642&lt;($F$11-$E$11)/($G$11-$E$11),$E$11+SQRT(U642*($G$11-$E$11)*($F$11-$E$11)),$G$11-SQRT((1-U642)*($G$11-$E$11)*($G$11-$F$11))))</f>
        <v>0.113114397481436</v>
      </c>
      <c r="H642" s="53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-1941309409.61153</v>
      </c>
      <c r="I642" s="53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-19035627.069498</v>
      </c>
      <c r="J642" s="53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251845975.081077</v>
      </c>
      <c r="K642" s="53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571260312.471941</v>
      </c>
      <c r="L642" s="53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690300282.334733</v>
      </c>
      <c r="M642" s="53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848403845.9707</v>
      </c>
      <c r="N642" s="53" t="n">
        <f aca="false">IF(COUNT('Business Case'!B11:G11)=0,"",H642+NPV(G642,I642:M642))</f>
        <v>-394808118.567971</v>
      </c>
      <c r="P642" s="54" t="n">
        <f aca="true">RAND()</f>
        <v>0.669618394730846</v>
      </c>
      <c r="Q642" s="54" t="n">
        <f aca="true">RAND()</f>
        <v>0.128264754455973</v>
      </c>
      <c r="R642" s="54" t="n">
        <f aca="true">RAND()</f>
        <v>0.0263028185333455</v>
      </c>
      <c r="S642" s="54" t="n">
        <f aca="true">RAND()</f>
        <v>0.748947972200735</v>
      </c>
      <c r="T642" s="54" t="n">
        <f aca="true">RAND()</f>
        <v>0.0284411220408885</v>
      </c>
      <c r="U642" s="54" t="n">
        <f aca="true">RAND()</f>
        <v>0.809917618390043</v>
      </c>
    </row>
    <row r="643" customFormat="false" ht="15" hidden="false" customHeight="false" outlineLevel="0" collapsed="false">
      <c r="A643" s="50" t="n">
        <v>563</v>
      </c>
      <c r="B643" s="51" t="n">
        <f aca="false">1+IF($G$6=$E$6,$F$6,IF(P643&lt;($F$6-$E$6)/($G$6-$E$6),$E$6+SQRT(P643*($G$6-$E$6)*($F$6-$E$6)),$G$6-SQRT((1-P643)*($G$6-$E$6)*($G$6-$F$6))))</f>
        <v>0.966285426363122</v>
      </c>
      <c r="C643" s="51" t="n">
        <f aca="false">1+IF($G$7=$E$7,$F$7,IF(Q643&lt;($F$7-$E$7)/($G$7-$E$7),$E$7+SQRT(Q643*($G$7-$E$7)*($F$7-$E$7)),$G$7-SQRT((1-Q643)*($G$7-$E$7)*($G$7-$F$7))))</f>
        <v>0.964110345174544</v>
      </c>
      <c r="D643" s="51" t="n">
        <f aca="false">1+IF($G$8=$E$8,$F$8,IF(R643&lt;($F$8-$E$8)/($G$8-$E$8),$E$8+SQRT(R643*($G$8-$E$8)*($F$8-$E$8)),$G$8-SQRT((1-R643)*($G$8-$E$8)*($G$8-$F$8))))</f>
        <v>1.09644022040267</v>
      </c>
      <c r="E643" s="51" t="n">
        <f aca="false">1+IF($G$9=$E$9,$F$9,IF(S643&lt;($F$9-$E$9)/($G$9-$E$9),$E$9+SQRT(S643*($G$9-$E$9)*($F$9-$E$9)),$G$9-SQRT((1-S643)*($G$9-$E$9)*($G$9-$F$9))))</f>
        <v>1.01075533478035</v>
      </c>
      <c r="F643" s="51" t="n">
        <f aca="false">1+IF($G$10=$E$10,$F$10,IF(T643&lt;($F$10-$E$10)/($G$10-$E$10),$E$10+SQRT(T643*($G$10-$E$10)*($F$10-$E$10)),$G$10-SQRT((1-T643)*($G$10-$E$10)*($G$10-$F$10))))</f>
        <v>1.19996099806613</v>
      </c>
      <c r="G643" s="52" t="n">
        <f aca="false">IF($G$11=$E$11,$F$11,IF(U643&lt;($F$11-$E$11)/($G$11-$E$11),$E$11+SQRT(U643*($G$11-$E$11)*($F$11-$E$11)),$G$11-SQRT((1-U643)*($G$11-$E$11)*($G$11-$F$11))))</f>
        <v>0.0989035962407925</v>
      </c>
      <c r="H643" s="53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-2399921996.13225</v>
      </c>
      <c r="I643" s="53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-90112930.5615349</v>
      </c>
      <c r="J643" s="53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131794090.714457</v>
      </c>
      <c r="K643" s="53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413699161.893755</v>
      </c>
      <c r="L643" s="53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519864464.602518</v>
      </c>
      <c r="M643" s="53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696944090.49473</v>
      </c>
      <c r="N643" s="53" t="n">
        <f aca="false">IF(COUNT('Business Case'!B11:G11)=0,"",H643+NPV(G643,I643:M643))</f>
        <v>-1269632633.27671</v>
      </c>
      <c r="P643" s="54" t="n">
        <f aca="true">RAND()</f>
        <v>0.292917183209394</v>
      </c>
      <c r="Q643" s="54" t="n">
        <f aca="true">RAND()</f>
        <v>0.516698329097903</v>
      </c>
      <c r="R643" s="54" t="n">
        <f aca="true">RAND()</f>
        <v>0.999155197947895</v>
      </c>
      <c r="S643" s="54" t="n">
        <f aca="true">RAND()</f>
        <v>0.482957952209787</v>
      </c>
      <c r="T643" s="54" t="n">
        <f aca="true">RAND()</f>
        <v>0.966614643806156</v>
      </c>
      <c r="U643" s="54" t="n">
        <f aca="true">RAND()</f>
        <v>0.357345950834905</v>
      </c>
    </row>
    <row r="644" customFormat="false" ht="15" hidden="false" customHeight="false" outlineLevel="0" collapsed="false">
      <c r="A644" s="50" t="n">
        <v>564</v>
      </c>
      <c r="B644" s="51" t="n">
        <f aca="false">1+IF($G$6=$E$6,$F$6,IF(P644&lt;($F$6-$E$6)/($G$6-$E$6),$E$6+SQRT(P644*($G$6-$E$6)*($F$6-$E$6)),$G$6-SQRT((1-P644)*($G$6-$E$6)*($G$6-$F$6))))</f>
        <v>1.04244184836271</v>
      </c>
      <c r="C644" s="51" t="n">
        <f aca="false">1+IF($G$7=$E$7,$F$7,IF(Q644&lt;($F$7-$E$7)/($G$7-$E$7),$E$7+SQRT(Q644*($G$7-$E$7)*($F$7-$E$7)),$G$7-SQRT((1-Q644)*($G$7-$E$7)*($G$7-$F$7))))</f>
        <v>0.908202041235948</v>
      </c>
      <c r="D644" s="51" t="n">
        <f aca="false">1+IF($G$8=$E$8,$F$8,IF(R644&lt;($F$8-$E$8)/($G$8-$E$8),$E$8+SQRT(R644*($G$8-$E$8)*($F$8-$E$8)),$G$8-SQRT((1-R644)*($G$8-$E$8)*($G$8-$F$8))))</f>
        <v>0.999768342829331</v>
      </c>
      <c r="E644" s="51" t="n">
        <f aca="false">1+IF($G$9=$E$9,$F$9,IF(S644&lt;($F$9-$E$9)/($G$9-$E$9),$E$9+SQRT(S644*($G$9-$E$9)*($F$9-$E$9)),$G$9-SQRT((1-S644)*($G$9-$E$9)*($G$9-$F$9))))</f>
        <v>1.05846430165443</v>
      </c>
      <c r="F644" s="51" t="n">
        <f aca="false">1+IF($G$10=$E$10,$F$10,IF(T644&lt;($F$10-$E$10)/($G$10-$E$10),$E$10+SQRT(T644*($G$10-$E$10)*($F$10-$E$10)),$G$10-SQRT((1-T644)*($G$10-$E$10)*($G$10-$F$10))))</f>
        <v>1.12387077708753</v>
      </c>
      <c r="G644" s="52" t="n">
        <f aca="false">IF($G$11=$E$11,$F$11,IF(U644&lt;($F$11-$E$11)/($G$11-$E$11),$E$11+SQRT(U644*($G$11-$E$11)*($F$11-$E$11)),$G$11-SQRT((1-U644)*($G$11-$E$11)*($G$11-$F$11))))</f>
        <v>0.101239757109158</v>
      </c>
      <c r="H644" s="53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-2247741554.17506</v>
      </c>
      <c r="I644" s="53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-1344567.47406138</v>
      </c>
      <c r="J644" s="53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309290973.162307</v>
      </c>
      <c r="K644" s="53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676120052.653052</v>
      </c>
      <c r="L644" s="53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812384837.336119</v>
      </c>
      <c r="M644" s="53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992342661.926312</v>
      </c>
      <c r="N644" s="53" t="n">
        <f aca="false">IF(COUNT('Business Case'!B11:G11)=0,"",H644+NPV(G644,I644:M644))</f>
        <v>-322578523.337493</v>
      </c>
      <c r="P644" s="54" t="n">
        <f aca="true">RAND()</f>
        <v>0.99238324584369</v>
      </c>
      <c r="Q644" s="54" t="n">
        <f aca="true">RAND()</f>
        <v>0.321096962776411</v>
      </c>
      <c r="R644" s="54" t="n">
        <f aca="true">RAND()</f>
        <v>0.33025172639704</v>
      </c>
      <c r="S644" s="54" t="n">
        <f aca="true">RAND()</f>
        <v>0.776565758090384</v>
      </c>
      <c r="T644" s="54" t="n">
        <f aca="true">RAND()</f>
        <v>0.787885588366616</v>
      </c>
      <c r="U644" s="54" t="n">
        <f aca="true">RAND()</f>
        <v>0.448565619239848</v>
      </c>
    </row>
    <row r="645" customFormat="false" ht="15" hidden="false" customHeight="false" outlineLevel="0" collapsed="false">
      <c r="A645" s="50" t="n">
        <v>565</v>
      </c>
      <c r="B645" s="51" t="n">
        <f aca="false">1+IF($G$6=$E$6,$F$6,IF(P645&lt;($F$6-$E$6)/($G$6-$E$6),$E$6+SQRT(P645*($G$6-$E$6)*($F$6-$E$6)),$G$6-SQRT((1-P645)*($G$6-$E$6)*($G$6-$F$6))))</f>
        <v>1.00839129771981</v>
      </c>
      <c r="C645" s="51" t="n">
        <f aca="false">1+IF($G$7=$E$7,$F$7,IF(Q645&lt;($F$7-$E$7)/($G$7-$E$7),$E$7+SQRT(Q645*($G$7-$E$7)*($F$7-$E$7)),$G$7-SQRT((1-Q645)*($G$7-$E$7)*($G$7-$F$7))))</f>
        <v>0.930535392018643</v>
      </c>
      <c r="D645" s="51" t="n">
        <f aca="false">1+IF($G$8=$E$8,$F$8,IF(R645&lt;($F$8-$E$8)/($G$8-$E$8),$E$8+SQRT(R645*($G$8-$E$8)*($F$8-$E$8)),$G$8-SQRT((1-R645)*($G$8-$E$8)*($G$8-$F$8))))</f>
        <v>1.08262044759355</v>
      </c>
      <c r="E645" s="51" t="n">
        <f aca="false">1+IF($G$9=$E$9,$F$9,IF(S645&lt;($F$9-$E$9)/($G$9-$E$9),$E$9+SQRT(S645*($G$9-$E$9)*($F$9-$E$9)),$G$9-SQRT((1-S645)*($G$9-$E$9)*($G$9-$F$9))))</f>
        <v>1.06946232517033</v>
      </c>
      <c r="F645" s="51" t="n">
        <f aca="false">1+IF($G$10=$E$10,$F$10,IF(T645&lt;($F$10-$E$10)/($G$10-$E$10),$E$10+SQRT(T645*($G$10-$E$10)*($F$10-$E$10)),$G$10-SQRT((1-T645)*($G$10-$E$10)*($G$10-$F$10))))</f>
        <v>0.99634326275703</v>
      </c>
      <c r="G645" s="52" t="n">
        <f aca="false">IF($G$11=$E$11,$F$11,IF(U645&lt;($F$11-$E$11)/($G$11-$E$11),$E$11+SQRT(U645*($G$11-$E$11)*($F$11-$E$11)),$G$11-SQRT((1-U645)*($G$11-$E$11)*($G$11-$F$11))))</f>
        <v>0.0927964044626546</v>
      </c>
      <c r="H645" s="53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-1992686525.51406</v>
      </c>
      <c r="I645" s="53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-47501212.7346583</v>
      </c>
      <c r="J645" s="53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205353185.59862</v>
      </c>
      <c r="K645" s="53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508024747.069749</v>
      </c>
      <c r="L645" s="53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624738707.949517</v>
      </c>
      <c r="M645" s="53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803099095.843899</v>
      </c>
      <c r="N645" s="53" t="n">
        <f aca="false">IF(COUNT('Business Case'!B11:G11)=0,"",H645+NPV(G645,I645:M645))</f>
        <v>-521528470.048172</v>
      </c>
      <c r="P645" s="54" t="n">
        <f aca="true">RAND()</f>
        <v>0.769162119274422</v>
      </c>
      <c r="Q645" s="54" t="n">
        <f aca="true">RAND()</f>
        <v>0.393678273875477</v>
      </c>
      <c r="R645" s="54" t="n">
        <f aca="true">RAND()</f>
        <v>0.979863410543426</v>
      </c>
      <c r="S645" s="54" t="n">
        <f aca="true">RAND()</f>
        <v>0.827031544880789</v>
      </c>
      <c r="T645" s="54" t="n">
        <f aca="true">RAND()</f>
        <v>0.143179866864474</v>
      </c>
      <c r="U645" s="54" t="n">
        <f aca="true">RAND()</f>
        <v>0.163747967171847</v>
      </c>
    </row>
    <row r="646" customFormat="false" ht="15" hidden="false" customHeight="false" outlineLevel="0" collapsed="false">
      <c r="A646" s="50" t="n">
        <v>566</v>
      </c>
      <c r="B646" s="51" t="n">
        <f aca="false">1+IF($G$6=$E$6,$F$6,IF(P646&lt;($F$6-$E$6)/($G$6-$E$6),$E$6+SQRT(P646*($G$6-$E$6)*($F$6-$E$6)),$G$6-SQRT((1-P646)*($G$6-$E$6)*($G$6-$F$6))))</f>
        <v>0.97307345036389</v>
      </c>
      <c r="C646" s="51" t="n">
        <f aca="false">1+IF($G$7=$E$7,$F$7,IF(Q646&lt;($F$7-$E$7)/($G$7-$E$7),$E$7+SQRT(Q646*($G$7-$E$7)*($F$7-$E$7)),$G$7-SQRT((1-Q646)*($G$7-$E$7)*($G$7-$F$7))))</f>
        <v>0.828778810092163</v>
      </c>
      <c r="D646" s="51" t="n">
        <f aca="false">1+IF($G$8=$E$8,$F$8,IF(R646&lt;($F$8-$E$8)/($G$8-$E$8),$E$8+SQRT(R646*($G$8-$E$8)*($F$8-$E$8)),$G$8-SQRT((1-R646)*($G$8-$E$8)*($G$8-$F$8))))</f>
        <v>0.997278215754603</v>
      </c>
      <c r="E646" s="51" t="n">
        <f aca="false">1+IF($G$9=$E$9,$F$9,IF(S646&lt;($F$9-$E$9)/($G$9-$E$9),$E$9+SQRT(S646*($G$9-$E$9)*($F$9-$E$9)),$G$9-SQRT((1-S646)*($G$9-$E$9)*($G$9-$F$9))))</f>
        <v>1.04176081369082</v>
      </c>
      <c r="F646" s="51" t="n">
        <f aca="false">1+IF($G$10=$E$10,$F$10,IF(T646&lt;($F$10-$E$10)/($G$10-$E$10),$E$10+SQRT(T646*($G$10-$E$10)*($F$10-$E$10)),$G$10-SQRT((1-T646)*($G$10-$E$10)*($G$10-$F$10))))</f>
        <v>1.13537824786279</v>
      </c>
      <c r="G646" s="52" t="n">
        <f aca="false">IF($G$11=$E$11,$F$11,IF(U646&lt;($F$11-$E$11)/($G$11-$E$11),$E$11+SQRT(U646*($G$11-$E$11)*($F$11-$E$11)),$G$11-SQRT((1-U646)*($G$11-$E$11)*($G$11-$F$11))))</f>
        <v>0.112693436590917</v>
      </c>
      <c r="H646" s="53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-2270756495.72557</v>
      </c>
      <c r="I646" s="53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-66045937.0392147</v>
      </c>
      <c r="J646" s="53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171391362.518565</v>
      </c>
      <c r="K646" s="53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465597574.469484</v>
      </c>
      <c r="L646" s="53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572614690.391331</v>
      </c>
      <c r="M646" s="53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725907112.10556</v>
      </c>
      <c r="N646" s="53" t="n">
        <f aca="false">IF(COUNT('Business Case'!B11:G11)=0,"",H646+NPV(G646,I646:M646))</f>
        <v>-1054544438.86485</v>
      </c>
      <c r="P646" s="54" t="n">
        <f aca="true">RAND()</f>
        <v>0.355981943205589</v>
      </c>
      <c r="Q646" s="54" t="n">
        <f aca="true">RAND()</f>
        <v>0.122844310583359</v>
      </c>
      <c r="R646" s="54" t="n">
        <f aca="true">RAND()</f>
        <v>0.298030624658504</v>
      </c>
      <c r="S646" s="54" t="n">
        <f aca="true">RAND()</f>
        <v>0.68758076125673</v>
      </c>
      <c r="T646" s="54" t="n">
        <f aca="true">RAND()</f>
        <v>0.824824719159932</v>
      </c>
      <c r="U646" s="54" t="n">
        <f aca="true">RAND()</f>
        <v>0.800321908644926</v>
      </c>
    </row>
    <row r="647" customFormat="false" ht="15" hidden="false" customHeight="false" outlineLevel="0" collapsed="false">
      <c r="A647" s="50" t="n">
        <v>567</v>
      </c>
      <c r="B647" s="51" t="n">
        <f aca="false">1+IF($G$6=$E$6,$F$6,IF(P647&lt;($F$6-$E$6)/($G$6-$E$6),$E$6+SQRT(P647*($G$6-$E$6)*($F$6-$E$6)),$G$6-SQRT((1-P647)*($G$6-$E$6)*($G$6-$F$6))))</f>
        <v>0.979538235694101</v>
      </c>
      <c r="C647" s="51" t="n">
        <f aca="false">1+IF($G$7=$E$7,$F$7,IF(Q647&lt;($F$7-$E$7)/($G$7-$E$7),$E$7+SQRT(Q647*($G$7-$E$7)*($F$7-$E$7)),$G$7-SQRT((1-Q647)*($G$7-$E$7)*($G$7-$F$7))))</f>
        <v>1.06874703597888</v>
      </c>
      <c r="D647" s="51" t="n">
        <f aca="false">1+IF($G$8=$E$8,$F$8,IF(R647&lt;($F$8-$E$8)/($G$8-$E$8),$E$8+SQRT(R647*($G$8-$E$8)*($F$8-$E$8)),$G$8-SQRT((1-R647)*($G$8-$E$8)*($G$8-$F$8))))</f>
        <v>1.02949016053536</v>
      </c>
      <c r="E647" s="51" t="n">
        <f aca="false">1+IF($G$9=$E$9,$F$9,IF(S647&lt;($F$9-$E$9)/($G$9-$E$9),$E$9+SQRT(S647*($G$9-$E$9)*($F$9-$E$9)),$G$9-SQRT((1-S647)*($G$9-$E$9)*($G$9-$F$9))))</f>
        <v>1.00271256499107</v>
      </c>
      <c r="F647" s="51" t="n">
        <f aca="false">1+IF($G$10=$E$10,$F$10,IF(T647&lt;($F$10-$E$10)/($G$10-$E$10),$E$10+SQRT(T647*($G$10-$E$10)*($F$10-$E$10)),$G$10-SQRT((1-T647)*($G$10-$E$10)*($G$10-$F$10))))</f>
        <v>0.994273158429264</v>
      </c>
      <c r="G647" s="52" t="n">
        <f aca="false">IF($G$11=$E$11,$F$11,IF(U647&lt;($F$11-$E$11)/($G$11-$E$11),$E$11+SQRT(U647*($G$11-$E$11)*($F$11-$E$11)),$G$11-SQRT((1-U647)*($G$11-$E$11)*($G$11-$F$11))))</f>
        <v>0.106074745693568</v>
      </c>
      <c r="H647" s="53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-1988546316.85853</v>
      </c>
      <c r="I647" s="53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-2061723.61860009</v>
      </c>
      <c r="J647" s="53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292159781.247047</v>
      </c>
      <c r="K647" s="53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636094944.034157</v>
      </c>
      <c r="L647" s="53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770348902.922433</v>
      </c>
      <c r="M647" s="53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969339584.554265</v>
      </c>
      <c r="N647" s="53" t="n">
        <f aca="false">IF(COUNT('Business Case'!B11:G11)=0,"",H647+NPV(G647,I647:M647))</f>
        <v>-181293918.971134</v>
      </c>
      <c r="P647" s="54" t="n">
        <f aca="true">RAND()</f>
        <v>0.421755395822024</v>
      </c>
      <c r="Q647" s="54" t="n">
        <f aca="true">RAND()</f>
        <v>0.902191938337516</v>
      </c>
      <c r="R647" s="54" t="n">
        <f aca="true">RAND()</f>
        <v>0.668557502578077</v>
      </c>
      <c r="S647" s="54" t="n">
        <f aca="true">RAND()</f>
        <v>0.421504306359737</v>
      </c>
      <c r="T647" s="54" t="n">
        <f aca="true">RAND()</f>
        <v>0.130674170486845</v>
      </c>
      <c r="U647" s="54" t="n">
        <f aca="true">RAND()</f>
        <v>0.618388137581694</v>
      </c>
    </row>
    <row r="648" customFormat="false" ht="15" hidden="false" customHeight="false" outlineLevel="0" collapsed="false">
      <c r="A648" s="50" t="n">
        <v>568</v>
      </c>
      <c r="B648" s="51" t="n">
        <f aca="false">1+IF($G$6=$E$6,$F$6,IF(P648&lt;($F$6-$E$6)/($G$6-$E$6),$E$6+SQRT(P648*($G$6-$E$6)*($F$6-$E$6)),$G$6-SQRT((1-P648)*($G$6-$E$6)*($G$6-$F$6))))</f>
        <v>1.01830641187565</v>
      </c>
      <c r="C648" s="51" t="n">
        <f aca="false">1+IF($G$7=$E$7,$F$7,IF(Q648&lt;($F$7-$E$7)/($G$7-$E$7),$E$7+SQRT(Q648*($G$7-$E$7)*($F$7-$E$7)),$G$7-SQRT((1-Q648)*($G$7-$E$7)*($G$7-$F$7))))</f>
        <v>0.980230496252068</v>
      </c>
      <c r="D648" s="51" t="n">
        <f aca="false">1+IF($G$8=$E$8,$F$8,IF(R648&lt;($F$8-$E$8)/($G$8-$E$8),$E$8+SQRT(R648*($G$8-$E$8)*($F$8-$E$8)),$G$8-SQRT((1-R648)*($G$8-$E$8)*($G$8-$F$8))))</f>
        <v>0.976698495867375</v>
      </c>
      <c r="E648" s="51" t="n">
        <f aca="false">1+IF($G$9=$E$9,$F$9,IF(S648&lt;($F$9-$E$9)/($G$9-$E$9),$E$9+SQRT(S648*($G$9-$E$9)*($F$9-$E$9)),$G$9-SQRT((1-S648)*($G$9-$E$9)*($G$9-$F$9))))</f>
        <v>1.00703525889154</v>
      </c>
      <c r="F648" s="51" t="n">
        <f aca="false">1+IF($G$10=$E$10,$F$10,IF(T648&lt;($F$10-$E$10)/($G$10-$E$10),$E$10+SQRT(T648*($G$10-$E$10)*($F$10-$E$10)),$G$10-SQRT((1-T648)*($G$10-$E$10)*($G$10-$F$10))))</f>
        <v>1.01730474462166</v>
      </c>
      <c r="G648" s="52" t="n">
        <f aca="false">IF($G$11=$E$11,$F$11,IF(U648&lt;($F$11-$E$11)/($G$11-$E$11),$E$11+SQRT(U648*($G$11-$E$11)*($F$11-$E$11)),$G$11-SQRT((1-U648)*($G$11-$E$11)*($G$11-$F$11))))</f>
        <v>0.0951105696089337</v>
      </c>
      <c r="H648" s="53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-2034609489.24332</v>
      </c>
      <c r="I648" s="53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30794002.6113492</v>
      </c>
      <c r="J648" s="53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358264285.470705</v>
      </c>
      <c r="K648" s="53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736599805.561145</v>
      </c>
      <c r="L648" s="53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880253494.495239</v>
      </c>
      <c r="M648" s="53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1069986598.39061</v>
      </c>
      <c r="N648" s="53" t="n">
        <f aca="false">IF(COUNT('Business Case'!B11:G11)=0,"",H648+NPV(G648,I648:M648))</f>
        <v>144486706.84012</v>
      </c>
      <c r="P648" s="54" t="n">
        <f aca="true">RAND()</f>
        <v>0.866068862907226</v>
      </c>
      <c r="Q648" s="54" t="n">
        <f aca="true">RAND()</f>
        <v>0.581697266886519</v>
      </c>
      <c r="R648" s="54" t="n">
        <f aca="true">RAND()</f>
        <v>0.0950412908773621</v>
      </c>
      <c r="S648" s="54" t="n">
        <f aca="true">RAND()</f>
        <v>0.454962207994436</v>
      </c>
      <c r="T648" s="54" t="n">
        <f aca="true">RAND()</f>
        <v>0.278038908325464</v>
      </c>
      <c r="U648" s="54" t="n">
        <f aca="true">RAND()</f>
        <v>0.228329313906429</v>
      </c>
    </row>
    <row r="649" customFormat="false" ht="15" hidden="false" customHeight="false" outlineLevel="0" collapsed="false">
      <c r="A649" s="50" t="n">
        <v>569</v>
      </c>
      <c r="B649" s="51" t="n">
        <f aca="false">1+IF($G$6=$E$6,$F$6,IF(P649&lt;($F$6-$E$6)/($G$6-$E$6),$E$6+SQRT(P649*($G$6-$E$6)*($F$6-$E$6)),$G$6-SQRT((1-P649)*($G$6-$E$6)*($G$6-$F$6))))</f>
        <v>1.03111210364034</v>
      </c>
      <c r="C649" s="51" t="n">
        <f aca="false">1+IF($G$7=$E$7,$F$7,IF(Q649&lt;($F$7-$E$7)/($G$7-$E$7),$E$7+SQRT(Q649*($G$7-$E$7)*($F$7-$E$7)),$G$7-SQRT((1-Q649)*($G$7-$E$7)*($G$7-$F$7))))</f>
        <v>0.929890665004888</v>
      </c>
      <c r="D649" s="51" t="n">
        <f aca="false">1+IF($G$8=$E$8,$F$8,IF(R649&lt;($F$8-$E$8)/($G$8-$E$8),$E$8+SQRT(R649*($G$8-$E$8)*($F$8-$E$8)),$G$8-SQRT((1-R649)*($G$8-$E$8)*($G$8-$F$8))))</f>
        <v>0.981600920624813</v>
      </c>
      <c r="E649" s="51" t="n">
        <f aca="false">1+IF($G$9=$E$9,$F$9,IF(S649&lt;($F$9-$E$9)/($G$9-$E$9),$E$9+SQRT(S649*($G$9-$E$9)*($F$9-$E$9)),$G$9-SQRT((1-S649)*($G$9-$E$9)*($G$9-$F$9))))</f>
        <v>1.08307454302511</v>
      </c>
      <c r="F649" s="51" t="n">
        <f aca="false">1+IF($G$10=$E$10,$F$10,IF(T649&lt;($F$10-$E$10)/($G$10-$E$10),$E$10+SQRT(T649*($G$10-$E$10)*($F$10-$E$10)),$G$10-SQRT((1-T649)*($G$10-$E$10)*($G$10-$F$10))))</f>
        <v>1.06515774384538</v>
      </c>
      <c r="G649" s="52" t="n">
        <f aca="false">IF($G$11=$E$11,$F$11,IF(U649&lt;($F$11-$E$11)/($G$11-$E$11),$E$11+SQRT(U649*($G$11-$E$11)*($F$11-$E$11)),$G$11-SQRT((1-U649)*($G$11-$E$11)*($G$11-$F$11))))</f>
        <v>0.106367553334407</v>
      </c>
      <c r="H649" s="53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-2130315487.69076</v>
      </c>
      <c r="I649" s="53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7838455.54095894</v>
      </c>
      <c r="J649" s="53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325911193.0684</v>
      </c>
      <c r="K649" s="53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697241817.78811</v>
      </c>
      <c r="L649" s="53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836402935.353105</v>
      </c>
      <c r="M649" s="53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1018655729.82694</v>
      </c>
      <c r="N649" s="53" t="n">
        <f aca="false">IF(COUNT('Business Case'!B11:G11)=0,"",H649+NPV(G649,I649:M649))</f>
        <v>-169370918.432309</v>
      </c>
      <c r="P649" s="54" t="n">
        <f aca="true">RAND()</f>
        <v>0.952432982814239</v>
      </c>
      <c r="Q649" s="54" t="n">
        <f aca="true">RAND()</f>
        <v>0.391479391528813</v>
      </c>
      <c r="R649" s="54" t="n">
        <f aca="true">RAND()</f>
        <v>0.133149091244762</v>
      </c>
      <c r="S649" s="54" t="n">
        <f aca="true">RAND()</f>
        <v>0.880559552232069</v>
      </c>
      <c r="T649" s="54" t="n">
        <f aca="true">RAND()</f>
        <v>0.544444537862255</v>
      </c>
      <c r="U649" s="54" t="n">
        <f aca="true">RAND()</f>
        <v>0.627671643065279</v>
      </c>
    </row>
    <row r="650" customFormat="false" ht="15" hidden="false" customHeight="false" outlineLevel="0" collapsed="false">
      <c r="A650" s="50" t="n">
        <v>570</v>
      </c>
      <c r="B650" s="51" t="n">
        <f aca="false">1+IF($G$6=$E$6,$F$6,IF(P650&lt;($F$6-$E$6)/($G$6-$E$6),$E$6+SQRT(P650*($G$6-$E$6)*($F$6-$E$6)),$G$6-SQRT((1-P650)*($G$6-$E$6)*($G$6-$F$6))))</f>
        <v>0.951480276218745</v>
      </c>
      <c r="C650" s="51" t="n">
        <f aca="false">1+IF($G$7=$E$7,$F$7,IF(Q650&lt;($F$7-$E$7)/($G$7-$E$7),$E$7+SQRT(Q650*($G$7-$E$7)*($F$7-$E$7)),$G$7-SQRT((1-Q650)*($G$7-$E$7)*($G$7-$F$7))))</f>
        <v>0.908477278257429</v>
      </c>
      <c r="D650" s="51" t="n">
        <f aca="false">1+IF($G$8=$E$8,$F$8,IF(R650&lt;($F$8-$E$8)/($G$8-$E$8),$E$8+SQRT(R650*($G$8-$E$8)*($F$8-$E$8)),$G$8-SQRT((1-R650)*($G$8-$E$8)*($G$8-$F$8))))</f>
        <v>1.03453288469234</v>
      </c>
      <c r="E650" s="51" t="n">
        <f aca="false">1+IF($G$9=$E$9,$F$9,IF(S650&lt;($F$9-$E$9)/($G$9-$E$9),$E$9+SQRT(S650*($G$9-$E$9)*($F$9-$E$9)),$G$9-SQRT((1-S650)*($G$9-$E$9)*($G$9-$F$9))))</f>
        <v>0.957498225026803</v>
      </c>
      <c r="F650" s="51" t="n">
        <f aca="false">1+IF($G$10=$E$10,$F$10,IF(T650&lt;($F$10-$E$10)/($G$10-$E$10),$E$10+SQRT(T650*($G$10-$E$10)*($F$10-$E$10)),$G$10-SQRT((1-T650)*($G$10-$E$10)*($G$10-$F$10))))</f>
        <v>1.05609897297246</v>
      </c>
      <c r="G650" s="52" t="n">
        <f aca="false">IF($G$11=$E$11,$F$11,IF(U650&lt;($F$11-$E$11)/($G$11-$E$11),$E$11+SQRT(U650*($G$11-$E$11)*($F$11-$E$11)),$G$11-SQRT((1-U650)*($G$11-$E$11)*($G$11-$F$11))))</f>
        <v>0.106202199215609</v>
      </c>
      <c r="H650" s="53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-2112197945.94492</v>
      </c>
      <c r="I650" s="53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-59699993.3109389</v>
      </c>
      <c r="J650" s="53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167176561.566366</v>
      </c>
      <c r="K650" s="53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446858065.092294</v>
      </c>
      <c r="L650" s="53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552357185.57952</v>
      </c>
      <c r="M650" s="53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716661997.650871</v>
      </c>
      <c r="N650" s="53" t="n">
        <f aca="false">IF(COUNT('Business Case'!B11:G11)=0,"",H650+NPV(G650,I650:M650))</f>
        <v>-897900900.071844</v>
      </c>
      <c r="P650" s="54" t="n">
        <f aca="true">RAND()</f>
        <v>0.176681255970555</v>
      </c>
      <c r="Q650" s="54" t="n">
        <f aca="true">RAND()</f>
        <v>0.321946485552782</v>
      </c>
      <c r="R650" s="54" t="n">
        <f aca="true">RAND()</f>
        <v>0.714270454219594</v>
      </c>
      <c r="S650" s="54" t="n">
        <f aca="true">RAND()</f>
        <v>0.132241835249315</v>
      </c>
      <c r="T650" s="54" t="n">
        <f aca="true">RAND()</f>
        <v>0.49869855623553</v>
      </c>
      <c r="U650" s="54" t="n">
        <f aca="true">RAND()</f>
        <v>0.622443118550953</v>
      </c>
    </row>
    <row r="651" customFormat="false" ht="15" hidden="false" customHeight="false" outlineLevel="0" collapsed="false">
      <c r="A651" s="50" t="n">
        <v>571</v>
      </c>
      <c r="B651" s="51" t="n">
        <f aca="false">1+IF($G$6=$E$6,$F$6,IF(P651&lt;($F$6-$E$6)/($G$6-$E$6),$E$6+SQRT(P651*($G$6-$E$6)*($F$6-$E$6)),$G$6-SQRT((1-P651)*($G$6-$E$6)*($G$6-$F$6))))</f>
        <v>0.924771343970488</v>
      </c>
      <c r="C651" s="51" t="n">
        <f aca="false">1+IF($G$7=$E$7,$F$7,IF(Q651&lt;($F$7-$E$7)/($G$7-$E$7),$E$7+SQRT(Q651*($G$7-$E$7)*($F$7-$E$7)),$G$7-SQRT((1-Q651)*($G$7-$E$7)*($G$7-$F$7))))</f>
        <v>0.926245024688637</v>
      </c>
      <c r="D651" s="51" t="n">
        <f aca="false">1+IF($G$8=$E$8,$F$8,IF(R651&lt;($F$8-$E$8)/($G$8-$E$8),$E$8+SQRT(R651*($G$8-$E$8)*($F$8-$E$8)),$G$8-SQRT((1-R651)*($G$8-$E$8)*($G$8-$F$8))))</f>
        <v>0.959861141837253</v>
      </c>
      <c r="E651" s="51" t="n">
        <f aca="false">1+IF($G$9=$E$9,$F$9,IF(S651&lt;($F$9-$E$9)/($G$9-$E$9),$E$9+SQRT(S651*($G$9-$E$9)*($F$9-$E$9)),$G$9-SQRT((1-S651)*($G$9-$E$9)*($G$9-$F$9))))</f>
        <v>1.07467086279935</v>
      </c>
      <c r="F651" s="51" t="n">
        <f aca="false">1+IF($G$10=$E$10,$F$10,IF(T651&lt;($F$10-$E$10)/($G$10-$E$10),$E$10+SQRT(T651*($G$10-$E$10)*($F$10-$E$10)),$G$10-SQRT((1-T651)*($G$10-$E$10)*($G$10-$F$10))))</f>
        <v>1.10800160625585</v>
      </c>
      <c r="G651" s="52" t="n">
        <f aca="false">IF($G$11=$E$11,$F$11,IF(U651&lt;($F$11-$E$11)/($G$11-$E$11),$E$11+SQRT(U651*($G$11-$E$11)*($F$11-$E$11)),$G$11-SQRT((1-U651)*($G$11-$E$11)*($G$11-$F$11))))</f>
        <v>0.111391578505074</v>
      </c>
      <c r="H651" s="53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-2216003212.5117</v>
      </c>
      <c r="I651" s="53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-61565366.9309723</v>
      </c>
      <c r="J651" s="53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184891945.605715</v>
      </c>
      <c r="K651" s="53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486749338.455194</v>
      </c>
      <c r="L651" s="53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598504657.402094</v>
      </c>
      <c r="M651" s="53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761320505.292785</v>
      </c>
      <c r="N651" s="53" t="n">
        <f aca="false">IF(COUNT('Business Case'!B11:G11)=0,"",H651+NPV(G651,I651:M651))</f>
        <v>-925871597.309678</v>
      </c>
      <c r="P651" s="54" t="n">
        <f aca="true">RAND()</f>
        <v>0.0409079654736139</v>
      </c>
      <c r="Q651" s="54" t="n">
        <f aca="true">RAND()</f>
        <v>0.379161564417497</v>
      </c>
      <c r="R651" s="54" t="n">
        <f aca="true">RAND()</f>
        <v>0.0129656157779232</v>
      </c>
      <c r="S651" s="54" t="n">
        <f aca="true">RAND()</f>
        <v>0.848680562362819</v>
      </c>
      <c r="T651" s="54" t="n">
        <f aca="true">RAND()</f>
        <v>0.731152748987744</v>
      </c>
      <c r="U651" s="54" t="n">
        <f aca="true">RAND()</f>
        <v>0.769151099644775</v>
      </c>
    </row>
    <row r="652" customFormat="false" ht="15" hidden="false" customHeight="false" outlineLevel="0" collapsed="false">
      <c r="A652" s="50" t="n">
        <v>572</v>
      </c>
      <c r="B652" s="51" t="n">
        <f aca="false">1+IF($G$6=$E$6,$F$6,IF(P652&lt;($F$6-$E$6)/($G$6-$E$6),$E$6+SQRT(P652*($G$6-$E$6)*($F$6-$E$6)),$G$6-SQRT((1-P652)*($G$6-$E$6)*($G$6-$F$6))))</f>
        <v>0.991621921134034</v>
      </c>
      <c r="C652" s="51" t="n">
        <f aca="false">1+IF($G$7=$E$7,$F$7,IF(Q652&lt;($F$7-$E$7)/($G$7-$E$7),$E$7+SQRT(Q652*($G$7-$E$7)*($F$7-$E$7)),$G$7-SQRT((1-Q652)*($G$7-$E$7)*($G$7-$F$7))))</f>
        <v>1.08423324487715</v>
      </c>
      <c r="D652" s="51" t="n">
        <f aca="false">1+IF($G$8=$E$8,$F$8,IF(R652&lt;($F$8-$E$8)/($G$8-$E$8),$E$8+SQRT(R652*($G$8-$E$8)*($F$8-$E$8)),$G$8-SQRT((1-R652)*($G$8-$E$8)*($G$8-$F$8))))</f>
        <v>1.03068146830935</v>
      </c>
      <c r="E652" s="51" t="n">
        <f aca="false">1+IF($G$9=$E$9,$F$9,IF(S652&lt;($F$9-$E$9)/($G$9-$E$9),$E$9+SQRT(S652*($G$9-$E$9)*($F$9-$E$9)),$G$9-SQRT((1-S652)*($G$9-$E$9)*($G$9-$F$9))))</f>
        <v>0.921556794075256</v>
      </c>
      <c r="F652" s="51" t="n">
        <f aca="false">1+IF($G$10=$E$10,$F$10,IF(T652&lt;($F$10-$E$10)/($G$10-$E$10),$E$10+SQRT(T652*($G$10-$E$10)*($F$10-$E$10)),$G$10-SQRT((1-T652)*($G$10-$E$10)*($G$10-$F$10))))</f>
        <v>0.995993976891304</v>
      </c>
      <c r="G652" s="52" t="n">
        <f aca="false">IF($G$11=$E$11,$F$11,IF(U652&lt;($F$11-$E$11)/($G$11-$E$11),$E$11+SQRT(U652*($G$11-$E$11)*($F$11-$E$11)),$G$11-SQRT((1-U652)*($G$11-$E$11)*($G$11-$F$11))))</f>
        <v>0.0967321517564837</v>
      </c>
      <c r="H652" s="53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-1991987953.78261</v>
      </c>
      <c r="I652" s="53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22174145.6687872</v>
      </c>
      <c r="J652" s="53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330728812.800296</v>
      </c>
      <c r="K652" s="53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689083178.77637</v>
      </c>
      <c r="L652" s="53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829091899.590932</v>
      </c>
      <c r="M652" s="53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1033456307.66326</v>
      </c>
      <c r="N652" s="53" t="n">
        <f aca="false">IF(COUNT('Business Case'!B11:G11)=0,"",H652+NPV(G652,I652:M652))</f>
        <v>49923905.5179205</v>
      </c>
      <c r="P652" s="54" t="n">
        <f aca="true">RAND()</f>
        <v>0.559638428819408</v>
      </c>
      <c r="Q652" s="54" t="n">
        <f aca="true">RAND()</f>
        <v>0.935921984009057</v>
      </c>
      <c r="R652" s="54" t="n">
        <f aca="true">RAND()</f>
        <v>0.679662744283454</v>
      </c>
      <c r="S652" s="54" t="n">
        <f aca="true">RAND()</f>
        <v>0.0185878148321193</v>
      </c>
      <c r="T652" s="54" t="n">
        <f aca="true">RAND()</f>
        <v>0.141029727351851</v>
      </c>
      <c r="U652" s="54" t="n">
        <f aca="true">RAND()</f>
        <v>0.279964902402</v>
      </c>
    </row>
    <row r="653" customFormat="false" ht="15" hidden="false" customHeight="false" outlineLevel="0" collapsed="false">
      <c r="A653" s="50" t="n">
        <v>573</v>
      </c>
      <c r="B653" s="51" t="n">
        <f aca="false">1+IF($G$6=$E$6,$F$6,IF(P653&lt;($F$6-$E$6)/($G$6-$E$6),$E$6+SQRT(P653*($G$6-$E$6)*($F$6-$E$6)),$G$6-SQRT((1-P653)*($G$6-$E$6)*($G$6-$F$6))))</f>
        <v>0.952973552909908</v>
      </c>
      <c r="C653" s="51" t="n">
        <f aca="false">1+IF($G$7=$E$7,$F$7,IF(Q653&lt;($F$7-$E$7)/($G$7-$E$7),$E$7+SQRT(Q653*($G$7-$E$7)*($F$7-$E$7)),$G$7-SQRT((1-Q653)*($G$7-$E$7)*($G$7-$F$7))))</f>
        <v>0.976334741554801</v>
      </c>
      <c r="D653" s="51" t="n">
        <f aca="false">1+IF($G$8=$E$8,$F$8,IF(R653&lt;($F$8-$E$8)/($G$8-$E$8),$E$8+SQRT(R653*($G$8-$E$8)*($F$8-$E$8)),$G$8-SQRT((1-R653)*($G$8-$E$8)*($G$8-$F$8))))</f>
        <v>0.997053607709808</v>
      </c>
      <c r="E653" s="51" t="n">
        <f aca="false">1+IF($G$9=$E$9,$F$9,IF(S653&lt;($F$9-$E$9)/($G$9-$E$9),$E$9+SQRT(S653*($G$9-$E$9)*($F$9-$E$9)),$G$9-SQRT((1-S653)*($G$9-$E$9)*($G$9-$F$9))))</f>
        <v>0.999874220870751</v>
      </c>
      <c r="F653" s="51" t="n">
        <f aca="false">1+IF($G$10=$E$10,$F$10,IF(T653&lt;($F$10-$E$10)/($G$10-$E$10),$E$10+SQRT(T653*($G$10-$E$10)*($F$10-$E$10)),$G$10-SQRT((1-T653)*($G$10-$E$10)*($G$10-$F$10))))</f>
        <v>1.15973588514845</v>
      </c>
      <c r="G653" s="52" t="n">
        <f aca="false">IF($G$11=$E$11,$F$11,IF(U653&lt;($F$11-$E$11)/($G$11-$E$11),$E$11+SQRT(U653*($G$11-$E$11)*($F$11-$E$11)),$G$11-SQRT((1-U653)*($G$11-$E$11)*($G$11-$F$11))))</f>
        <v>0.0865799824698944</v>
      </c>
      <c r="H653" s="53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-2319471770.29691</v>
      </c>
      <c r="I653" s="53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-42639452.6737194</v>
      </c>
      <c r="J653" s="53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221109831.73465</v>
      </c>
      <c r="K653" s="53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542845910.400442</v>
      </c>
      <c r="L653" s="53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662917694.776179</v>
      </c>
      <c r="M653" s="53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839772154.094061</v>
      </c>
      <c r="N653" s="53" t="n">
        <f aca="false">IF(COUNT('Business Case'!B11:G11)=0,"",H653+NPV(G653,I653:M653))</f>
        <v>-718283189.198039</v>
      </c>
      <c r="P653" s="54" t="n">
        <f aca="true">RAND()</f>
        <v>0.187079820526585</v>
      </c>
      <c r="Q653" s="54" t="n">
        <f aca="true">RAND()</f>
        <v>0.565636217704881</v>
      </c>
      <c r="R653" s="54" t="n">
        <f aca="true">RAND()</f>
        <v>0.295205599801138</v>
      </c>
      <c r="S653" s="54" t="n">
        <f aca="true">RAND()</f>
        <v>0.398994399781584</v>
      </c>
      <c r="T653" s="54" t="n">
        <f aca="true">RAND()</f>
        <v>0.891365194267561</v>
      </c>
      <c r="U653" s="54" t="n">
        <f aca="true">RAND()</f>
        <v>0.0432961693041175</v>
      </c>
    </row>
    <row r="654" customFormat="false" ht="15" hidden="false" customHeight="false" outlineLevel="0" collapsed="false">
      <c r="A654" s="50" t="n">
        <v>574</v>
      </c>
      <c r="B654" s="51" t="n">
        <f aca="false">1+IF($G$6=$E$6,$F$6,IF(P654&lt;($F$6-$E$6)/($G$6-$E$6),$E$6+SQRT(P654*($G$6-$E$6)*($F$6-$E$6)),$G$6-SQRT((1-P654)*($G$6-$E$6)*($G$6-$F$6))))</f>
        <v>0.955594720564524</v>
      </c>
      <c r="C654" s="51" t="n">
        <f aca="false">1+IF($G$7=$E$7,$F$7,IF(Q654&lt;($F$7-$E$7)/($G$7-$E$7),$E$7+SQRT(Q654*($G$7-$E$7)*($F$7-$E$7)),$G$7-SQRT((1-Q654)*($G$7-$E$7)*($G$7-$F$7))))</f>
        <v>0.729290243260118</v>
      </c>
      <c r="D654" s="51" t="n">
        <f aca="false">1+IF($G$8=$E$8,$F$8,IF(R654&lt;($F$8-$E$8)/($G$8-$E$8),$E$8+SQRT(R654*($G$8-$E$8)*($F$8-$E$8)),$G$8-SQRT((1-R654)*($G$8-$E$8)*($G$8-$F$8))))</f>
        <v>1.03897278332548</v>
      </c>
      <c r="E654" s="51" t="n">
        <f aca="false">1+IF($G$9=$E$9,$F$9,IF(S654&lt;($F$9-$E$9)/($G$9-$E$9),$E$9+SQRT(S654*($G$9-$E$9)*($F$9-$E$9)),$G$9-SQRT((1-S654)*($G$9-$E$9)*($G$9-$F$9))))</f>
        <v>1.04288701809602</v>
      </c>
      <c r="F654" s="51" t="n">
        <f aca="false">1+IF($G$10=$E$10,$F$10,IF(T654&lt;($F$10-$E$10)/($G$10-$E$10),$E$10+SQRT(T654*($G$10-$E$10)*($F$10-$E$10)),$G$10-SQRT((1-T654)*($G$10-$E$10)*($G$10-$F$10))))</f>
        <v>1.10517066625433</v>
      </c>
      <c r="G654" s="52" t="n">
        <f aca="false">IF($G$11=$E$11,$F$11,IF(U654&lt;($F$11-$E$11)/($G$11-$E$11),$E$11+SQRT(U654*($G$11-$E$11)*($F$11-$E$11)),$G$11-SQRT((1-U654)*($G$11-$E$11)*($G$11-$F$11))))</f>
        <v>0.113865737633634</v>
      </c>
      <c r="H654" s="53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-2210341332.50866</v>
      </c>
      <c r="I654" s="53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-112015380.854421</v>
      </c>
      <c r="J654" s="53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70912441.0682156</v>
      </c>
      <c r="K654" s="53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309098796.303569</v>
      </c>
      <c r="L654" s="53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394159805.063362</v>
      </c>
      <c r="M654" s="53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526627679.717391</v>
      </c>
      <c r="N654" s="53" t="n">
        <f aca="false">IF(COUNT('Business Case'!B11:G11)=0,"",H654+NPV(G654,I654:M654))</f>
        <v>-1466883432.13775</v>
      </c>
      <c r="P654" s="54" t="n">
        <f aca="true">RAND()</f>
        <v>0.206051530309832</v>
      </c>
      <c r="Q654" s="54" t="n">
        <f aca="true">RAND()</f>
        <v>0.00635495074249558</v>
      </c>
      <c r="R654" s="54" t="n">
        <f aca="true">RAND()</f>
        <v>0.75171192166405</v>
      </c>
      <c r="S654" s="54" t="n">
        <f aca="true">RAND()</f>
        <v>0.694048242870312</v>
      </c>
      <c r="T654" s="54" t="n">
        <f aca="true">RAND()</f>
        <v>0.720326187823813</v>
      </c>
      <c r="U654" s="54" t="n">
        <f aca="true">RAND()</f>
        <v>0.826457051928854</v>
      </c>
    </row>
    <row r="655" customFormat="false" ht="15" hidden="false" customHeight="false" outlineLevel="0" collapsed="false">
      <c r="A655" s="50" t="n">
        <v>575</v>
      </c>
      <c r="B655" s="51" t="n">
        <f aca="false">1+IF($G$6=$E$6,$F$6,IF(P655&lt;($F$6-$E$6)/($G$6-$E$6),$E$6+SQRT(P655*($G$6-$E$6)*($F$6-$E$6)),$G$6-SQRT((1-P655)*($G$6-$E$6)*($G$6-$F$6))))</f>
        <v>1.04074365405925</v>
      </c>
      <c r="C655" s="51" t="n">
        <f aca="false">1+IF($G$7=$E$7,$F$7,IF(Q655&lt;($F$7-$E$7)/($G$7-$E$7),$E$7+SQRT(Q655*($G$7-$E$7)*($F$7-$E$7)),$G$7-SQRT((1-Q655)*($G$7-$E$7)*($G$7-$F$7))))</f>
        <v>1.05709622569355</v>
      </c>
      <c r="D655" s="51" t="n">
        <f aca="false">1+IF($G$8=$E$8,$F$8,IF(R655&lt;($F$8-$E$8)/($G$8-$E$8),$E$8+SQRT(R655*($G$8-$E$8)*($F$8-$E$8)),$G$8-SQRT((1-R655)*($G$8-$E$8)*($G$8-$F$8))))</f>
        <v>1.00801038506473</v>
      </c>
      <c r="E655" s="51" t="n">
        <f aca="false">1+IF($G$9=$E$9,$F$9,IF(S655&lt;($F$9-$E$9)/($G$9-$E$9),$E$9+SQRT(S655*($G$9-$E$9)*($F$9-$E$9)),$G$9-SQRT((1-S655)*($G$9-$E$9)*($G$9-$F$9))))</f>
        <v>1.07073494117923</v>
      </c>
      <c r="F655" s="51" t="n">
        <f aca="false">1+IF($G$10=$E$10,$F$10,IF(T655&lt;($F$10-$E$10)/($G$10-$E$10),$E$10+SQRT(T655*($G$10-$E$10)*($F$10-$E$10)),$G$10-SQRT((1-T655)*($G$10-$E$10)*($G$10-$F$10))))</f>
        <v>1.03822575622438</v>
      </c>
      <c r="G655" s="52" t="n">
        <f aca="false">IF($G$11=$E$11,$F$11,IF(U655&lt;($F$11-$E$11)/($G$11-$E$11),$E$11+SQRT(U655*($G$11-$E$11)*($F$11-$E$11)),$G$11-SQRT((1-U655)*($G$11-$E$11)*($G$11-$F$11))))</f>
        <v>0.0873169606660952</v>
      </c>
      <c r="H655" s="53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-2076451512.44876</v>
      </c>
      <c r="I655" s="53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42518111.6494191</v>
      </c>
      <c r="J655" s="53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398149922.775051</v>
      </c>
      <c r="K655" s="53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805693021.711902</v>
      </c>
      <c r="L655" s="53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962258702.232505</v>
      </c>
      <c r="M655" s="53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1171378291.3655</v>
      </c>
      <c r="N655" s="53" t="n">
        <f aca="false">IF(COUNT('Business Case'!B11:G11)=0,"",H655+NPV(G655,I655:M655))</f>
        <v>385379425.389047</v>
      </c>
      <c r="P655" s="54" t="n">
        <f aca="true">RAND()</f>
        <v>0.988576007976678</v>
      </c>
      <c r="Q655" s="54" t="n">
        <f aca="true">RAND()</f>
        <v>0.872131684735049</v>
      </c>
      <c r="R655" s="54" t="n">
        <f aca="true">RAND()</f>
        <v>0.435860716270664</v>
      </c>
      <c r="S655" s="54" t="n">
        <f aca="true">RAND()</f>
        <v>0.832454678670382</v>
      </c>
      <c r="T655" s="54" t="n">
        <f aca="true">RAND()</f>
        <v>0.402022262310187</v>
      </c>
      <c r="U655" s="54" t="n">
        <f aca="true">RAND()</f>
        <v>0.0535379133891835</v>
      </c>
    </row>
    <row r="656" customFormat="false" ht="15" hidden="false" customHeight="false" outlineLevel="0" collapsed="false">
      <c r="A656" s="50" t="n">
        <v>576</v>
      </c>
      <c r="B656" s="51" t="n">
        <f aca="false">1+IF($G$6=$E$6,$F$6,IF(P656&lt;($F$6-$E$6)/($G$6-$E$6),$E$6+SQRT(P656*($G$6-$E$6)*($F$6-$E$6)),$G$6-SQRT((1-P656)*($G$6-$E$6)*($G$6-$F$6))))</f>
        <v>1.00323940383361</v>
      </c>
      <c r="C656" s="51" t="n">
        <f aca="false">1+IF($G$7=$E$7,$F$7,IF(Q656&lt;($F$7-$E$7)/($G$7-$E$7),$E$7+SQRT(Q656*($G$7-$E$7)*($F$7-$E$7)),$G$7-SQRT((1-Q656)*($G$7-$E$7)*($G$7-$F$7))))</f>
        <v>0.84487913944181</v>
      </c>
      <c r="D656" s="51" t="n">
        <f aca="false">1+IF($G$8=$E$8,$F$8,IF(R656&lt;($F$8-$E$8)/($G$8-$E$8),$E$8+SQRT(R656*($G$8-$E$8)*($F$8-$E$8)),$G$8-SQRT((1-R656)*($G$8-$E$8)*($G$8-$F$8))))</f>
        <v>1.03681740677078</v>
      </c>
      <c r="E656" s="51" t="n">
        <f aca="false">1+IF($G$9=$E$9,$F$9,IF(S656&lt;($F$9-$E$9)/($G$9-$E$9),$E$9+SQRT(S656*($G$9-$E$9)*($F$9-$E$9)),$G$9-SQRT((1-S656)*($G$9-$E$9)*($G$9-$F$9))))</f>
        <v>1.03740728999209</v>
      </c>
      <c r="F656" s="51" t="n">
        <f aca="false">1+IF($G$10=$E$10,$F$10,IF(T656&lt;($F$10-$E$10)/($G$10-$E$10),$E$10+SQRT(T656*($G$10-$E$10)*($F$10-$E$10)),$G$10-SQRT((1-T656)*($G$10-$E$10)*($G$10-$F$10))))</f>
        <v>1.01702823028858</v>
      </c>
      <c r="G656" s="52" t="n">
        <f aca="false">IF($G$11=$E$11,$F$11,IF(U656&lt;($F$11-$E$11)/($G$11-$E$11),$E$11+SQRT(U656*($G$11-$E$11)*($F$11-$E$11)),$G$11-SQRT((1-U656)*($G$11-$E$11)*($G$11-$F$11))))</f>
        <v>0.106509077704221</v>
      </c>
      <c r="H656" s="53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-2034056460.57716</v>
      </c>
      <c r="I656" s="53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-47338432.0130961</v>
      </c>
      <c r="J656" s="53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198485691.369057</v>
      </c>
      <c r="K656" s="53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495161226.26564</v>
      </c>
      <c r="L656" s="53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606396211.212702</v>
      </c>
      <c r="M656" s="53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767511068.887597</v>
      </c>
      <c r="N656" s="53" t="n">
        <f aca="false">IF(COUNT('Business Case'!B11:G11)=0,"",H656+NPV(G656,I656:M656))</f>
        <v>-682001810.859031</v>
      </c>
      <c r="P656" s="54" t="n">
        <f aca="true">RAND()</f>
        <v>0.708459552821893</v>
      </c>
      <c r="Q656" s="54" t="n">
        <f aca="true">RAND()</f>
        <v>0.155481222558513</v>
      </c>
      <c r="R656" s="54" t="n">
        <f aca="true">RAND()</f>
        <v>0.733863994188692</v>
      </c>
      <c r="S656" s="54" t="n">
        <f aca="true">RAND()</f>
        <v>0.661943510748644</v>
      </c>
      <c r="T656" s="54" t="n">
        <f aca="true">RAND()</f>
        <v>0.276322060233728</v>
      </c>
      <c r="U656" s="54" t="n">
        <f aca="true">RAND()</f>
        <v>0.632117713129108</v>
      </c>
    </row>
    <row r="657" customFormat="false" ht="15" hidden="false" customHeight="false" outlineLevel="0" collapsed="false">
      <c r="A657" s="50" t="n">
        <v>577</v>
      </c>
      <c r="B657" s="51" t="n">
        <f aca="false">1+IF($G$6=$E$6,$F$6,IF(P657&lt;($F$6-$E$6)/($G$6-$E$6),$E$6+SQRT(P657*($G$6-$E$6)*($F$6-$E$6)),$G$6-SQRT((1-P657)*($G$6-$E$6)*($G$6-$F$6))))</f>
        <v>1.03316425634205</v>
      </c>
      <c r="C657" s="51" t="n">
        <f aca="false">1+IF($G$7=$E$7,$F$7,IF(Q657&lt;($F$7-$E$7)/($G$7-$E$7),$E$7+SQRT(Q657*($G$7-$E$7)*($F$7-$E$7)),$G$7-SQRT((1-Q657)*($G$7-$E$7)*($G$7-$F$7))))</f>
        <v>0.871602081844375</v>
      </c>
      <c r="D657" s="51" t="n">
        <f aca="false">1+IF($G$8=$E$8,$F$8,IF(R657&lt;($F$8-$E$8)/($G$8-$E$8),$E$8+SQRT(R657*($G$8-$E$8)*($F$8-$E$8)),$G$8-SQRT((1-R657)*($G$8-$E$8)*($G$8-$F$8))))</f>
        <v>0.98948652746264</v>
      </c>
      <c r="E657" s="51" t="n">
        <f aca="false">1+IF($G$9=$E$9,$F$9,IF(S657&lt;($F$9-$E$9)/($G$9-$E$9),$E$9+SQRT(S657*($G$9-$E$9)*($F$9-$E$9)),$G$9-SQRT((1-S657)*($G$9-$E$9)*($G$9-$F$9))))</f>
        <v>0.983008068639719</v>
      </c>
      <c r="F657" s="51" t="n">
        <f aca="false">1+IF($G$10=$E$10,$F$10,IF(T657&lt;($F$10-$E$10)/($G$10-$E$10),$E$10+SQRT(T657*($G$10-$E$10)*($F$10-$E$10)),$G$10-SQRT((1-T657)*($G$10-$E$10)*($G$10-$F$10))))</f>
        <v>1.09137951974584</v>
      </c>
      <c r="G657" s="52" t="n">
        <f aca="false">IF($G$11=$E$11,$F$11,IF(U657&lt;($F$11-$E$11)/($G$11-$E$11),$E$11+SQRT(U657*($G$11-$E$11)*($F$11-$E$11)),$G$11-SQRT((1-U657)*($G$11-$E$11)*($G$11-$F$11))))</f>
        <v>0.088717121711422</v>
      </c>
      <c r="H657" s="53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-2182759039.49169</v>
      </c>
      <c r="I657" s="53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477418.295440808</v>
      </c>
      <c r="J657" s="53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296558876.696536</v>
      </c>
      <c r="K657" s="53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647209311.084923</v>
      </c>
      <c r="L657" s="53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777024691.065623</v>
      </c>
      <c r="M657" s="53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948193273.890797</v>
      </c>
      <c r="N657" s="53" t="n">
        <f aca="false">IF(COUNT('Business Case'!B11:G11)=0,"",H657+NPV(G657,I657:M657))</f>
        <v>-257628203.461381</v>
      </c>
      <c r="P657" s="54" t="n">
        <f aca="true">RAND()</f>
        <v>0.962207698064528</v>
      </c>
      <c r="Q657" s="54" t="n">
        <f aca="true">RAND()</f>
        <v>0.218127959209803</v>
      </c>
      <c r="R657" s="54" t="n">
        <f aca="true">RAND()</f>
        <v>0.207891446807706</v>
      </c>
      <c r="S657" s="54" t="n">
        <f aca="true">RAND()</f>
        <v>0.275613578371853</v>
      </c>
      <c r="T657" s="54" t="n">
        <f aca="true">RAND()</f>
        <v>0.664527243252539</v>
      </c>
      <c r="U657" s="54" t="n">
        <f aca="true">RAND()</f>
        <v>0.0759882109317446</v>
      </c>
    </row>
    <row r="658" customFormat="false" ht="15" hidden="false" customHeight="false" outlineLevel="0" collapsed="false">
      <c r="A658" s="50" t="n">
        <v>578</v>
      </c>
      <c r="B658" s="51" t="n">
        <f aca="false">1+IF($G$6=$E$6,$F$6,IF(P658&lt;($F$6-$E$6)/($G$6-$E$6),$E$6+SQRT(P658*($G$6-$E$6)*($F$6-$E$6)),$G$6-SQRT((1-P658)*($G$6-$E$6)*($G$6-$F$6))))</f>
        <v>0.976866124220129</v>
      </c>
      <c r="C658" s="51" t="n">
        <f aca="false">1+IF($G$7=$E$7,$F$7,IF(Q658&lt;($F$7-$E$7)/($G$7-$E$7),$E$7+SQRT(Q658*($G$7-$E$7)*($F$7-$E$7)),$G$7-SQRT((1-Q658)*($G$7-$E$7)*($G$7-$F$7))))</f>
        <v>0.943226375421065</v>
      </c>
      <c r="D658" s="51" t="n">
        <f aca="false">1+IF($G$8=$E$8,$F$8,IF(R658&lt;($F$8-$E$8)/($G$8-$E$8),$E$8+SQRT(R658*($G$8-$E$8)*($F$8-$E$8)),$G$8-SQRT((1-R658)*($G$8-$E$8)*($G$8-$F$8))))</f>
        <v>1.02386680179356</v>
      </c>
      <c r="E658" s="51" t="n">
        <f aca="false">1+IF($G$9=$E$9,$F$9,IF(S658&lt;($F$9-$E$9)/($G$9-$E$9),$E$9+SQRT(S658*($G$9-$E$9)*($F$9-$E$9)),$G$9-SQRT((1-S658)*($G$9-$E$9)*($G$9-$F$9))))</f>
        <v>1.09332939929679</v>
      </c>
      <c r="F658" s="51" t="n">
        <f aca="false">1+IF($G$10=$E$10,$F$10,IF(T658&lt;($F$10-$E$10)/($G$10-$E$10),$E$10+SQRT(T658*($G$10-$E$10)*($F$10-$E$10)),$G$10-SQRT((1-T658)*($G$10-$E$10)*($G$10-$F$10))))</f>
        <v>1.0958137103536</v>
      </c>
      <c r="G658" s="52" t="n">
        <f aca="false">IF($G$11=$E$11,$F$11,IF(U658&lt;($F$11-$E$11)/($G$11-$E$11),$E$11+SQRT(U658*($G$11-$E$11)*($F$11-$E$11)),$G$11-SQRT((1-U658)*($G$11-$E$11)*($G$11-$F$11))))</f>
        <v>0.090101341082904</v>
      </c>
      <c r="H658" s="53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-2191627420.7072</v>
      </c>
      <c r="I658" s="53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-52501410.2411679</v>
      </c>
      <c r="J658" s="53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207815672.658276</v>
      </c>
      <c r="K658" s="53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522923441.0754</v>
      </c>
      <c r="L658" s="53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641539589.725381</v>
      </c>
      <c r="M658" s="53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816680421.984628</v>
      </c>
      <c r="N658" s="53" t="n">
        <f aca="false">IF(COUNT('Business Case'!B11:G11)=0,"",H658+NPV(G658,I658:M658))</f>
        <v>-676373961.614408</v>
      </c>
      <c r="P658" s="54" t="n">
        <f aca="true">RAND()</f>
        <v>0.393893403508286</v>
      </c>
      <c r="Q658" s="54" t="n">
        <f aca="true">RAND()</f>
        <v>0.438215331114583</v>
      </c>
      <c r="R658" s="54" t="n">
        <f aca="true">RAND()</f>
        <v>0.613582408723877</v>
      </c>
      <c r="S658" s="54" t="n">
        <f aca="true">RAND()</f>
        <v>0.91435848042498</v>
      </c>
      <c r="T658" s="54" t="n">
        <f aca="true">RAND()</f>
        <v>0.683021174467681</v>
      </c>
      <c r="U658" s="54" t="n">
        <f aca="true">RAND()</f>
        <v>0.102037091673165</v>
      </c>
    </row>
    <row r="659" customFormat="false" ht="15" hidden="false" customHeight="false" outlineLevel="0" collapsed="false">
      <c r="A659" s="50" t="n">
        <v>579</v>
      </c>
      <c r="B659" s="51" t="n">
        <f aca="false">1+IF($G$6=$E$6,$F$6,IF(P659&lt;($F$6-$E$6)/($G$6-$E$6),$E$6+SQRT(P659*($G$6-$E$6)*($F$6-$E$6)),$G$6-SQRT((1-P659)*($G$6-$E$6)*($G$6-$F$6))))</f>
        <v>0.988646708714952</v>
      </c>
      <c r="C659" s="51" t="n">
        <f aca="false">1+IF($G$7=$E$7,$F$7,IF(Q659&lt;($F$7-$E$7)/($G$7-$E$7),$E$7+SQRT(Q659*($G$7-$E$7)*($F$7-$E$7)),$G$7-SQRT((1-Q659)*($G$7-$E$7)*($G$7-$F$7))))</f>
        <v>0.880405877876958</v>
      </c>
      <c r="D659" s="51" t="n">
        <f aca="false">1+IF($G$8=$E$8,$F$8,IF(R659&lt;($F$8-$E$8)/($G$8-$E$8),$E$8+SQRT(R659*($G$8-$E$8)*($F$8-$E$8)),$G$8-SQRT((1-R659)*($G$8-$E$8)*($G$8-$F$8))))</f>
        <v>0.978025282587493</v>
      </c>
      <c r="E659" s="51" t="n">
        <f aca="false">1+IF($G$9=$E$9,$F$9,IF(S659&lt;($F$9-$E$9)/($G$9-$E$9),$E$9+SQRT(S659*($G$9-$E$9)*($F$9-$E$9)),$G$9-SQRT((1-S659)*($G$9-$E$9)*($G$9-$F$9))))</f>
        <v>0.956270105185513</v>
      </c>
      <c r="F659" s="51" t="n">
        <f aca="false">1+IF($G$10=$E$10,$F$10,IF(T659&lt;($F$10-$E$10)/($G$10-$E$10),$E$10+SQRT(T659*($G$10-$E$10)*($F$10-$E$10)),$G$10-SQRT((1-T659)*($G$10-$E$10)*($G$10-$F$10))))</f>
        <v>1.04647341871182</v>
      </c>
      <c r="G659" s="52" t="n">
        <f aca="false">IF($G$11=$E$11,$F$11,IF(U659&lt;($F$11-$E$11)/($G$11-$E$11),$E$11+SQRT(U659*($G$11-$E$11)*($F$11-$E$11)),$G$11-SQRT((1-U659)*($G$11-$E$11)*($G$11-$F$11))))</f>
        <v>0.100997776277954</v>
      </c>
      <c r="H659" s="53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-2092946837.42364</v>
      </c>
      <c r="I659" s="53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-13615688.6547867</v>
      </c>
      <c r="J659" s="53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258519647.28104</v>
      </c>
      <c r="K659" s="53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582978654.152457</v>
      </c>
      <c r="L659" s="53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703771815.305766</v>
      </c>
      <c r="M659" s="53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869219419.099953</v>
      </c>
      <c r="N659" s="53" t="n">
        <f aca="false">IF(COUNT('Business Case'!B11:G11)=0,"",H659+NPV(G659,I659:M659))</f>
        <v>-439016004.514315</v>
      </c>
      <c r="P659" s="54" t="n">
        <f aca="true">RAND()</f>
        <v>0.523882597732906</v>
      </c>
      <c r="Q659" s="54" t="n">
        <f aca="true">RAND()</f>
        <v>0.241083561278192</v>
      </c>
      <c r="R659" s="54" t="n">
        <f aca="true">RAND()</f>
        <v>0.104722195214515</v>
      </c>
      <c r="S659" s="54" t="n">
        <f aca="true">RAND()</f>
        <v>0.12665298950355</v>
      </c>
      <c r="T659" s="54" t="n">
        <f aca="true">RAND()</f>
        <v>0.447692409455274</v>
      </c>
      <c r="U659" s="54" t="n">
        <f aca="true">RAND()</f>
        <v>0.439247346117613</v>
      </c>
    </row>
    <row r="660" customFormat="false" ht="15" hidden="false" customHeight="false" outlineLevel="0" collapsed="false">
      <c r="A660" s="50" t="n">
        <v>580</v>
      </c>
      <c r="B660" s="51" t="n">
        <f aca="false">1+IF($G$6=$E$6,$F$6,IF(P660&lt;($F$6-$E$6)/($G$6-$E$6),$E$6+SQRT(P660*($G$6-$E$6)*($F$6-$E$6)),$G$6-SQRT((1-P660)*($G$6-$E$6)*($G$6-$F$6))))</f>
        <v>0.980819216602842</v>
      </c>
      <c r="C660" s="51" t="n">
        <f aca="false">1+IF($G$7=$E$7,$F$7,IF(Q660&lt;($F$7-$E$7)/($G$7-$E$7),$E$7+SQRT(Q660*($G$7-$E$7)*($F$7-$E$7)),$G$7-SQRT((1-Q660)*($G$7-$E$7)*($G$7-$F$7))))</f>
        <v>1.01357610628721</v>
      </c>
      <c r="D660" s="51" t="n">
        <f aca="false">1+IF($G$8=$E$8,$F$8,IF(R660&lt;($F$8-$E$8)/($G$8-$E$8),$E$8+SQRT(R660*($G$8-$E$8)*($F$8-$E$8)),$G$8-SQRT((1-R660)*($G$8-$E$8)*($G$8-$F$8))))</f>
        <v>0.991110867494132</v>
      </c>
      <c r="E660" s="51" t="n">
        <f aca="false">1+IF($G$9=$E$9,$F$9,IF(S660&lt;($F$9-$E$9)/($G$9-$E$9),$E$9+SQRT(S660*($G$9-$E$9)*($F$9-$E$9)),$G$9-SQRT((1-S660)*($G$9-$E$9)*($G$9-$F$9))))</f>
        <v>1.00031519151045</v>
      </c>
      <c r="F660" s="51" t="n">
        <f aca="false">1+IF($G$10=$E$10,$F$10,IF(T660&lt;($F$10-$E$10)/($G$10-$E$10),$E$10+SQRT(T660*($G$10-$E$10)*($F$10-$E$10)),$G$10-SQRT((1-T660)*($G$10-$E$10)*($G$10-$F$10))))</f>
        <v>1.04509867673134</v>
      </c>
      <c r="G660" s="52" t="n">
        <f aca="false">IF($G$11=$E$11,$F$11,IF(U660&lt;($F$11-$E$11)/($G$11-$E$11),$E$11+SQRT(U660*($G$11-$E$11)*($F$11-$E$11)),$G$11-SQRT((1-U660)*($G$11-$E$11)*($G$11-$F$11))))</f>
        <v>0.0973241584705964</v>
      </c>
      <c r="H660" s="53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-2090197353.46268</v>
      </c>
      <c r="I660" s="53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1719859.77021894</v>
      </c>
      <c r="J660" s="53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301730361.830623</v>
      </c>
      <c r="K660" s="53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653995797.727593</v>
      </c>
      <c r="L660" s="53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788356601.337238</v>
      </c>
      <c r="M660" s="53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977321767.412877</v>
      </c>
      <c r="N660" s="53" t="n">
        <f aca="false">IF(COUNT('Business Case'!B11:G11)=0,"",H660+NPV(G660,I660:M660))</f>
        <v>-185083819.214382</v>
      </c>
      <c r="P660" s="54" t="n">
        <f aca="true">RAND()</f>
        <v>0.435449718153139</v>
      </c>
      <c r="Q660" s="54" t="n">
        <f aca="true">RAND()</f>
        <v>0.724274388507275</v>
      </c>
      <c r="R660" s="54" t="n">
        <f aca="true">RAND()</f>
        <v>0.225347123482676</v>
      </c>
      <c r="S660" s="54" t="n">
        <f aca="true">RAND()</f>
        <v>0.402518882865223</v>
      </c>
      <c r="T660" s="54" t="n">
        <f aca="true">RAND()</f>
        <v>0.440205969636693</v>
      </c>
      <c r="U660" s="54" t="n">
        <f aca="true">RAND()</f>
        <v>0.300126466714337</v>
      </c>
    </row>
    <row r="661" customFormat="false" ht="15" hidden="false" customHeight="false" outlineLevel="0" collapsed="false">
      <c r="A661" s="50" t="n">
        <v>581</v>
      </c>
      <c r="B661" s="51" t="n">
        <f aca="false">1+IF($G$6=$E$6,$F$6,IF(P661&lt;($F$6-$E$6)/($G$6-$E$6),$E$6+SQRT(P661*($G$6-$E$6)*($F$6-$E$6)),$G$6-SQRT((1-P661)*($G$6-$E$6)*($G$6-$F$6))))</f>
        <v>0.969674272938073</v>
      </c>
      <c r="C661" s="51" t="n">
        <f aca="false">1+IF($G$7=$E$7,$F$7,IF(Q661&lt;($F$7-$E$7)/($G$7-$E$7),$E$7+SQRT(Q661*($G$7-$E$7)*($F$7-$E$7)),$G$7-SQRT((1-Q661)*($G$7-$E$7)*($G$7-$F$7))))</f>
        <v>1.04904612573556</v>
      </c>
      <c r="D661" s="51" t="n">
        <f aca="false">1+IF($G$8=$E$8,$F$8,IF(R661&lt;($F$8-$E$8)/($G$8-$E$8),$E$8+SQRT(R661*($G$8-$E$8)*($F$8-$E$8)),$G$8-SQRT((1-R661)*($G$8-$E$8)*($G$8-$F$8))))</f>
        <v>0.997253521142886</v>
      </c>
      <c r="E661" s="51" t="n">
        <f aca="false">1+IF($G$9=$E$9,$F$9,IF(S661&lt;($F$9-$E$9)/($G$9-$E$9),$E$9+SQRT(S661*($G$9-$E$9)*($F$9-$E$9)),$G$9-SQRT((1-S661)*($G$9-$E$9)*($G$9-$F$9))))</f>
        <v>1.1191274809334</v>
      </c>
      <c r="F661" s="51" t="n">
        <f aca="false">1+IF($G$10=$E$10,$F$10,IF(T661&lt;($F$10-$E$10)/($G$10-$E$10),$E$10+SQRT(T661*($G$10-$E$10)*($F$10-$E$10)),$G$10-SQRT((1-T661)*($G$10-$E$10)*($G$10-$F$10))))</f>
        <v>0.997455784518401</v>
      </c>
      <c r="G661" s="52" t="n">
        <f aca="false">IF($G$11=$E$11,$F$11,IF(U661&lt;($F$11-$E$11)/($G$11-$E$11),$E$11+SQRT(U661*($G$11-$E$11)*($F$11-$E$11)),$G$11-SQRT((1-U661)*($G$11-$E$11)*($G$11-$F$11))))</f>
        <v>0.119976541840355</v>
      </c>
      <c r="H661" s="53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-1994911569.0368</v>
      </c>
      <c r="I661" s="53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-13984524.5527454</v>
      </c>
      <c r="J661" s="53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283649817.889858</v>
      </c>
      <c r="K661" s="53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631156949.55838</v>
      </c>
      <c r="L661" s="53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765523970.875767</v>
      </c>
      <c r="M661" s="53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958879626.976621</v>
      </c>
      <c r="N661" s="53" t="n">
        <f aca="false">IF(COUNT('Business Case'!B11:G11)=0,"",H661+NPV(G661,I661:M661))</f>
        <v>-301295244.319531</v>
      </c>
      <c r="P661" s="54" t="n">
        <f aca="true">RAND()</f>
        <v>0.323633620629943</v>
      </c>
      <c r="Q661" s="54" t="n">
        <f aca="true">RAND()</f>
        <v>0.849012078088875</v>
      </c>
      <c r="R661" s="54" t="n">
        <f aca="true">RAND()</f>
        <v>0.297719368053485</v>
      </c>
      <c r="S661" s="54" t="n">
        <f aca="true">RAND()</f>
        <v>0.974583668439533</v>
      </c>
      <c r="T661" s="54" t="n">
        <f aca="true">RAND()</f>
        <v>0.150136765617129</v>
      </c>
      <c r="U661" s="54" t="n">
        <f aca="true">RAND()</f>
        <v>0.933020191014559</v>
      </c>
    </row>
    <row r="662" customFormat="false" ht="15" hidden="false" customHeight="false" outlineLevel="0" collapsed="false">
      <c r="A662" s="50" t="n">
        <v>582</v>
      </c>
      <c r="B662" s="51" t="n">
        <f aca="false">1+IF($G$6=$E$6,$F$6,IF(P662&lt;($F$6-$E$6)/($G$6-$E$6),$E$6+SQRT(P662*($G$6-$E$6)*($F$6-$E$6)),$G$6-SQRT((1-P662)*($G$6-$E$6)*($G$6-$F$6))))</f>
        <v>0.948872194965693</v>
      </c>
      <c r="C662" s="51" t="n">
        <f aca="false">1+IF($G$7=$E$7,$F$7,IF(Q662&lt;($F$7-$E$7)/($G$7-$E$7),$E$7+SQRT(Q662*($G$7-$E$7)*($F$7-$E$7)),$G$7-SQRT((1-Q662)*($G$7-$E$7)*($G$7-$F$7))))</f>
        <v>0.830447762833346</v>
      </c>
      <c r="D662" s="51" t="n">
        <f aca="false">1+IF($G$8=$E$8,$F$8,IF(R662&lt;($F$8-$E$8)/($G$8-$E$8),$E$8+SQRT(R662*($G$8-$E$8)*($F$8-$E$8)),$G$8-SQRT((1-R662)*($G$8-$E$8)*($G$8-$F$8))))</f>
        <v>1.06452862658096</v>
      </c>
      <c r="E662" s="51" t="n">
        <f aca="false">1+IF($G$9=$E$9,$F$9,IF(S662&lt;($F$9-$E$9)/($G$9-$E$9),$E$9+SQRT(S662*($G$9-$E$9)*($F$9-$E$9)),$G$9-SQRT((1-S662)*($G$9-$E$9)*($G$9-$F$9))))</f>
        <v>0.937965109692385</v>
      </c>
      <c r="F662" s="51" t="n">
        <f aca="false">1+IF($G$10=$E$10,$F$10,IF(T662&lt;($F$10-$E$10)/($G$10-$E$10),$E$10+SQRT(T662*($G$10-$E$10)*($F$10-$E$10)),$G$10-SQRT((1-T662)*($G$10-$E$10)*($G$10-$F$10))))</f>
        <v>1.01034506502569</v>
      </c>
      <c r="G662" s="52" t="n">
        <f aca="false">IF($G$11=$E$11,$F$11,IF(U662&lt;($F$11-$E$11)/($G$11-$E$11),$E$11+SQRT(U662*($G$11-$E$11)*($F$11-$E$11)),$G$11-SQRT((1-U662)*($G$11-$E$11)*($G$11-$F$11))))</f>
        <v>0.101764960664533</v>
      </c>
      <c r="H662" s="53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-2020690130.05138</v>
      </c>
      <c r="I662" s="53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-82398338.974052</v>
      </c>
      <c r="J662" s="53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110465806.105328</v>
      </c>
      <c r="K662" s="53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353847204.435992</v>
      </c>
      <c r="L662" s="53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445368145.430856</v>
      </c>
      <c r="M662" s="53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595149054.923743</v>
      </c>
      <c r="N662" s="53" t="n">
        <f aca="false">IF(COUNT('Business Case'!B11:G11)=0,"",H662+NPV(G662,I662:M662))</f>
        <v>-1071062641.36531</v>
      </c>
      <c r="P662" s="54" t="n">
        <f aca="true">RAND()</f>
        <v>0.159232762717647</v>
      </c>
      <c r="Q662" s="54" t="n">
        <f aca="true">RAND()</f>
        <v>0.126049028357221</v>
      </c>
      <c r="R662" s="54" t="n">
        <f aca="true">RAND()</f>
        <v>0.916118777851132</v>
      </c>
      <c r="S662" s="54" t="n">
        <f aca="true">RAND()</f>
        <v>0.0576539821581943</v>
      </c>
      <c r="T662" s="54" t="n">
        <f aca="true">RAND()</f>
        <v>0.234206828566132</v>
      </c>
      <c r="U662" s="54" t="n">
        <f aca="true">RAND()</f>
        <v>0.468521702483069</v>
      </c>
    </row>
    <row r="663" customFormat="false" ht="15" hidden="false" customHeight="false" outlineLevel="0" collapsed="false">
      <c r="A663" s="50" t="n">
        <v>583</v>
      </c>
      <c r="B663" s="51" t="n">
        <f aca="false">1+IF($G$6=$E$6,$F$6,IF(P663&lt;($F$6-$E$6)/($G$6-$E$6),$E$6+SQRT(P663*($G$6-$E$6)*($F$6-$E$6)),$G$6-SQRT((1-P663)*($G$6-$E$6)*($G$6-$F$6))))</f>
        <v>0.967090272441179</v>
      </c>
      <c r="C663" s="51" t="n">
        <f aca="false">1+IF($G$7=$E$7,$F$7,IF(Q663&lt;($F$7-$E$7)/($G$7-$E$7),$E$7+SQRT(Q663*($G$7-$E$7)*($F$7-$E$7)),$G$7-SQRT((1-Q663)*($G$7-$E$7)*($G$7-$F$7))))</f>
        <v>0.933970205641559</v>
      </c>
      <c r="D663" s="51" t="n">
        <f aca="false">1+IF($G$8=$E$8,$F$8,IF(R663&lt;($F$8-$E$8)/($G$8-$E$8),$E$8+SQRT(R663*($G$8-$E$8)*($F$8-$E$8)),$G$8-SQRT((1-R663)*($G$8-$E$8)*($G$8-$F$8))))</f>
        <v>1.0242180280965</v>
      </c>
      <c r="E663" s="51" t="n">
        <f aca="false">1+IF($G$9=$E$9,$F$9,IF(S663&lt;($F$9-$E$9)/($G$9-$E$9),$E$9+SQRT(S663*($G$9-$E$9)*($F$9-$E$9)),$G$9-SQRT((1-S663)*($G$9-$E$9)*($G$9-$F$9))))</f>
        <v>0.981798513202944</v>
      </c>
      <c r="F663" s="51" t="n">
        <f aca="false">1+IF($G$10=$E$10,$F$10,IF(T663&lt;($F$10-$E$10)/($G$10-$E$10),$E$10+SQRT(T663*($G$10-$E$10)*($F$10-$E$10)),$G$10-SQRT((1-T663)*($G$10-$E$10)*($G$10-$F$10))))</f>
        <v>0.996592774365692</v>
      </c>
      <c r="G663" s="52" t="n">
        <f aca="false">IF($G$11=$E$11,$F$11,IF(U663&lt;($F$11-$E$11)/($G$11-$E$11),$E$11+SQRT(U663*($G$11-$E$11)*($F$11-$E$11)),$G$11-SQRT((1-U663)*($G$11-$E$11)*($G$11-$F$11))))</f>
        <v>0.0982200649925553</v>
      </c>
      <c r="H663" s="53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-1993185548.73138</v>
      </c>
      <c r="I663" s="53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-35978484.3614972</v>
      </c>
      <c r="J663" s="53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214137681.963477</v>
      </c>
      <c r="K663" s="53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514083487.006735</v>
      </c>
      <c r="L663" s="53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628671292.230022</v>
      </c>
      <c r="M663" s="53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800357916.028982</v>
      </c>
      <c r="N663" s="53" t="n">
        <f aca="false">IF(COUNT('Business Case'!B11:G11)=0,"",H663+NPV(G663,I663:M663))</f>
        <v>-527098245.031025</v>
      </c>
      <c r="P663" s="54" t="n">
        <f aca="true">RAND()</f>
        <v>0.300073643748776</v>
      </c>
      <c r="Q663" s="54" t="n">
        <f aca="true">RAND()</f>
        <v>0.405496719466322</v>
      </c>
      <c r="R663" s="54" t="n">
        <f aca="true">RAND()</f>
        <v>0.617139515627857</v>
      </c>
      <c r="S663" s="54" t="n">
        <f aca="true">RAND()</f>
        <v>0.26763987048849</v>
      </c>
      <c r="T663" s="54" t="n">
        <f aca="true">RAND()</f>
        <v>0.144725774872818</v>
      </c>
      <c r="U663" s="54" t="n">
        <f aca="true">RAND()</f>
        <v>0.331970768332939</v>
      </c>
    </row>
    <row r="664" customFormat="false" ht="15" hidden="false" customHeight="false" outlineLevel="0" collapsed="false">
      <c r="A664" s="50" t="n">
        <v>584</v>
      </c>
      <c r="B664" s="51" t="n">
        <f aca="false">1+IF($G$6=$E$6,$F$6,IF(P664&lt;($F$6-$E$6)/($G$6-$E$6),$E$6+SQRT(P664*($G$6-$E$6)*($F$6-$E$6)),$G$6-SQRT((1-P664)*($G$6-$E$6)*($G$6-$F$6))))</f>
        <v>0.999087027535582</v>
      </c>
      <c r="C664" s="51" t="n">
        <f aca="false">1+IF($G$7=$E$7,$F$7,IF(Q664&lt;($F$7-$E$7)/($G$7-$E$7),$E$7+SQRT(Q664*($G$7-$E$7)*($F$7-$E$7)),$G$7-SQRT((1-Q664)*($G$7-$E$7)*($G$7-$F$7))))</f>
        <v>0.815260394120833</v>
      </c>
      <c r="D664" s="51" t="n">
        <f aca="false">1+IF($G$8=$E$8,$F$8,IF(R664&lt;($F$8-$E$8)/($G$8-$E$8),$E$8+SQRT(R664*($G$8-$E$8)*($F$8-$E$8)),$G$8-SQRT((1-R664)*($G$8-$E$8)*($G$8-$F$8))))</f>
        <v>1.04136755153415</v>
      </c>
      <c r="E664" s="51" t="n">
        <f aca="false">1+IF($G$9=$E$9,$F$9,IF(S664&lt;($F$9-$E$9)/($G$9-$E$9),$E$9+SQRT(S664*($G$9-$E$9)*($F$9-$E$9)),$G$9-SQRT((1-S664)*($G$9-$E$9)*($G$9-$F$9))))</f>
        <v>0.92411607482518</v>
      </c>
      <c r="F664" s="51" t="n">
        <f aca="false">1+IF($G$10=$E$10,$F$10,IF(T664&lt;($F$10-$E$10)/($G$10-$E$10),$E$10+SQRT(T664*($G$10-$E$10)*($F$10-$E$10)),$G$10-SQRT((1-T664)*($G$10-$E$10)*($G$10-$F$10))))</f>
        <v>0.975329318746733</v>
      </c>
      <c r="G664" s="52" t="n">
        <f aca="false">IF($G$11=$E$11,$F$11,IF(U664&lt;($F$11-$E$11)/($G$11-$E$11),$E$11+SQRT(U664*($G$11-$E$11)*($F$11-$E$11)),$G$11-SQRT((1-U664)*($G$11-$E$11)*($G$11-$F$11))))</f>
        <v>0.102097585347716</v>
      </c>
      <c r="H664" s="53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-1950658637.49347</v>
      </c>
      <c r="I664" s="53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-38632203.7184184</v>
      </c>
      <c r="J664" s="53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193902344.063707</v>
      </c>
      <c r="K664" s="53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475203357.783169</v>
      </c>
      <c r="L664" s="53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580864549.567698</v>
      </c>
      <c r="M664" s="53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735687766.782042</v>
      </c>
      <c r="N664" s="53" t="n">
        <f aca="false">IF(COUNT('Business Case'!B11:G11)=0,"",H664+NPV(G664,I664:M664))</f>
        <v>-624878728.140501</v>
      </c>
      <c r="P664" s="54" t="n">
        <f aca="true">RAND()</f>
        <v>0.654549268389142</v>
      </c>
      <c r="Q664" s="54" t="n">
        <f aca="true">RAND()</f>
        <v>0.0984070996510345</v>
      </c>
      <c r="R664" s="54" t="n">
        <f aca="true">RAND()</f>
        <v>0.770815732459948</v>
      </c>
      <c r="S664" s="54" t="n">
        <f aca="true">RAND()</f>
        <v>0.0232634025989468</v>
      </c>
      <c r="T664" s="54" t="n">
        <f aca="true">RAND()</f>
        <v>0.0427716258782407</v>
      </c>
      <c r="U664" s="54" t="n">
        <f aca="true">RAND()</f>
        <v>0.480970171047989</v>
      </c>
    </row>
    <row r="665" customFormat="false" ht="15" hidden="false" customHeight="false" outlineLevel="0" collapsed="false">
      <c r="A665" s="50" t="n">
        <v>585</v>
      </c>
      <c r="B665" s="51" t="n">
        <f aca="false">1+IF($G$6=$E$6,$F$6,IF(P665&lt;($F$6-$E$6)/($G$6-$E$6),$E$6+SQRT(P665*($G$6-$E$6)*($F$6-$E$6)),$G$6-SQRT((1-P665)*($G$6-$E$6)*($G$6-$F$6))))</f>
        <v>0.961669780138942</v>
      </c>
      <c r="C665" s="51" t="n">
        <f aca="false">1+IF($G$7=$E$7,$F$7,IF(Q665&lt;($F$7-$E$7)/($G$7-$E$7),$E$7+SQRT(Q665*($G$7-$E$7)*($F$7-$E$7)),$G$7-SQRT((1-Q665)*($G$7-$E$7)*($G$7-$F$7))))</f>
        <v>0.972264485159364</v>
      </c>
      <c r="D665" s="51" t="n">
        <f aca="false">1+IF($G$8=$E$8,$F$8,IF(R665&lt;($F$8-$E$8)/($G$8-$E$8),$E$8+SQRT(R665*($G$8-$E$8)*($F$8-$E$8)),$G$8-SQRT((1-R665)*($G$8-$E$8)*($G$8-$F$8))))</f>
        <v>1.01914138042932</v>
      </c>
      <c r="E665" s="51" t="n">
        <f aca="false">1+IF($G$9=$E$9,$F$9,IF(S665&lt;($F$9-$E$9)/($G$9-$E$9),$E$9+SQRT(S665*($G$9-$E$9)*($F$9-$E$9)),$G$9-SQRT((1-S665)*($G$9-$E$9)*($G$9-$F$9))))</f>
        <v>1.07855679625909</v>
      </c>
      <c r="F665" s="51" t="n">
        <f aca="false">1+IF($G$10=$E$10,$F$10,IF(T665&lt;($F$10-$E$10)/($G$10-$E$10),$E$10+SQRT(T665*($G$10-$E$10)*($F$10-$E$10)),$G$10-SQRT((1-T665)*($G$10-$E$10)*($G$10-$F$10))))</f>
        <v>1.04580899355705</v>
      </c>
      <c r="G665" s="52" t="n">
        <f aca="false">IF($G$11=$E$11,$F$11,IF(U665&lt;($F$11-$E$11)/($G$11-$E$11),$E$11+SQRT(U665*($G$11-$E$11)*($F$11-$E$11)),$G$11-SQRT((1-U665)*($G$11-$E$11)*($G$11-$F$11))))</f>
        <v>0.0991606038256505</v>
      </c>
      <c r="H665" s="53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-2091617987.11409</v>
      </c>
      <c r="I665" s="53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-47840485.1912798</v>
      </c>
      <c r="J665" s="53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210740969.252765</v>
      </c>
      <c r="K665" s="53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521612873.374662</v>
      </c>
      <c r="L665" s="53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640120200.757062</v>
      </c>
      <c r="M665" s="53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817844501.546177</v>
      </c>
      <c r="N665" s="53" t="n">
        <f aca="false">IF(COUNT('Business Case'!B11:G11)=0,"",H665+NPV(G665,I665:M665))</f>
        <v>-619609495.439742</v>
      </c>
      <c r="P665" s="54" t="n">
        <f aca="true">RAND()</f>
        <v>0.253544118825699</v>
      </c>
      <c r="Q665" s="54" t="n">
        <f aca="true">RAND()</f>
        <v>0.549095925030323</v>
      </c>
      <c r="R665" s="54" t="n">
        <f aca="true">RAND()</f>
        <v>0.564125576074962</v>
      </c>
      <c r="S665" s="54" t="n">
        <f aca="true">RAND()</f>
        <v>0.863889830379612</v>
      </c>
      <c r="T665" s="54" t="n">
        <f aca="true">RAND()</f>
        <v>0.444080438504186</v>
      </c>
      <c r="U665" s="54" t="n">
        <f aca="true">RAND()</f>
        <v>0.367128738963531</v>
      </c>
    </row>
    <row r="666" customFormat="false" ht="15" hidden="false" customHeight="false" outlineLevel="0" collapsed="false">
      <c r="A666" s="50" t="n">
        <v>586</v>
      </c>
      <c r="B666" s="51" t="n">
        <f aca="false">1+IF($G$6=$E$6,$F$6,IF(P666&lt;($F$6-$E$6)/($G$6-$E$6),$E$6+SQRT(P666*($G$6-$E$6)*($F$6-$E$6)),$G$6-SQRT((1-P666)*($G$6-$E$6)*($G$6-$F$6))))</f>
        <v>0.955152794827023</v>
      </c>
      <c r="C666" s="51" t="n">
        <f aca="false">1+IF($G$7=$E$7,$F$7,IF(Q666&lt;($F$7-$E$7)/($G$7-$E$7),$E$7+SQRT(Q666*($G$7-$E$7)*($F$7-$E$7)),$G$7-SQRT((1-Q666)*($G$7-$E$7)*($G$7-$F$7))))</f>
        <v>0.97276547206636</v>
      </c>
      <c r="D666" s="51" t="n">
        <f aca="false">1+IF($G$8=$E$8,$F$8,IF(R666&lt;($F$8-$E$8)/($G$8-$E$8),$E$8+SQRT(R666*($G$8-$E$8)*($F$8-$E$8)),$G$8-SQRT((1-R666)*($G$8-$E$8)*($G$8-$F$8))))</f>
        <v>1.02815997217221</v>
      </c>
      <c r="E666" s="51" t="n">
        <f aca="false">1+IF($G$9=$E$9,$F$9,IF(S666&lt;($F$9-$E$9)/($G$9-$E$9),$E$9+SQRT(S666*($G$9-$E$9)*($F$9-$E$9)),$G$9-SQRT((1-S666)*($G$9-$E$9)*($G$9-$F$9))))</f>
        <v>1.05013380797237</v>
      </c>
      <c r="F666" s="51" t="n">
        <f aca="false">1+IF($G$10=$E$10,$F$10,IF(T666&lt;($F$10-$E$10)/($G$10-$E$10),$E$10+SQRT(T666*($G$10-$E$10)*($F$10-$E$10)),$G$10-SQRT((1-T666)*($G$10-$E$10)*($G$10-$F$10))))</f>
        <v>1.04734876503345</v>
      </c>
      <c r="G666" s="52" t="n">
        <f aca="false">IF($G$11=$E$11,$F$11,IF(U666&lt;($F$11-$E$11)/($G$11-$E$11),$E$11+SQRT(U666*($G$11-$E$11)*($F$11-$E$11)),$G$11-SQRT((1-U666)*($G$11-$E$11)*($G$11-$F$11))))</f>
        <v>0.0970970439250483</v>
      </c>
      <c r="H666" s="53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-2094697530.0669</v>
      </c>
      <c r="I666" s="53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-53199374.7819833</v>
      </c>
      <c r="J666" s="53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195831754.374033</v>
      </c>
      <c r="K666" s="53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497230321.781722</v>
      </c>
      <c r="L666" s="53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612351764.794385</v>
      </c>
      <c r="M666" s="53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788962631.244661</v>
      </c>
      <c r="N666" s="53" t="n">
        <f aca="false">IF(COUNT('Business Case'!B11:G11)=0,"",H666+NPV(G666,I666:M666))</f>
        <v>-684848467.926657</v>
      </c>
      <c r="P666" s="54" t="n">
        <f aca="true">RAND()</f>
        <v>0.20278871848211</v>
      </c>
      <c r="Q666" s="54" t="n">
        <f aca="true">RAND()</f>
        <v>0.551118538900623</v>
      </c>
      <c r="R666" s="54" t="n">
        <f aca="true">RAND()</f>
        <v>0.65593402678013</v>
      </c>
      <c r="S666" s="54" t="n">
        <f aca="true">RAND()</f>
        <v>0.734046498397324</v>
      </c>
      <c r="T666" s="54" t="n">
        <f aca="true">RAND()</f>
        <v>0.45243302622043</v>
      </c>
      <c r="U666" s="54" t="n">
        <f aca="true">RAND()</f>
        <v>0.292308910975031</v>
      </c>
    </row>
    <row r="667" customFormat="false" ht="15" hidden="false" customHeight="false" outlineLevel="0" collapsed="false">
      <c r="A667" s="50" t="n">
        <v>587</v>
      </c>
      <c r="B667" s="51" t="n">
        <f aca="false">1+IF($G$6=$E$6,$F$6,IF(P667&lt;($F$6-$E$6)/($G$6-$E$6),$E$6+SQRT(P667*($G$6-$E$6)*($F$6-$E$6)),$G$6-SQRT((1-P667)*($G$6-$E$6)*($G$6-$F$6))))</f>
        <v>0.986109343997855</v>
      </c>
      <c r="C667" s="51" t="n">
        <f aca="false">1+IF($G$7=$E$7,$F$7,IF(Q667&lt;($F$7-$E$7)/($G$7-$E$7),$E$7+SQRT(Q667*($G$7-$E$7)*($F$7-$E$7)),$G$7-SQRT((1-Q667)*($G$7-$E$7)*($G$7-$F$7))))</f>
        <v>1.08691215076551</v>
      </c>
      <c r="D667" s="51" t="n">
        <f aca="false">1+IF($G$8=$E$8,$F$8,IF(R667&lt;($F$8-$E$8)/($G$8-$E$8),$E$8+SQRT(R667*($G$8-$E$8)*($F$8-$E$8)),$G$8-SQRT((1-R667)*($G$8-$E$8)*($G$8-$F$8))))</f>
        <v>1.0265214039301</v>
      </c>
      <c r="E667" s="51" t="n">
        <f aca="false">1+IF($G$9=$E$9,$F$9,IF(S667&lt;($F$9-$E$9)/($G$9-$E$9),$E$9+SQRT(S667*($G$9-$E$9)*($F$9-$E$9)),$G$9-SQRT((1-S667)*($G$9-$E$9)*($G$9-$F$9))))</f>
        <v>1.04950520529378</v>
      </c>
      <c r="F667" s="51" t="n">
        <f aca="false">1+IF($G$10=$E$10,$F$10,IF(T667&lt;($F$10-$E$10)/($G$10-$E$10),$E$10+SQRT(T667*($G$10-$E$10)*($F$10-$E$10)),$G$10-SQRT((1-T667)*($G$10-$E$10)*($G$10-$F$10))))</f>
        <v>1.02651685678604</v>
      </c>
      <c r="G667" s="52" t="n">
        <f aca="false">IF($G$11=$E$11,$F$11,IF(U667&lt;($F$11-$E$11)/($G$11-$E$11),$E$11+SQRT(U667*($G$11-$E$11)*($F$11-$E$11)),$G$11-SQRT((1-U667)*($G$11-$E$11)*($G$11-$F$11))))</f>
        <v>0.0961370546403809</v>
      </c>
      <c r="H667" s="53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-2053033713.57207</v>
      </c>
      <c r="I667" s="53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-730049.546633482</v>
      </c>
      <c r="J667" s="53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305994076.35632</v>
      </c>
      <c r="K667" s="53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664044045.098574</v>
      </c>
      <c r="L667" s="53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803327320.118364</v>
      </c>
      <c r="M667" s="53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1007057768.57179</v>
      </c>
      <c r="N667" s="53" t="n">
        <f aca="false">IF(COUNT('Business Case'!B11:G11)=0,"",H667+NPV(G667,I667:M667))</f>
        <v>-101968332.007496</v>
      </c>
      <c r="P667" s="54" t="n">
        <f aca="true">RAND()</f>
        <v>0.494321274916064</v>
      </c>
      <c r="Q667" s="54" t="n">
        <f aca="true">RAND()</f>
        <v>0.941035900429131</v>
      </c>
      <c r="R667" s="54" t="n">
        <f aca="true">RAND()</f>
        <v>0.640059727973073</v>
      </c>
      <c r="S667" s="54" t="n">
        <f aca="true">RAND()</f>
        <v>0.730687899652134</v>
      </c>
      <c r="T667" s="54" t="n">
        <f aca="true">RAND()</f>
        <v>0.334070462656091</v>
      </c>
      <c r="U667" s="54" t="n">
        <f aca="true">RAND()</f>
        <v>0.26040453246664</v>
      </c>
    </row>
    <row r="668" customFormat="false" ht="15" hidden="false" customHeight="false" outlineLevel="0" collapsed="false">
      <c r="A668" s="50" t="n">
        <v>588</v>
      </c>
      <c r="B668" s="51" t="n">
        <f aca="false">1+IF($G$6=$E$6,$F$6,IF(P668&lt;($F$6-$E$6)/($G$6-$E$6),$E$6+SQRT(P668*($G$6-$E$6)*($F$6-$E$6)),$G$6-SQRT((1-P668)*($G$6-$E$6)*($G$6-$F$6))))</f>
        <v>1.02616885410027</v>
      </c>
      <c r="C668" s="51" t="n">
        <f aca="false">1+IF($G$7=$E$7,$F$7,IF(Q668&lt;($F$7-$E$7)/($G$7-$E$7),$E$7+SQRT(Q668*($G$7-$E$7)*($F$7-$E$7)),$G$7-SQRT((1-Q668)*($G$7-$E$7)*($G$7-$F$7))))</f>
        <v>1.05126793277796</v>
      </c>
      <c r="D668" s="51" t="n">
        <f aca="false">1+IF($G$8=$E$8,$F$8,IF(R668&lt;($F$8-$E$8)/($G$8-$E$8),$E$8+SQRT(R668*($G$8-$E$8)*($F$8-$E$8)),$G$8-SQRT((1-R668)*($G$8-$E$8)*($G$8-$F$8))))</f>
        <v>1.05716717864322</v>
      </c>
      <c r="E668" s="51" t="n">
        <f aca="false">1+IF($G$9=$E$9,$F$9,IF(S668&lt;($F$9-$E$9)/($G$9-$E$9),$E$9+SQRT(S668*($G$9-$E$9)*($F$9-$E$9)),$G$9-SQRT((1-S668)*($G$9-$E$9)*($G$9-$F$9))))</f>
        <v>0.970876488756098</v>
      </c>
      <c r="F668" s="51" t="n">
        <f aca="false">1+IF($G$10=$E$10,$F$10,IF(T668&lt;($F$10-$E$10)/($G$10-$E$10),$E$10+SQRT(T668*($G$10-$E$10)*($F$10-$E$10)),$G$10-SQRT((1-T668)*($G$10-$E$10)*($G$10-$F$10))))</f>
        <v>0.995304086536411</v>
      </c>
      <c r="G668" s="52" t="n">
        <f aca="false">IF($G$11=$E$11,$F$11,IF(U668&lt;($F$11-$E$11)/($G$11-$E$11),$E$11+SQRT(U668*($G$11-$E$11)*($F$11-$E$11)),$G$11-SQRT((1-U668)*($G$11-$E$11)*($G$11-$F$11))))</f>
        <v>0.0949769962903791</v>
      </c>
      <c r="H668" s="53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-1990608173.07282</v>
      </c>
      <c r="I668" s="53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21153812.2294774</v>
      </c>
      <c r="J668" s="53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335820542.584542</v>
      </c>
      <c r="K668" s="53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700252477.266428</v>
      </c>
      <c r="L668" s="53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842423969.232003</v>
      </c>
      <c r="M668" s="53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1047478169.39171</v>
      </c>
      <c r="N668" s="53" t="n">
        <f aca="false">IF(COUNT('Business Case'!B11:G11)=0,"",H668+NPV(G668,I668:M668))</f>
        <v>93658886.1136785</v>
      </c>
      <c r="P668" s="54" t="n">
        <f aca="true">RAND()</f>
        <v>0.924276864680781</v>
      </c>
      <c r="Q668" s="54" t="n">
        <f aca="true">RAND()</f>
        <v>0.855584872623154</v>
      </c>
      <c r="R668" s="54" t="n">
        <f aca="true">RAND()</f>
        <v>0.877689960974534</v>
      </c>
      <c r="S668" s="54" t="n">
        <f aca="true">RAND()</f>
        <v>0.200939066335732</v>
      </c>
      <c r="T668" s="54" t="n">
        <f aca="true">RAND()</f>
        <v>0.136830683793239</v>
      </c>
      <c r="U668" s="54" t="n">
        <f aca="true">RAND()</f>
        <v>0.224310417882029</v>
      </c>
    </row>
    <row r="669" customFormat="false" ht="15" hidden="false" customHeight="false" outlineLevel="0" collapsed="false">
      <c r="A669" s="50" t="n">
        <v>589</v>
      </c>
      <c r="B669" s="51" t="n">
        <f aca="false">1+IF($G$6=$E$6,$F$6,IF(P669&lt;($F$6-$E$6)/($G$6-$E$6),$E$6+SQRT(P669*($G$6-$E$6)*($F$6-$E$6)),$G$6-SQRT((1-P669)*($G$6-$E$6)*($G$6-$F$6))))</f>
        <v>0.963036003443041</v>
      </c>
      <c r="C669" s="51" t="n">
        <f aca="false">1+IF($G$7=$E$7,$F$7,IF(Q669&lt;($F$7-$E$7)/($G$7-$E$7),$E$7+SQRT(Q669*($G$7-$E$7)*($F$7-$E$7)),$G$7-SQRT((1-Q669)*($G$7-$E$7)*($G$7-$F$7))))</f>
        <v>0.76670490149667</v>
      </c>
      <c r="D669" s="51" t="n">
        <f aca="false">1+IF($G$8=$E$8,$F$8,IF(R669&lt;($F$8-$E$8)/($G$8-$E$8),$E$8+SQRT(R669*($G$8-$E$8)*($F$8-$E$8)),$G$8-SQRT((1-R669)*($G$8-$E$8)*($G$8-$F$8))))</f>
        <v>1.00375699375131</v>
      </c>
      <c r="E669" s="51" t="n">
        <f aca="false">1+IF($G$9=$E$9,$F$9,IF(S669&lt;($F$9-$E$9)/($G$9-$E$9),$E$9+SQRT(S669*($G$9-$E$9)*($F$9-$E$9)),$G$9-SQRT((1-S669)*($G$9-$E$9)*($G$9-$F$9))))</f>
        <v>0.965849301883208</v>
      </c>
      <c r="F669" s="51" t="n">
        <f aca="false">1+IF($G$10=$E$10,$F$10,IF(T669&lt;($F$10-$E$10)/($G$10-$E$10),$E$10+SQRT(T669*($G$10-$E$10)*($F$10-$E$10)),$G$10-SQRT((1-T669)*($G$10-$E$10)*($G$10-$F$10))))</f>
        <v>1.14310326156004</v>
      </c>
      <c r="G669" s="52" t="n">
        <f aca="false">IF($G$11=$E$11,$F$11,IF(U669&lt;($F$11-$E$11)/($G$11-$E$11),$E$11+SQRT(U669*($G$11-$E$11)*($F$11-$E$11)),$G$11-SQRT((1-U669)*($G$11-$E$11)*($G$11-$F$11))))</f>
        <v>0.115484346884998</v>
      </c>
      <c r="H669" s="53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-2286206523.12009</v>
      </c>
      <c r="I669" s="53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-79123444.5705895</v>
      </c>
      <c r="J669" s="53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131684019.490945</v>
      </c>
      <c r="K669" s="53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399646646.630481</v>
      </c>
      <c r="L669" s="53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495433675.816544</v>
      </c>
      <c r="M669" s="53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635781985.56041</v>
      </c>
      <c r="N669" s="53" t="n">
        <f aca="false">IF(COUNT('Business Case'!B11:G11)=0,"",H669+NPV(G669,I669:M669))</f>
        <v>-1275272231.75639</v>
      </c>
      <c r="P669" s="54" t="n">
        <f aca="true">RAND()</f>
        <v>0.264902515338074</v>
      </c>
      <c r="Q669" s="54" t="n">
        <f aca="true">RAND()</f>
        <v>0.0329595843235592</v>
      </c>
      <c r="R669" s="54" t="n">
        <f aca="true">RAND()</f>
        <v>0.382485583214341</v>
      </c>
      <c r="S669" s="54" t="n">
        <f aca="true">RAND()</f>
        <v>0.173445222340236</v>
      </c>
      <c r="T669" s="54" t="n">
        <f aca="true">RAND()</f>
        <v>0.847641164145329</v>
      </c>
      <c r="U669" s="54" t="n">
        <f aca="true">RAND()</f>
        <v>0.859530543096615</v>
      </c>
    </row>
    <row r="670" customFormat="false" ht="15" hidden="false" customHeight="false" outlineLevel="0" collapsed="false">
      <c r="A670" s="50" t="n">
        <v>590</v>
      </c>
      <c r="B670" s="51" t="n">
        <f aca="false">1+IF($G$6=$E$6,$F$6,IF(P670&lt;($F$6-$E$6)/($G$6-$E$6),$E$6+SQRT(P670*($G$6-$E$6)*($F$6-$E$6)),$G$6-SQRT((1-P670)*($G$6-$E$6)*($G$6-$F$6))))</f>
        <v>0.957075263191805</v>
      </c>
      <c r="C670" s="51" t="n">
        <f aca="false">1+IF($G$7=$E$7,$F$7,IF(Q670&lt;($F$7-$E$7)/($G$7-$E$7),$E$7+SQRT(Q670*($G$7-$E$7)*($F$7-$E$7)),$G$7-SQRT((1-Q670)*($G$7-$E$7)*($G$7-$F$7))))</f>
        <v>0.761843204134931</v>
      </c>
      <c r="D670" s="51" t="n">
        <f aca="false">1+IF($G$8=$E$8,$F$8,IF(R670&lt;($F$8-$E$8)/($G$8-$E$8),$E$8+SQRT(R670*($G$8-$E$8)*($F$8-$E$8)),$G$8-SQRT((1-R670)*($G$8-$E$8)*($G$8-$F$8))))</f>
        <v>1.05189487135748</v>
      </c>
      <c r="E670" s="51" t="n">
        <f aca="false">1+IF($G$9=$E$9,$F$9,IF(S670&lt;($F$9-$E$9)/($G$9-$E$9),$E$9+SQRT(S670*($G$9-$E$9)*($F$9-$E$9)),$G$9-SQRT((1-S670)*($G$9-$E$9)*($G$9-$F$9))))</f>
        <v>0.991462453008469</v>
      </c>
      <c r="F670" s="51" t="n">
        <f aca="false">1+IF($G$10=$E$10,$F$10,IF(T670&lt;($F$10-$E$10)/($G$10-$E$10),$E$10+SQRT(T670*($G$10-$E$10)*($F$10-$E$10)),$G$10-SQRT((1-T670)*($G$10-$E$10)*($G$10-$F$10))))</f>
        <v>1.01886815793809</v>
      </c>
      <c r="G670" s="52" t="n">
        <f aca="false">IF($G$11=$E$11,$F$11,IF(U670&lt;($F$11-$E$11)/($G$11-$E$11),$E$11+SQRT(U670*($G$11-$E$11)*($F$11-$E$11)),$G$11-SQRT((1-U670)*($G$11-$E$11)*($G$11-$F$11))))</f>
        <v>0.105959286486068</v>
      </c>
      <c r="H670" s="53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-2037736315.87619</v>
      </c>
      <c r="I670" s="53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-93694166.9531837</v>
      </c>
      <c r="J670" s="53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93283126.9252619</v>
      </c>
      <c r="K670" s="53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331203828.700612</v>
      </c>
      <c r="L670" s="53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418728716.140104</v>
      </c>
      <c r="M670" s="53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557323891.613495</v>
      </c>
      <c r="N670" s="53" t="n">
        <f aca="false">IF(COUNT('Business Case'!B11:G11)=0,"",H670+NPV(G670,I670:M670))</f>
        <v>-1184637741.51452</v>
      </c>
      <c r="P670" s="54" t="n">
        <f aca="true">RAND()</f>
        <v>0.217172377894256</v>
      </c>
      <c r="Q670" s="54" t="n">
        <f aca="true">RAND()</f>
        <v>0.0283302362790717</v>
      </c>
      <c r="R670" s="54" t="n">
        <f aca="true">RAND()</f>
        <v>0.845726439885774</v>
      </c>
      <c r="S670" s="54" t="n">
        <f aca="true">RAND()</f>
        <v>0.334615212413053</v>
      </c>
      <c r="T670" s="54" t="n">
        <f aca="true">RAND()</f>
        <v>0.28770762113426</v>
      </c>
      <c r="U670" s="54" t="n">
        <f aca="true">RAND()</f>
        <v>0.614696062494038</v>
      </c>
    </row>
    <row r="671" customFormat="false" ht="15" hidden="false" customHeight="false" outlineLevel="0" collapsed="false">
      <c r="A671" s="50" t="n">
        <v>591</v>
      </c>
      <c r="B671" s="51" t="n">
        <f aca="false">1+IF($G$6=$E$6,$F$6,IF(P671&lt;($F$6-$E$6)/($G$6-$E$6),$E$6+SQRT(P671*($G$6-$E$6)*($F$6-$E$6)),$G$6-SQRT((1-P671)*($G$6-$E$6)*($G$6-$F$6))))</f>
        <v>0.993830646194163</v>
      </c>
      <c r="C671" s="51" t="n">
        <f aca="false">1+IF($G$7=$E$7,$F$7,IF(Q671&lt;($F$7-$E$7)/($G$7-$E$7),$E$7+SQRT(Q671*($G$7-$E$7)*($F$7-$E$7)),$G$7-SQRT((1-Q671)*($G$7-$E$7)*($G$7-$F$7))))</f>
        <v>0.835261926401341</v>
      </c>
      <c r="D671" s="51" t="n">
        <f aca="false">1+IF($G$8=$E$8,$F$8,IF(R671&lt;($F$8-$E$8)/($G$8-$E$8),$E$8+SQRT(R671*($G$8-$E$8)*($F$8-$E$8)),$G$8-SQRT((1-R671)*($G$8-$E$8)*($G$8-$F$8))))</f>
        <v>1.02648244137975</v>
      </c>
      <c r="E671" s="51" t="n">
        <f aca="false">1+IF($G$9=$E$9,$F$9,IF(S671&lt;($F$9-$E$9)/($G$9-$E$9),$E$9+SQRT(S671*($G$9-$E$9)*($F$9-$E$9)),$G$9-SQRT((1-S671)*($G$9-$E$9)*($G$9-$F$9))))</f>
        <v>1.10464908597104</v>
      </c>
      <c r="F671" s="51" t="n">
        <f aca="false">1+IF($G$10=$E$10,$F$10,IF(T671&lt;($F$10-$E$10)/($G$10-$E$10),$E$10+SQRT(T671*($G$10-$E$10)*($F$10-$E$10)),$G$10-SQRT((1-T671)*($G$10-$E$10)*($G$10-$F$10))))</f>
        <v>1.21491724624276</v>
      </c>
      <c r="G671" s="52" t="n">
        <f aca="false">IF($G$11=$E$11,$F$11,IF(U671&lt;($F$11-$E$11)/($G$11-$E$11),$E$11+SQRT(U671*($G$11-$E$11)*($F$11-$E$11)),$G$11-SQRT((1-U671)*($G$11-$E$11)*($G$11-$F$11))))</f>
        <v>0.0979611065090889</v>
      </c>
      <c r="H671" s="53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-2429834492.48552</v>
      </c>
      <c r="I671" s="53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-80597553.6236934</v>
      </c>
      <c r="J671" s="53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160410562.780917</v>
      </c>
      <c r="K671" s="53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462164541.497665</v>
      </c>
      <c r="L671" s="53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571189143.885165</v>
      </c>
      <c r="M671" s="53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728976243.607966</v>
      </c>
      <c r="N671" s="53" t="n">
        <f aca="false">IF(COUNT('Business Case'!B11:G11)=0,"",H671+NPV(G671,I671:M671))</f>
        <v>-1171117433.33518</v>
      </c>
      <c r="P671" s="54" t="n">
        <f aca="true">RAND()</f>
        <v>0.586946011014275</v>
      </c>
      <c r="Q671" s="54" t="n">
        <f aca="true">RAND()</f>
        <v>0.135524360991124</v>
      </c>
      <c r="R671" s="54" t="n">
        <f aca="true">RAND()</f>
        <v>0.639677904967826</v>
      </c>
      <c r="S671" s="54" t="n">
        <f aca="true">RAND()</f>
        <v>0.945154522579668</v>
      </c>
      <c r="T671" s="54" t="n">
        <f aca="true">RAND()</f>
        <v>0.983589338517453</v>
      </c>
      <c r="U671" s="54" t="n">
        <f aca="true">RAND()</f>
        <v>0.322601347030836</v>
      </c>
    </row>
    <row r="672" customFormat="false" ht="15" hidden="false" customHeight="false" outlineLevel="0" collapsed="false">
      <c r="A672" s="50" t="n">
        <v>592</v>
      </c>
      <c r="B672" s="51" t="n">
        <f aca="false">1+IF($G$6=$E$6,$F$6,IF(P672&lt;($F$6-$E$6)/($G$6-$E$6),$E$6+SQRT(P672*($G$6-$E$6)*($F$6-$E$6)),$G$6-SQRT((1-P672)*($G$6-$E$6)*($G$6-$F$6))))</f>
        <v>0.973001406989822</v>
      </c>
      <c r="C672" s="51" t="n">
        <f aca="false">1+IF($G$7=$E$7,$F$7,IF(Q672&lt;($F$7-$E$7)/($G$7-$E$7),$E$7+SQRT(Q672*($G$7-$E$7)*($F$7-$E$7)),$G$7-SQRT((1-Q672)*($G$7-$E$7)*($G$7-$F$7))))</f>
        <v>0.838009712728215</v>
      </c>
      <c r="D672" s="51" t="n">
        <f aca="false">1+IF($G$8=$E$8,$F$8,IF(R672&lt;($F$8-$E$8)/($G$8-$E$8),$E$8+SQRT(R672*($G$8-$E$8)*($F$8-$E$8)),$G$8-SQRT((1-R672)*($G$8-$E$8)*($G$8-$F$8))))</f>
        <v>1.02120591704334</v>
      </c>
      <c r="E672" s="51" t="n">
        <f aca="false">1+IF($G$9=$E$9,$F$9,IF(S672&lt;($F$9-$E$9)/($G$9-$E$9),$E$9+SQRT(S672*($G$9-$E$9)*($F$9-$E$9)),$G$9-SQRT((1-S672)*($G$9-$E$9)*($G$9-$F$9))))</f>
        <v>1.02317935370639</v>
      </c>
      <c r="F672" s="51" t="n">
        <f aca="false">1+IF($G$10=$E$10,$F$10,IF(T672&lt;($F$10-$E$10)/($G$10-$E$10),$E$10+SQRT(T672*($G$10-$E$10)*($F$10-$E$10)),$G$10-SQRT((1-T672)*($G$10-$E$10)*($G$10-$F$10))))</f>
        <v>1.0085579895628</v>
      </c>
      <c r="G672" s="52" t="n">
        <f aca="false">IF($G$11=$E$11,$F$11,IF(U672&lt;($F$11-$E$11)/($G$11-$E$11),$E$11+SQRT(U672*($G$11-$E$11)*($F$11-$E$11)),$G$11-SQRT((1-U672)*($G$11-$E$11)*($G$11-$F$11))))</f>
        <v>0.120091061351329</v>
      </c>
      <c r="H672" s="53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-2017115979.1256</v>
      </c>
      <c r="I672" s="53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-58853864.8269388</v>
      </c>
      <c r="J672" s="53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170913712.595618</v>
      </c>
      <c r="K672" s="53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451109189.496315</v>
      </c>
      <c r="L672" s="53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555878074.767945</v>
      </c>
      <c r="M672" s="53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710866385.15389</v>
      </c>
      <c r="N672" s="53" t="n">
        <f aca="false">IF(COUNT('Business Case'!B11:G11)=0,"",H672+NPV(G672,I672:M672))</f>
        <v>-856061844.348885</v>
      </c>
      <c r="P672" s="54" t="n">
        <f aca="true">RAND()</f>
        <v>0.355280361499576</v>
      </c>
      <c r="Q672" s="54" t="n">
        <f aca="true">RAND()</f>
        <v>0.141086524498699</v>
      </c>
      <c r="R672" s="54" t="n">
        <f aca="true">RAND()</f>
        <v>0.586099499401267</v>
      </c>
      <c r="S672" s="54" t="n">
        <f aca="true">RAND()</f>
        <v>0.571107297964554</v>
      </c>
      <c r="T672" s="54" t="n">
        <f aca="true">RAND()</f>
        <v>0.222743407947242</v>
      </c>
      <c r="U672" s="54" t="n">
        <f aca="true">RAND()</f>
        <v>0.934541956571254</v>
      </c>
    </row>
    <row r="673" customFormat="false" ht="15" hidden="false" customHeight="false" outlineLevel="0" collapsed="false">
      <c r="A673" s="50" t="n">
        <v>593</v>
      </c>
      <c r="B673" s="51" t="n">
        <f aca="false">1+IF($G$6=$E$6,$F$6,IF(P673&lt;($F$6-$E$6)/($G$6-$E$6),$E$6+SQRT(P673*($G$6-$E$6)*($F$6-$E$6)),$G$6-SQRT((1-P673)*($G$6-$E$6)*($G$6-$F$6))))</f>
        <v>0.966271101666152</v>
      </c>
      <c r="C673" s="51" t="n">
        <f aca="false">1+IF($G$7=$E$7,$F$7,IF(Q673&lt;($F$7-$E$7)/($G$7-$E$7),$E$7+SQRT(Q673*($G$7-$E$7)*($F$7-$E$7)),$G$7-SQRT((1-Q673)*($G$7-$E$7)*($G$7-$F$7))))</f>
        <v>0.995637583918017</v>
      </c>
      <c r="D673" s="51" t="n">
        <f aca="false">1+IF($G$8=$E$8,$F$8,IF(R673&lt;($F$8-$E$8)/($G$8-$E$8),$E$8+SQRT(R673*($G$8-$E$8)*($F$8-$E$8)),$G$8-SQRT((1-R673)*($G$8-$E$8)*($G$8-$F$8))))</f>
        <v>0.958108651202355</v>
      </c>
      <c r="E673" s="51" t="n">
        <f aca="false">1+IF($G$9=$E$9,$F$9,IF(S673&lt;($F$9-$E$9)/($G$9-$E$9),$E$9+SQRT(S673*($G$9-$E$9)*($F$9-$E$9)),$G$9-SQRT((1-S673)*($G$9-$E$9)*($G$9-$F$9))))</f>
        <v>0.994777792814841</v>
      </c>
      <c r="F673" s="51" t="n">
        <f aca="false">1+IF($G$10=$E$10,$F$10,IF(T673&lt;($F$10-$E$10)/($G$10-$E$10),$E$10+SQRT(T673*($G$10-$E$10)*($F$10-$E$10)),$G$10-SQRT((1-T673)*($G$10-$E$10)*($G$10-$F$10))))</f>
        <v>1.15854050293835</v>
      </c>
      <c r="G673" s="52" t="n">
        <f aca="false">IF($G$11=$E$11,$F$11,IF(U673&lt;($F$11-$E$11)/($G$11-$E$11),$E$11+SQRT(U673*($G$11-$E$11)*($F$11-$E$11)),$G$11-SQRT((1-U673)*($G$11-$E$11)*($G$11-$F$11))))</f>
        <v>0.12048914473337</v>
      </c>
      <c r="H673" s="53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-2317081005.8767</v>
      </c>
      <c r="I673" s="53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-7526762.42972726</v>
      </c>
      <c r="J673" s="53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292130901.544419</v>
      </c>
      <c r="K673" s="53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649715590.665482</v>
      </c>
      <c r="L673" s="53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782850127.971376</v>
      </c>
      <c r="M673" s="53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965717699.201193</v>
      </c>
      <c r="N673" s="53" t="n">
        <f aca="false">IF(COUNT('Business Case'!B11:G11)=0,"",H673+NPV(G673,I673:M673))</f>
        <v>-585841027.082245</v>
      </c>
      <c r="P673" s="54" t="n">
        <f aca="true">RAND()</f>
        <v>0.292790594403033</v>
      </c>
      <c r="Q673" s="54" t="n">
        <f aca="true">RAND()</f>
        <v>0.647419118702835</v>
      </c>
      <c r="R673" s="54" t="n">
        <f aca="true">RAND()</f>
        <v>0.00876669657619353</v>
      </c>
      <c r="S673" s="54" t="n">
        <f aca="true">RAND()</f>
        <v>0.359313200434118</v>
      </c>
      <c r="T673" s="54" t="n">
        <f aca="true">RAND()</f>
        <v>0.888468805296398</v>
      </c>
      <c r="U673" s="54" t="n">
        <f aca="true">RAND()</f>
        <v>0.939695754731475</v>
      </c>
    </row>
    <row r="674" customFormat="false" ht="15" hidden="false" customHeight="false" outlineLevel="0" collapsed="false">
      <c r="A674" s="50" t="n">
        <v>594</v>
      </c>
      <c r="B674" s="51" t="n">
        <f aca="false">1+IF($G$6=$E$6,$F$6,IF(P674&lt;($F$6-$E$6)/($G$6-$E$6),$E$6+SQRT(P674*($G$6-$E$6)*($F$6-$E$6)),$G$6-SQRT((1-P674)*($G$6-$E$6)*($G$6-$F$6))))</f>
        <v>1.04010226706551</v>
      </c>
      <c r="C674" s="51" t="n">
        <f aca="false">1+IF($G$7=$E$7,$F$7,IF(Q674&lt;($F$7-$E$7)/($G$7-$E$7),$E$7+SQRT(Q674*($G$7-$E$7)*($F$7-$E$7)),$G$7-SQRT((1-Q674)*($G$7-$E$7)*($G$7-$F$7))))</f>
        <v>0.906501004454149</v>
      </c>
      <c r="D674" s="51" t="n">
        <f aca="false">1+IF($G$8=$E$8,$F$8,IF(R674&lt;($F$8-$E$8)/($G$8-$E$8),$E$8+SQRT(R674*($G$8-$E$8)*($F$8-$E$8)),$G$8-SQRT((1-R674)*($G$8-$E$8)*($G$8-$F$8))))</f>
        <v>0.990652389111451</v>
      </c>
      <c r="E674" s="51" t="n">
        <f aca="false">1+IF($G$9=$E$9,$F$9,IF(S674&lt;($F$9-$E$9)/($G$9-$E$9),$E$9+SQRT(S674*($G$9-$E$9)*($F$9-$E$9)),$G$9-SQRT((1-S674)*($G$9-$E$9)*($G$9-$F$9))))</f>
        <v>0.981546083940698</v>
      </c>
      <c r="F674" s="51" t="n">
        <f aca="false">1+IF($G$10=$E$10,$F$10,IF(T674&lt;($F$10-$E$10)/($G$10-$E$10),$E$10+SQRT(T674*($G$10-$E$10)*($F$10-$E$10)),$G$10-SQRT((1-T674)*($G$10-$E$10)*($G$10-$F$10))))</f>
        <v>1.00225973253286</v>
      </c>
      <c r="G674" s="52" t="n">
        <f aca="false">IF($G$11=$E$11,$F$11,IF(U674&lt;($F$11-$E$11)/($G$11-$E$11),$E$11+SQRT(U674*($G$11-$E$11)*($F$11-$E$11)),$G$11-SQRT((1-U674)*($G$11-$E$11)*($G$11-$F$11))))</f>
        <v>0.114955755790483</v>
      </c>
      <c r="H674" s="53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-2004519465.06572</v>
      </c>
      <c r="I674" s="53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23867562.4639717</v>
      </c>
      <c r="J674" s="53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336414489.708779</v>
      </c>
      <c r="K674" s="53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699074403.58023</v>
      </c>
      <c r="L674" s="53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835841738.255955</v>
      </c>
      <c r="M674" s="53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1015059379.02363</v>
      </c>
      <c r="N674" s="53" t="n">
        <f aca="false">IF(COUNT('Business Case'!B11:G11)=0,"",H674+NPV(G674,I674:M674))</f>
        <v>-78131447.5064628</v>
      </c>
      <c r="P674" s="54" t="n">
        <f aca="true">RAND()</f>
        <v>0.986937984367666</v>
      </c>
      <c r="Q674" s="54" t="n">
        <f aca="true">RAND()</f>
        <v>0.315871591411649</v>
      </c>
      <c r="R674" s="54" t="n">
        <f aca="true">RAND()</f>
        <v>0.220348898729176</v>
      </c>
      <c r="S674" s="54" t="n">
        <f aca="true">RAND()</f>
        <v>0.265990552242532</v>
      </c>
      <c r="T674" s="54" t="n">
        <f aca="true">RAND()</f>
        <v>0.181663465004116</v>
      </c>
      <c r="U674" s="54" t="n">
        <f aca="true">RAND()</f>
        <v>0.849113810776269</v>
      </c>
    </row>
    <row r="675" customFormat="false" ht="15" hidden="false" customHeight="false" outlineLevel="0" collapsed="false">
      <c r="A675" s="50" t="n">
        <v>595</v>
      </c>
      <c r="B675" s="51" t="n">
        <f aca="false">1+IF($G$6=$E$6,$F$6,IF(P675&lt;($F$6-$E$6)/($G$6-$E$6),$E$6+SQRT(P675*($G$6-$E$6)*($F$6-$E$6)),$G$6-SQRT((1-P675)*($G$6-$E$6)*($G$6-$F$6))))</f>
        <v>0.94830650827083</v>
      </c>
      <c r="C675" s="51" t="n">
        <f aca="false">1+IF($G$7=$E$7,$F$7,IF(Q675&lt;($F$7-$E$7)/($G$7-$E$7),$E$7+SQRT(Q675*($G$7-$E$7)*($F$7-$E$7)),$G$7-SQRT((1-Q675)*($G$7-$E$7)*($G$7-$F$7))))</f>
        <v>0.772280728998358</v>
      </c>
      <c r="D675" s="51" t="n">
        <f aca="false">1+IF($G$8=$E$8,$F$8,IF(R675&lt;($F$8-$E$8)/($G$8-$E$8),$E$8+SQRT(R675*($G$8-$E$8)*($F$8-$E$8)),$G$8-SQRT((1-R675)*($G$8-$E$8)*($G$8-$F$8))))</f>
        <v>0.98246622490546</v>
      </c>
      <c r="E675" s="51" t="n">
        <f aca="false">1+IF($G$9=$E$9,$F$9,IF(S675&lt;($F$9-$E$9)/($G$9-$E$9),$E$9+SQRT(S675*($G$9-$E$9)*($F$9-$E$9)),$G$9-SQRT((1-S675)*($G$9-$E$9)*($G$9-$F$9))))</f>
        <v>1.06933808091311</v>
      </c>
      <c r="F675" s="51" t="n">
        <f aca="false">1+IF($G$10=$E$10,$F$10,IF(T675&lt;($F$10-$E$10)/($G$10-$E$10),$E$10+SQRT(T675*($G$10-$E$10)*($F$10-$E$10)),$G$10-SQRT((1-T675)*($G$10-$E$10)*($G$10-$F$10))))</f>
        <v>1.11118169085796</v>
      </c>
      <c r="G675" s="52" t="n">
        <f aca="false">IF($G$11=$E$11,$F$11,IF(U675&lt;($F$11-$E$11)/($G$11-$E$11),$E$11+SQRT(U675*($G$11-$E$11)*($F$11-$E$11)),$G$11-SQRT((1-U675)*($G$11-$E$11)*($G$11-$F$11))))</f>
        <v>0.0984969987650946</v>
      </c>
      <c r="H675" s="53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-2222363381.71593</v>
      </c>
      <c r="I675" s="53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-89702949.2967538</v>
      </c>
      <c r="J675" s="53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121737627.942597</v>
      </c>
      <c r="K675" s="53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388737289.724845</v>
      </c>
      <c r="L675" s="53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484527803.700938</v>
      </c>
      <c r="M675" s="53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623734572.297304</v>
      </c>
      <c r="N675" s="53" t="n">
        <f aca="false">IF(COUNT('Business Case'!B11:G11)=0,"",H675+NPV(G675,I675:M675))</f>
        <v>-1187172611.98797</v>
      </c>
      <c r="P675" s="54" t="n">
        <f aca="true">RAND()</f>
        <v>0.155567916087984</v>
      </c>
      <c r="Q675" s="54" t="n">
        <f aca="true">RAND()</f>
        <v>0.0387000280335859</v>
      </c>
      <c r="R675" s="54" t="n">
        <f aca="true">RAND()</f>
        <v>0.140540767948251</v>
      </c>
      <c r="S675" s="54" t="n">
        <f aca="true">RAND()</f>
        <v>0.826497461579204</v>
      </c>
      <c r="T675" s="54" t="n">
        <f aca="true">RAND()</f>
        <v>0.743059693959283</v>
      </c>
      <c r="U675" s="54" t="n">
        <f aca="true">RAND()</f>
        <v>0.342138963315909</v>
      </c>
    </row>
    <row r="676" customFormat="false" ht="15" hidden="false" customHeight="false" outlineLevel="0" collapsed="false">
      <c r="A676" s="50" t="n">
        <v>596</v>
      </c>
      <c r="B676" s="51" t="n">
        <f aca="false">1+IF($G$6=$E$6,$F$6,IF(P676&lt;($F$6-$E$6)/($G$6-$E$6),$E$6+SQRT(P676*($G$6-$E$6)*($F$6-$E$6)),$G$6-SQRT((1-P676)*($G$6-$E$6)*($G$6-$F$6))))</f>
        <v>0.990631374718427</v>
      </c>
      <c r="C676" s="51" t="n">
        <f aca="false">1+IF($G$7=$E$7,$F$7,IF(Q676&lt;($F$7-$E$7)/($G$7-$E$7),$E$7+SQRT(Q676*($G$7-$E$7)*($F$7-$E$7)),$G$7-SQRT((1-Q676)*($G$7-$E$7)*($G$7-$F$7))))</f>
        <v>0.94154225949737</v>
      </c>
      <c r="D676" s="51" t="n">
        <f aca="false">1+IF($G$8=$E$8,$F$8,IF(R676&lt;($F$8-$E$8)/($G$8-$E$8),$E$8+SQRT(R676*($G$8-$E$8)*($F$8-$E$8)),$G$8-SQRT((1-R676)*($G$8-$E$8)*($G$8-$F$8))))</f>
        <v>0.995795113371002</v>
      </c>
      <c r="E676" s="51" t="n">
        <f aca="false">1+IF($G$9=$E$9,$F$9,IF(S676&lt;($F$9-$E$9)/($G$9-$E$9),$E$9+SQRT(S676*($G$9-$E$9)*($F$9-$E$9)),$G$9-SQRT((1-S676)*($G$9-$E$9)*($G$9-$F$9))))</f>
        <v>1.0975740166111</v>
      </c>
      <c r="F676" s="51" t="n">
        <f aca="false">1+IF($G$10=$E$10,$F$10,IF(T676&lt;($F$10-$E$10)/($G$10-$E$10),$E$10+SQRT(T676*($G$10-$E$10)*($F$10-$E$10)),$G$10-SQRT((1-T676)*($G$10-$E$10)*($G$10-$F$10))))</f>
        <v>1.20494508900778</v>
      </c>
      <c r="G676" s="52" t="n">
        <f aca="false">IF($G$11=$E$11,$F$11,IF(U676&lt;($F$11-$E$11)/($G$11-$E$11),$E$11+SQRT(U676*($G$11-$E$11)*($F$11-$E$11)),$G$11-SQRT((1-U676)*($G$11-$E$11)*($G$11-$F$11))))</f>
        <v>0.0863623318956337</v>
      </c>
      <c r="H676" s="53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-2409890178.01555</v>
      </c>
      <c r="I676" s="53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-40923485.4484746</v>
      </c>
      <c r="J676" s="53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243074835.507298</v>
      </c>
      <c r="K676" s="53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587320410.913459</v>
      </c>
      <c r="L676" s="53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714221366.126296</v>
      </c>
      <c r="M676" s="53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891513031.377988</v>
      </c>
      <c r="N676" s="53" t="n">
        <f aca="false">IF(COUNT('Business Case'!B11:G11)=0,"",H676+NPV(G676,I676:M676))</f>
        <v>-681534597.683608</v>
      </c>
      <c r="P676" s="54" t="n">
        <f aca="true">RAND()</f>
        <v>0.547603072223467</v>
      </c>
      <c r="Q676" s="54" t="n">
        <f aca="true">RAND()</f>
        <v>0.432167874985887</v>
      </c>
      <c r="R676" s="54" t="n">
        <f aca="true">RAND()</f>
        <v>0.279625654488387</v>
      </c>
      <c r="S676" s="54" t="n">
        <f aca="true">RAND()</f>
        <v>0.926707100418855</v>
      </c>
      <c r="T676" s="54" t="n">
        <f aca="true">RAND()</f>
        <v>0.972934066606437</v>
      </c>
      <c r="U676" s="54" t="n">
        <f aca="true">RAND()</f>
        <v>0.0404792671501973</v>
      </c>
    </row>
    <row r="677" customFormat="false" ht="15" hidden="false" customHeight="false" outlineLevel="0" collapsed="false">
      <c r="A677" s="50" t="n">
        <v>597</v>
      </c>
      <c r="B677" s="51" t="n">
        <f aca="false">1+IF($G$6=$E$6,$F$6,IF(P677&lt;($F$6-$E$6)/($G$6-$E$6),$E$6+SQRT(P677*($G$6-$E$6)*($F$6-$E$6)),$G$6-SQRT((1-P677)*($G$6-$E$6)*($G$6-$F$6))))</f>
        <v>1.01079450166831</v>
      </c>
      <c r="C677" s="51" t="n">
        <f aca="false">1+IF($G$7=$E$7,$F$7,IF(Q677&lt;($F$7-$E$7)/($G$7-$E$7),$E$7+SQRT(Q677*($G$7-$E$7)*($F$7-$E$7)),$G$7-SQRT((1-Q677)*($G$7-$E$7)*($G$7-$F$7))))</f>
        <v>1.09777713995188</v>
      </c>
      <c r="D677" s="51" t="n">
        <f aca="false">1+IF($G$8=$E$8,$F$8,IF(R677&lt;($F$8-$E$8)/($G$8-$E$8),$E$8+SQRT(R677*($G$8-$E$8)*($F$8-$E$8)),$G$8-SQRT((1-R677)*($G$8-$E$8)*($G$8-$F$8))))</f>
        <v>1.01161744861814</v>
      </c>
      <c r="E677" s="51" t="n">
        <f aca="false">1+IF($G$9=$E$9,$F$9,IF(S677&lt;($F$9-$E$9)/($G$9-$E$9),$E$9+SQRT(S677*($G$9-$E$9)*($F$9-$E$9)),$G$9-SQRT((1-S677)*($G$9-$E$9)*($G$9-$F$9))))</f>
        <v>1.01172637784264</v>
      </c>
      <c r="F677" s="51" t="n">
        <f aca="false">1+IF($G$10=$E$10,$F$10,IF(T677&lt;($F$10-$E$10)/($G$10-$E$10),$E$10+SQRT(T677*($G$10-$E$10)*($F$10-$E$10)),$G$10-SQRT((1-T677)*($G$10-$E$10)*($G$10-$F$10))))</f>
        <v>1.099199879176</v>
      </c>
      <c r="G677" s="52" t="n">
        <f aca="false">IF($G$11=$E$11,$F$11,IF(U677&lt;($F$11-$E$11)/($G$11-$E$11),$E$11+SQRT(U677*($G$11-$E$11)*($F$11-$E$11)),$G$11-SQRT((1-U677)*($G$11-$E$11)*($G$11-$F$11))))</f>
        <v>0.0933713726873484</v>
      </c>
      <c r="H677" s="53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-2198399758.35201</v>
      </c>
      <c r="I677" s="53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29051159.7235573</v>
      </c>
      <c r="J677" s="53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369412867.008667</v>
      </c>
      <c r="K677" s="53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764734568.252577</v>
      </c>
      <c r="L677" s="53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916537183.157433</v>
      </c>
      <c r="M677" s="53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1127455101.7781</v>
      </c>
      <c r="N677" s="53" t="n">
        <f aca="false">IF(COUNT('Business Case'!B11:G11)=0,"",H677+NPV(G677,I677:M677))</f>
        <v>85120374.4880762</v>
      </c>
      <c r="P677" s="54" t="n">
        <f aca="true">RAND()</f>
        <v>0.795057186741895</v>
      </c>
      <c r="Q677" s="54" t="n">
        <f aca="true">RAND()</f>
        <v>0.959596635383623</v>
      </c>
      <c r="R677" s="54" t="n">
        <f aca="true">RAND()</f>
        <v>0.479234974082195</v>
      </c>
      <c r="S677" s="54" t="n">
        <f aca="true">RAND()</f>
        <v>0.490144144412926</v>
      </c>
      <c r="T677" s="54" t="n">
        <f aca="true">RAND()</f>
        <v>0.696790980792907</v>
      </c>
      <c r="U677" s="54" t="n">
        <f aca="true">RAND()</f>
        <v>0.178793607543965</v>
      </c>
    </row>
    <row r="678" customFormat="false" ht="15" hidden="false" customHeight="false" outlineLevel="0" collapsed="false">
      <c r="A678" s="50" t="n">
        <v>598</v>
      </c>
      <c r="B678" s="51" t="n">
        <f aca="false">1+IF($G$6=$E$6,$F$6,IF(P678&lt;($F$6-$E$6)/($G$6-$E$6),$E$6+SQRT(P678*($G$6-$E$6)*($F$6-$E$6)),$G$6-SQRT((1-P678)*($G$6-$E$6)*($G$6-$F$6))))</f>
        <v>0.925008732390546</v>
      </c>
      <c r="C678" s="51" t="n">
        <f aca="false">1+IF($G$7=$E$7,$F$7,IF(Q678&lt;($F$7-$E$7)/($G$7-$E$7),$E$7+SQRT(Q678*($G$7-$E$7)*($F$7-$E$7)),$G$7-SQRT((1-Q678)*($G$7-$E$7)*($G$7-$F$7))))</f>
        <v>0.974042844951896</v>
      </c>
      <c r="D678" s="51" t="n">
        <f aca="false">1+IF($G$8=$E$8,$F$8,IF(R678&lt;($F$8-$E$8)/($G$8-$E$8),$E$8+SQRT(R678*($G$8-$E$8)*($F$8-$E$8)),$G$8-SQRT((1-R678)*($G$8-$E$8)*($G$8-$F$8))))</f>
        <v>1.03972746261063</v>
      </c>
      <c r="E678" s="51" t="n">
        <f aca="false">1+IF($G$9=$E$9,$F$9,IF(S678&lt;($F$9-$E$9)/($G$9-$E$9),$E$9+SQRT(S678*($G$9-$E$9)*($F$9-$E$9)),$G$9-SQRT((1-S678)*($G$9-$E$9)*($G$9-$F$9))))</f>
        <v>0.959408376745989</v>
      </c>
      <c r="F678" s="51" t="n">
        <f aca="false">1+IF($G$10=$E$10,$F$10,IF(T678&lt;($F$10-$E$10)/($G$10-$E$10),$E$10+SQRT(T678*($G$10-$E$10)*($F$10-$E$10)),$G$10-SQRT((1-T678)*($G$10-$E$10)*($G$10-$F$10))))</f>
        <v>0.999143412740078</v>
      </c>
      <c r="G678" s="52" t="n">
        <f aca="false">IF($G$11=$E$11,$F$11,IF(U678&lt;($F$11-$E$11)/($G$11-$E$11),$E$11+SQRT(U678*($G$11-$E$11)*($F$11-$E$11)),$G$11-SQRT((1-U678)*($G$11-$E$11)*($G$11-$F$11))))</f>
        <v>0.100581839611587</v>
      </c>
      <c r="H678" s="53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-1998286825.48016</v>
      </c>
      <c r="I678" s="53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-63509007.4161629</v>
      </c>
      <c r="J678" s="53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156031941.052751</v>
      </c>
      <c r="K678" s="53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425530060.158669</v>
      </c>
      <c r="L678" s="53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529848871.940166</v>
      </c>
      <c r="M678" s="53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701110597.878727</v>
      </c>
      <c r="N678" s="53" t="n">
        <f aca="false">IF(COUNT('Business Case'!B11:G11)=0,"",H678+NPV(G678,I678:M678))</f>
        <v>-812661572.579845</v>
      </c>
      <c r="P678" s="54" t="n">
        <f aca="true">RAND()</f>
        <v>0.0416957797187963</v>
      </c>
      <c r="Q678" s="54" t="n">
        <f aca="true">RAND()</f>
        <v>0.556292450883918</v>
      </c>
      <c r="R678" s="54" t="n">
        <f aca="true">RAND()</f>
        <v>0.757814749109834</v>
      </c>
      <c r="S678" s="54" t="n">
        <f aca="true">RAND()</f>
        <v>0.141174209103734</v>
      </c>
      <c r="T678" s="54" t="n">
        <f aca="true">RAND()</f>
        <v>0.161005001049444</v>
      </c>
      <c r="U678" s="54" t="n">
        <f aca="true">RAND()</f>
        <v>0.423047892907753</v>
      </c>
    </row>
    <row r="679" customFormat="false" ht="15" hidden="false" customHeight="false" outlineLevel="0" collapsed="false">
      <c r="A679" s="50" t="n">
        <v>599</v>
      </c>
      <c r="B679" s="51" t="n">
        <f aca="false">1+IF($G$6=$E$6,$F$6,IF(P679&lt;($F$6-$E$6)/($G$6-$E$6),$E$6+SQRT(P679*($G$6-$E$6)*($F$6-$E$6)),$G$6-SQRT((1-P679)*($G$6-$E$6)*($G$6-$F$6))))</f>
        <v>1.01735344953908</v>
      </c>
      <c r="C679" s="51" t="n">
        <f aca="false">1+IF($G$7=$E$7,$F$7,IF(Q679&lt;($F$7-$E$7)/($G$7-$E$7),$E$7+SQRT(Q679*($G$7-$E$7)*($F$7-$E$7)),$G$7-SQRT((1-Q679)*($G$7-$E$7)*($G$7-$F$7))))</f>
        <v>0.910033171423636</v>
      </c>
      <c r="D679" s="51" t="n">
        <f aca="false">1+IF($G$8=$E$8,$F$8,IF(R679&lt;($F$8-$E$8)/($G$8-$E$8),$E$8+SQRT(R679*($G$8-$E$8)*($F$8-$E$8)),$G$8-SQRT((1-R679)*($G$8-$E$8)*($G$8-$F$8))))</f>
        <v>1.02483246508944</v>
      </c>
      <c r="E679" s="51" t="n">
        <f aca="false">1+IF($G$9=$E$9,$F$9,IF(S679&lt;($F$9-$E$9)/($G$9-$E$9),$E$9+SQRT(S679*($G$9-$E$9)*($F$9-$E$9)),$G$9-SQRT((1-S679)*($G$9-$E$9)*($G$9-$F$9))))</f>
        <v>0.926854690032053</v>
      </c>
      <c r="F679" s="51" t="n">
        <f aca="false">1+IF($G$10=$E$10,$F$10,IF(T679&lt;($F$10-$E$10)/($G$10-$E$10),$E$10+SQRT(T679*($G$10-$E$10)*($F$10-$E$10)),$G$10-SQRT((1-T679)*($G$10-$E$10)*($G$10-$F$10))))</f>
        <v>1.04423088887996</v>
      </c>
      <c r="G679" s="52" t="n">
        <f aca="false">IF($G$11=$E$11,$F$11,IF(U679&lt;($F$11-$E$11)/($G$11-$E$11),$E$11+SQRT(U679*($G$11-$E$11)*($F$11-$E$11)),$G$11-SQRT((1-U679)*($G$11-$E$11)*($G$11-$F$11))))</f>
        <v>0.090003650857272</v>
      </c>
      <c r="H679" s="53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-2088461777.75993</v>
      </c>
      <c r="I679" s="53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-3331700.27857368</v>
      </c>
      <c r="J679" s="53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277553213.271051</v>
      </c>
      <c r="K679" s="53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610649671.264673</v>
      </c>
      <c r="L679" s="53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736274501.126311</v>
      </c>
      <c r="M679" s="53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912255390.524338</v>
      </c>
      <c r="N679" s="53" t="n">
        <f aca="false">IF(COUNT('Business Case'!B11:G11)=0,"",H679+NPV(G679,I679:M679))</f>
        <v>-271898189.197038</v>
      </c>
      <c r="P679" s="54" t="n">
        <f aca="true">RAND()</f>
        <v>0.857893699066981</v>
      </c>
      <c r="Q679" s="54" t="n">
        <f aca="true">RAND()</f>
        <v>0.326769874802004</v>
      </c>
      <c r="R679" s="54" t="n">
        <f aca="true">RAND()</f>
        <v>0.623322779697934</v>
      </c>
      <c r="S679" s="54" t="n">
        <f aca="true">RAND()</f>
        <v>0.0288469750687059</v>
      </c>
      <c r="T679" s="54" t="n">
        <f aca="true">RAND()</f>
        <v>0.435454305451598</v>
      </c>
      <c r="U679" s="54" t="n">
        <f aca="true">RAND()</f>
        <v>0.100073030474199</v>
      </c>
    </row>
    <row r="680" customFormat="false" ht="15" hidden="false" customHeight="false" outlineLevel="0" collapsed="false">
      <c r="A680" s="50" t="n">
        <v>600</v>
      </c>
      <c r="B680" s="51" t="n">
        <f aca="false">1+IF($G$6=$E$6,$F$6,IF(P680&lt;($F$6-$E$6)/($G$6-$E$6),$E$6+SQRT(P680*($G$6-$E$6)*($F$6-$E$6)),$G$6-SQRT((1-P680)*($G$6-$E$6)*($G$6-$F$6))))</f>
        <v>0.977608883681655</v>
      </c>
      <c r="C680" s="51" t="n">
        <f aca="false">1+IF($G$7=$E$7,$F$7,IF(Q680&lt;($F$7-$E$7)/($G$7-$E$7),$E$7+SQRT(Q680*($G$7-$E$7)*($F$7-$E$7)),$G$7-SQRT((1-Q680)*($G$7-$E$7)*($G$7-$F$7))))</f>
        <v>0.971740618335154</v>
      </c>
      <c r="D680" s="51" t="n">
        <f aca="false">1+IF($G$8=$E$8,$F$8,IF(R680&lt;($F$8-$E$8)/($G$8-$E$8),$E$8+SQRT(R680*($G$8-$E$8)*($F$8-$E$8)),$G$8-SQRT((1-R680)*($G$8-$E$8)*($G$8-$F$8))))</f>
        <v>1.03759684783614</v>
      </c>
      <c r="E680" s="51" t="n">
        <f aca="false">1+IF($G$9=$E$9,$F$9,IF(S680&lt;($F$9-$E$9)/($G$9-$E$9),$E$9+SQRT(S680*($G$9-$E$9)*($F$9-$E$9)),$G$9-SQRT((1-S680)*($G$9-$E$9)*($G$9-$F$9))))</f>
        <v>0.981334848620602</v>
      </c>
      <c r="F680" s="51" t="n">
        <f aca="false">1+IF($G$10=$E$10,$F$10,IF(T680&lt;($F$10-$E$10)/($G$10-$E$10),$E$10+SQRT(T680*($G$10-$E$10)*($F$10-$E$10)),$G$10-SQRT((1-T680)*($G$10-$E$10)*($G$10-$F$10))))</f>
        <v>0.975701493479576</v>
      </c>
      <c r="G680" s="52" t="n">
        <f aca="false">IF($G$11=$E$11,$F$11,IF(U680&lt;($F$11-$E$11)/($G$11-$E$11),$E$11+SQRT(U680*($G$11-$E$11)*($F$11-$E$11)),$G$11-SQRT((1-U680)*($G$11-$E$11)*($G$11-$F$11))))</f>
        <v>0.10573860729049</v>
      </c>
      <c r="H680" s="53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-1951402986.95915</v>
      </c>
      <c r="I680" s="53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-24415313.9383792</v>
      </c>
      <c r="J680" s="53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237532417.361445</v>
      </c>
      <c r="K680" s="53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548265223.335248</v>
      </c>
      <c r="L680" s="53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668412520.712787</v>
      </c>
      <c r="M680" s="53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848985148.906239</v>
      </c>
      <c r="N680" s="53" t="n">
        <f aca="false">IF(COUNT('Business Case'!B11:G11)=0,"",H680+NPV(G680,I680:M680))</f>
        <v>-412922535.018505</v>
      </c>
      <c r="P680" s="54" t="n">
        <f aca="true">RAND()</f>
        <v>0.401542588420848</v>
      </c>
      <c r="Q680" s="54" t="n">
        <f aca="true">RAND()</f>
        <v>0.54698491594942</v>
      </c>
      <c r="R680" s="54" t="n">
        <f aca="true">RAND()</f>
        <v>0.740389773334248</v>
      </c>
      <c r="S680" s="54" t="n">
        <f aca="true">RAND()</f>
        <v>0.264614304005452</v>
      </c>
      <c r="T680" s="54" t="n">
        <f aca="true">RAND()</f>
        <v>0.0440377844720471</v>
      </c>
      <c r="U680" s="54" t="n">
        <f aca="true">RAND()</f>
        <v>0.607589882529942</v>
      </c>
    </row>
    <row r="681" customFormat="false" ht="15" hidden="false" customHeight="false" outlineLevel="0" collapsed="false">
      <c r="A681" s="50" t="n">
        <v>601</v>
      </c>
      <c r="B681" s="51" t="n">
        <f aca="false">1+IF($G$6=$E$6,$F$6,IF(P681&lt;($F$6-$E$6)/($G$6-$E$6),$E$6+SQRT(P681*($G$6-$E$6)*($F$6-$E$6)),$G$6-SQRT((1-P681)*($G$6-$E$6)*($G$6-$F$6))))</f>
        <v>0.967460997755131</v>
      </c>
      <c r="C681" s="51" t="n">
        <f aca="false">1+IF($G$7=$E$7,$F$7,IF(Q681&lt;($F$7-$E$7)/($G$7-$E$7),$E$7+SQRT(Q681*($G$7-$E$7)*($F$7-$E$7)),$G$7-SQRT((1-Q681)*($G$7-$E$7)*($G$7-$F$7))))</f>
        <v>0.951508433365075</v>
      </c>
      <c r="D681" s="51" t="n">
        <f aca="false">1+IF($G$8=$E$8,$F$8,IF(R681&lt;($F$8-$E$8)/($G$8-$E$8),$E$8+SQRT(R681*($G$8-$E$8)*($F$8-$E$8)),$G$8-SQRT((1-R681)*($G$8-$E$8)*($G$8-$F$8))))</f>
        <v>1.03304654709494</v>
      </c>
      <c r="E681" s="51" t="n">
        <f aca="false">1+IF($G$9=$E$9,$F$9,IF(S681&lt;($F$9-$E$9)/($G$9-$E$9),$E$9+SQRT(S681*($G$9-$E$9)*($F$9-$E$9)),$G$9-SQRT((1-S681)*($G$9-$E$9)*($G$9-$F$9))))</f>
        <v>1.02344595751762</v>
      </c>
      <c r="F681" s="51" t="n">
        <f aca="false">1+IF($G$10=$E$10,$F$10,IF(T681&lt;($F$10-$E$10)/($G$10-$E$10),$E$10+SQRT(T681*($G$10-$E$10)*($F$10-$E$10)),$G$10-SQRT((1-T681)*($G$10-$E$10)*($G$10-$F$10))))</f>
        <v>1.07020576259929</v>
      </c>
      <c r="G681" s="52" t="n">
        <f aca="false">IF($G$11=$E$11,$F$11,IF(U681&lt;($F$11-$E$11)/($G$11-$E$11),$E$11+SQRT(U681*($G$11-$E$11)*($F$11-$E$11)),$G$11-SQRT((1-U681)*($G$11-$E$11)*($G$11-$F$11))))</f>
        <v>0.104088813564511</v>
      </c>
      <c r="H681" s="53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-2140411525.19858</v>
      </c>
      <c r="I681" s="53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-49474291.2665663</v>
      </c>
      <c r="J681" s="53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201327180.830493</v>
      </c>
      <c r="K681" s="53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505638941.057516</v>
      </c>
      <c r="L681" s="53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621053546.38633</v>
      </c>
      <c r="M681" s="53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796031176.850197</v>
      </c>
      <c r="N681" s="53" t="n">
        <f aca="false">IF(COUNT('Business Case'!B11:G11)=0,"",H681+NPV(G681,I681:M681))</f>
        <v>-741249492.801453</v>
      </c>
      <c r="P681" s="54" t="n">
        <f aca="true">RAND()</f>
        <v>0.303399081207852</v>
      </c>
      <c r="Q681" s="54" t="n">
        <f aca="true">RAND()</f>
        <v>0.468566607805588</v>
      </c>
      <c r="R681" s="54" t="n">
        <f aca="true">RAND()</f>
        <v>0.701149009605987</v>
      </c>
      <c r="S681" s="54" t="n">
        <f aca="true">RAND()</f>
        <v>0.572908648836466</v>
      </c>
      <c r="T681" s="54" t="n">
        <f aca="true">RAND()</f>
        <v>0.568987095966631</v>
      </c>
      <c r="U681" s="54" t="n">
        <f aca="true">RAND()</f>
        <v>0.552406945003543</v>
      </c>
    </row>
    <row r="682" customFormat="false" ht="15" hidden="false" customHeight="false" outlineLevel="0" collapsed="false">
      <c r="A682" s="50" t="n">
        <v>602</v>
      </c>
      <c r="B682" s="51" t="n">
        <f aca="false">1+IF($G$6=$E$6,$F$6,IF(P682&lt;($F$6-$E$6)/($G$6-$E$6),$E$6+SQRT(P682*($G$6-$E$6)*($F$6-$E$6)),$G$6-SQRT((1-P682)*($G$6-$E$6)*($G$6-$F$6))))</f>
        <v>0.945267522823439</v>
      </c>
      <c r="C682" s="51" t="n">
        <f aca="false">1+IF($G$7=$E$7,$F$7,IF(Q682&lt;($F$7-$E$7)/($G$7-$E$7),$E$7+SQRT(Q682*($G$7-$E$7)*($F$7-$E$7)),$G$7-SQRT((1-Q682)*($G$7-$E$7)*($G$7-$F$7))))</f>
        <v>0.883579223957734</v>
      </c>
      <c r="D682" s="51" t="n">
        <f aca="false">1+IF($G$8=$E$8,$F$8,IF(R682&lt;($F$8-$E$8)/($G$8-$E$8),$E$8+SQRT(R682*($G$8-$E$8)*($F$8-$E$8)),$G$8-SQRT((1-R682)*($G$8-$E$8)*($G$8-$F$8))))</f>
        <v>1.01846216455631</v>
      </c>
      <c r="E682" s="51" t="n">
        <f aca="false">1+IF($G$9=$E$9,$F$9,IF(S682&lt;($F$9-$E$9)/($G$9-$E$9),$E$9+SQRT(S682*($G$9-$E$9)*($F$9-$E$9)),$G$9-SQRT((1-S682)*($G$9-$E$9)*($G$9-$F$9))))</f>
        <v>0.953886065450625</v>
      </c>
      <c r="F682" s="51" t="n">
        <f aca="false">1+IF($G$10=$E$10,$F$10,IF(T682&lt;($F$10-$E$10)/($G$10-$E$10),$E$10+SQRT(T682*($G$10-$E$10)*($F$10-$E$10)),$G$10-SQRT((1-T682)*($G$10-$E$10)*($G$10-$F$10))))</f>
        <v>1.07084794433291</v>
      </c>
      <c r="G682" s="52" t="n">
        <f aca="false">IF($G$11=$E$11,$F$11,IF(U682&lt;($F$11-$E$11)/($G$11-$E$11),$E$11+SQRT(U682*($G$11-$E$11)*($F$11-$E$11)),$G$11-SQRT((1-U682)*($G$11-$E$11)*($G$11-$F$11))))</f>
        <v>0.100560554063915</v>
      </c>
      <c r="H682" s="53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-2141695888.66582</v>
      </c>
      <c r="I682" s="53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-62593562.5945231</v>
      </c>
      <c r="J682" s="53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160838007.453181</v>
      </c>
      <c r="K682" s="53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437811974.71753</v>
      </c>
      <c r="L682" s="53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541154324.534669</v>
      </c>
      <c r="M682" s="53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699912703.441478</v>
      </c>
      <c r="N682" s="53" t="n">
        <f aca="false">IF(COUNT('Business Case'!B11:G11)=0,"",H682+NPV(G682,I682:M682))</f>
        <v>-935000969.299089</v>
      </c>
      <c r="P682" s="54" t="n">
        <f aca="true">RAND()</f>
        <v>0.13660990817137</v>
      </c>
      <c r="Q682" s="54" t="n">
        <f aca="true">RAND()</f>
        <v>0.249639492362398</v>
      </c>
      <c r="R682" s="54" t="n">
        <f aca="true">RAND()</f>
        <v>0.556772092743801</v>
      </c>
      <c r="S682" s="54" t="n">
        <f aca="true">RAND()</f>
        <v>0.116148321989961</v>
      </c>
      <c r="T682" s="54" t="n">
        <f aca="true">RAND()</f>
        <v>0.572060546003422</v>
      </c>
      <c r="U682" s="54" t="n">
        <f aca="true">RAND()</f>
        <v>0.422212681984207</v>
      </c>
    </row>
    <row r="683" customFormat="false" ht="15" hidden="false" customHeight="false" outlineLevel="0" collapsed="false">
      <c r="A683" s="50" t="n">
        <v>603</v>
      </c>
      <c r="B683" s="51" t="n">
        <f aca="false">1+IF($G$6=$E$6,$F$6,IF(P683&lt;($F$6-$E$6)/($G$6-$E$6),$E$6+SQRT(P683*($G$6-$E$6)*($F$6-$E$6)),$G$6-SQRT((1-P683)*($G$6-$E$6)*($G$6-$F$6))))</f>
        <v>0.962331103519346</v>
      </c>
      <c r="C683" s="51" t="n">
        <f aca="false">1+IF($G$7=$E$7,$F$7,IF(Q683&lt;($F$7-$E$7)/($G$7-$E$7),$E$7+SQRT(Q683*($G$7-$E$7)*($F$7-$E$7)),$G$7-SQRT((1-Q683)*($G$7-$E$7)*($G$7-$F$7))))</f>
        <v>0.917043411510104</v>
      </c>
      <c r="D683" s="51" t="n">
        <f aca="false">1+IF($G$8=$E$8,$F$8,IF(R683&lt;($F$8-$E$8)/($G$8-$E$8),$E$8+SQRT(R683*($G$8-$E$8)*($F$8-$E$8)),$G$8-SQRT((1-R683)*($G$8-$E$8)*($G$8-$F$8))))</f>
        <v>1.08875039057613</v>
      </c>
      <c r="E683" s="51" t="n">
        <f aca="false">1+IF($G$9=$E$9,$F$9,IF(S683&lt;($F$9-$E$9)/($G$9-$E$9),$E$9+SQRT(S683*($G$9-$E$9)*($F$9-$E$9)),$G$9-SQRT((1-S683)*($G$9-$E$9)*($G$9-$F$9))))</f>
        <v>1.04744287222765</v>
      </c>
      <c r="F683" s="51" t="n">
        <f aca="false">1+IF($G$10=$E$10,$F$10,IF(T683&lt;($F$10-$E$10)/($G$10-$E$10),$E$10+SQRT(T683*($G$10-$E$10)*($F$10-$E$10)),$G$10-SQRT((1-T683)*($G$10-$E$10)*($G$10-$F$10))))</f>
        <v>1.05781737800688</v>
      </c>
      <c r="G683" s="52" t="n">
        <f aca="false">IF($G$11=$E$11,$F$11,IF(U683&lt;($F$11-$E$11)/($G$11-$E$11),$E$11+SQRT(U683*($G$11-$E$11)*($F$11-$E$11)),$G$11-SQRT((1-U683)*($G$11-$E$11)*($G$11-$F$11))))</f>
        <v>0.118903795849864</v>
      </c>
      <c r="H683" s="53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-2115634756.01376</v>
      </c>
      <c r="I683" s="53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-88763324.1600144</v>
      </c>
      <c r="J683" s="53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122950234.712753</v>
      </c>
      <c r="K683" s="53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387554662.485865</v>
      </c>
      <c r="L683" s="53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488625027.97767</v>
      </c>
      <c r="M683" s="53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656370513.58252</v>
      </c>
      <c r="N683" s="53" t="n">
        <f aca="false">IF(COUNT('Business Case'!B11:G11)=0,"",H683+NPV(G683,I683:M683))</f>
        <v>-1134073710.77894</v>
      </c>
      <c r="P683" s="54" t="n">
        <f aca="true">RAND()</f>
        <v>0.259011097729292</v>
      </c>
      <c r="Q683" s="54" t="n">
        <f aca="true">RAND()</f>
        <v>0.348946981332922</v>
      </c>
      <c r="R683" s="54" t="n">
        <f aca="true">RAND()</f>
        <v>0.991563085854021</v>
      </c>
      <c r="S683" s="54" t="n">
        <f aca="true">RAND()</f>
        <v>0.719520947815611</v>
      </c>
      <c r="T683" s="54" t="n">
        <f aca="true">RAND()</f>
        <v>0.507544530717996</v>
      </c>
      <c r="U683" s="54" t="n">
        <f aca="true">RAND()</f>
        <v>0.917916168972333</v>
      </c>
    </row>
    <row r="684" customFormat="false" ht="15" hidden="false" customHeight="false" outlineLevel="0" collapsed="false">
      <c r="A684" s="50" t="n">
        <v>604</v>
      </c>
      <c r="B684" s="51" t="n">
        <f aca="false">1+IF($G$6=$E$6,$F$6,IF(P684&lt;($F$6-$E$6)/($G$6-$E$6),$E$6+SQRT(P684*($G$6-$E$6)*($F$6-$E$6)),$G$6-SQRT((1-P684)*($G$6-$E$6)*($G$6-$F$6))))</f>
        <v>1.04001000733709</v>
      </c>
      <c r="C684" s="51" t="n">
        <f aca="false">1+IF($G$7=$E$7,$F$7,IF(Q684&lt;($F$7-$E$7)/($G$7-$E$7),$E$7+SQRT(Q684*($G$7-$E$7)*($F$7-$E$7)),$G$7-SQRT((1-Q684)*($G$7-$E$7)*($G$7-$F$7))))</f>
        <v>1.09906721305176</v>
      </c>
      <c r="D684" s="51" t="n">
        <f aca="false">1+IF($G$8=$E$8,$F$8,IF(R684&lt;($F$8-$E$8)/($G$8-$E$8),$E$8+SQRT(R684*($G$8-$E$8)*($F$8-$E$8)),$G$8-SQRT((1-R684)*($G$8-$E$8)*($G$8-$F$8))))</f>
        <v>0.992130092050665</v>
      </c>
      <c r="E684" s="51" t="n">
        <f aca="false">1+IF($G$9=$E$9,$F$9,IF(S684&lt;($F$9-$E$9)/($G$9-$E$9),$E$9+SQRT(S684*($G$9-$E$9)*($F$9-$E$9)),$G$9-SQRT((1-S684)*($G$9-$E$9)*($G$9-$F$9))))</f>
        <v>0.998109836054648</v>
      </c>
      <c r="F684" s="51" t="n">
        <f aca="false">1+IF($G$10=$E$10,$F$10,IF(T684&lt;($F$10-$E$10)/($G$10-$E$10),$E$10+SQRT(T684*($G$10-$E$10)*($F$10-$E$10)),$G$10-SQRT((1-T684)*($G$10-$E$10)*($G$10-$F$10))))</f>
        <v>1.00240757997271</v>
      </c>
      <c r="G684" s="52" t="n">
        <f aca="false">IF($G$11=$E$11,$F$11,IF(U684&lt;($F$11-$E$11)/($G$11-$E$11),$E$11+SQRT(U684*($G$11-$E$11)*($F$11-$E$11)),$G$11-SQRT((1-U684)*($G$11-$E$11)*($G$11-$F$11))))</f>
        <v>0.101431551785999</v>
      </c>
      <c r="H684" s="53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-2004815159.94542</v>
      </c>
      <c r="I684" s="53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76598973.2642407</v>
      </c>
      <c r="J684" s="53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454625163.484789</v>
      </c>
      <c r="K684" s="53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882771732.703974</v>
      </c>
      <c r="L684" s="53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1048283956.2922</v>
      </c>
      <c r="M684" s="53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1265553170.62311</v>
      </c>
      <c r="N684" s="53" t="n">
        <f aca="false">IF(COUNT('Business Case'!B11:G11)=0,"",H684+NPV(G684,I684:M684))</f>
        <v>593126252.132583</v>
      </c>
      <c r="P684" s="54" t="n">
        <f aca="true">RAND()</f>
        <v>0.986693339545994</v>
      </c>
      <c r="Q684" s="54" t="n">
        <f aca="true">RAND()</f>
        <v>0.961568166128675</v>
      </c>
      <c r="R684" s="54" t="n">
        <f aca="true">RAND()</f>
        <v>0.236659287493</v>
      </c>
      <c r="S684" s="54" t="n">
        <f aca="true">RAND()</f>
        <v>0.385021597226798</v>
      </c>
      <c r="T684" s="54" t="n">
        <f aca="true">RAND()</f>
        <v>0.182639913933733</v>
      </c>
      <c r="U684" s="54" t="n">
        <f aca="true">RAND()</f>
        <v>0.455895844429284</v>
      </c>
    </row>
    <row r="685" customFormat="false" ht="15" hidden="false" customHeight="false" outlineLevel="0" collapsed="false">
      <c r="A685" s="50" t="n">
        <v>605</v>
      </c>
      <c r="B685" s="51" t="n">
        <f aca="false">1+IF($G$6=$E$6,$F$6,IF(P685&lt;($F$6-$E$6)/($G$6-$E$6),$E$6+SQRT(P685*($G$6-$E$6)*($F$6-$E$6)),$G$6-SQRT((1-P685)*($G$6-$E$6)*($G$6-$F$6))))</f>
        <v>1.0131175434809</v>
      </c>
      <c r="C685" s="51" t="n">
        <f aca="false">1+IF($G$7=$E$7,$F$7,IF(Q685&lt;($F$7-$E$7)/($G$7-$E$7),$E$7+SQRT(Q685*($G$7-$E$7)*($F$7-$E$7)),$G$7-SQRT((1-Q685)*($G$7-$E$7)*($G$7-$F$7))))</f>
        <v>1.07904516748087</v>
      </c>
      <c r="D685" s="51" t="n">
        <f aca="false">1+IF($G$8=$E$8,$F$8,IF(R685&lt;($F$8-$E$8)/($G$8-$E$8),$E$8+SQRT(R685*($G$8-$E$8)*($F$8-$E$8)),$G$8-SQRT((1-R685)*($G$8-$E$8)*($G$8-$F$8))))</f>
        <v>1.04097054100592</v>
      </c>
      <c r="E685" s="51" t="n">
        <f aca="false">1+IF($G$9=$E$9,$F$9,IF(S685&lt;($F$9-$E$9)/($G$9-$E$9),$E$9+SQRT(S685*($G$9-$E$9)*($F$9-$E$9)),$G$9-SQRT((1-S685)*($G$9-$E$9)*($G$9-$F$9))))</f>
        <v>1.0588524703385</v>
      </c>
      <c r="F685" s="51" t="n">
        <f aca="false">1+IF($G$10=$E$10,$F$10,IF(T685&lt;($F$10-$E$10)/($G$10-$E$10),$E$10+SQRT(T685*($G$10-$E$10)*($F$10-$E$10)),$G$10-SQRT((1-T685)*($G$10-$E$10)*($G$10-$F$10))))</f>
        <v>1.00924885779426</v>
      </c>
      <c r="G685" s="52" t="n">
        <f aca="false">IF($G$11=$E$11,$F$11,IF(U685&lt;($F$11-$E$11)/($G$11-$E$11),$E$11+SQRT(U685*($G$11-$E$11)*($F$11-$E$11)),$G$11-SQRT((1-U685)*($G$11-$E$11)*($G$11-$F$11))))</f>
        <v>0.114843987164725</v>
      </c>
      <c r="H685" s="53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-2018497715.58852</v>
      </c>
      <c r="I685" s="53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12227693.9762502</v>
      </c>
      <c r="J685" s="53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332620561.727684</v>
      </c>
      <c r="K685" s="53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703475872.36883</v>
      </c>
      <c r="L685" s="53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848054472.761722</v>
      </c>
      <c r="M685" s="53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1055849850.71167</v>
      </c>
      <c r="N685" s="53" t="n">
        <f aca="false">IF(COUNT('Business Case'!B11:G11)=0,"",H685+NPV(G685,I685:M685))</f>
        <v>-70114261.2596862</v>
      </c>
      <c r="P685" s="54" t="n">
        <f aca="true">RAND()</f>
        <v>0.818624586815515</v>
      </c>
      <c r="Q685" s="54" t="n">
        <f aca="true">RAND()</f>
        <v>0.925413507291589</v>
      </c>
      <c r="R685" s="54" t="n">
        <f aca="true">RAND()</f>
        <v>0.767701531391117</v>
      </c>
      <c r="S685" s="54" t="n">
        <f aca="true">RAND()</f>
        <v>0.7784567423095</v>
      </c>
      <c r="T685" s="54" t="n">
        <f aca="true">RAND()</f>
        <v>0.22718516702175</v>
      </c>
      <c r="U685" s="54" t="n">
        <f aca="true">RAND()</f>
        <v>0.846863516624655</v>
      </c>
    </row>
    <row r="686" customFormat="false" ht="15" hidden="false" customHeight="false" outlineLevel="0" collapsed="false">
      <c r="A686" s="50" t="n">
        <v>606</v>
      </c>
      <c r="B686" s="51" t="n">
        <f aca="false">1+IF($G$6=$E$6,$F$6,IF(P686&lt;($F$6-$E$6)/($G$6-$E$6),$E$6+SQRT(P686*($G$6-$E$6)*($F$6-$E$6)),$G$6-SQRT((1-P686)*($G$6-$E$6)*($G$6-$F$6))))</f>
        <v>1.0017838250854</v>
      </c>
      <c r="C686" s="51" t="n">
        <f aca="false">1+IF($G$7=$E$7,$F$7,IF(Q686&lt;($F$7-$E$7)/($G$7-$E$7),$E$7+SQRT(Q686*($G$7-$E$7)*($F$7-$E$7)),$G$7-SQRT((1-Q686)*($G$7-$E$7)*($G$7-$F$7))))</f>
        <v>0.878155457254377</v>
      </c>
      <c r="D686" s="51" t="n">
        <f aca="false">1+IF($G$8=$E$8,$F$8,IF(R686&lt;($F$8-$E$8)/($G$8-$E$8),$E$8+SQRT(R686*($G$8-$E$8)*($F$8-$E$8)),$G$8-SQRT((1-R686)*($G$8-$E$8)*($G$8-$F$8))))</f>
        <v>1.03779471360835</v>
      </c>
      <c r="E686" s="51" t="n">
        <f aca="false">1+IF($G$9=$E$9,$F$9,IF(S686&lt;($F$9-$E$9)/($G$9-$E$9),$E$9+SQRT(S686*($G$9-$E$9)*($F$9-$E$9)),$G$9-SQRT((1-S686)*($G$9-$E$9)*($G$9-$F$9))))</f>
        <v>0.974051948884017</v>
      </c>
      <c r="F686" s="51" t="n">
        <f aca="false">1+IF($G$10=$E$10,$F$10,IF(T686&lt;($F$10-$E$10)/($G$10-$E$10),$E$10+SQRT(T686*($G$10-$E$10)*($F$10-$E$10)),$G$10-SQRT((1-T686)*($G$10-$E$10)*($G$10-$F$10))))</f>
        <v>1.19141225596481</v>
      </c>
      <c r="G686" s="52" t="n">
        <f aca="false">IF($G$11=$E$11,$F$11,IF(U686&lt;($F$11-$E$11)/($G$11-$E$11),$E$11+SQRT(U686*($G$11-$E$11)*($F$11-$E$11)),$G$11-SQRT((1-U686)*($G$11-$E$11)*($G$11-$F$11))))</f>
        <v>0.107321780400835</v>
      </c>
      <c r="H686" s="53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-2382824511.92963</v>
      </c>
      <c r="I686" s="53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-49236373.7579495</v>
      </c>
      <c r="J686" s="53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204783450.217982</v>
      </c>
      <c r="K686" s="53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518373886.992155</v>
      </c>
      <c r="L686" s="53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633450351.654861</v>
      </c>
      <c r="M686" s="53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800667896.677202</v>
      </c>
      <c r="N686" s="53" t="n">
        <f aca="false">IF(COUNT('Business Case'!B11:G11)=0,"",H686+NPV(G686,I686:M686))</f>
        <v>-976233224.481573</v>
      </c>
      <c r="P686" s="54" t="n">
        <f aca="true">RAND()</f>
        <v>0.690026730213909</v>
      </c>
      <c r="Q686" s="54" t="n">
        <f aca="true">RAND()</f>
        <v>0.235106421848268</v>
      </c>
      <c r="R686" s="54" t="n">
        <f aca="true">RAND()</f>
        <v>0.742033489662215</v>
      </c>
      <c r="S686" s="54" t="n">
        <f aca="true">RAND()</f>
        <v>0.219347645340842</v>
      </c>
      <c r="T686" s="54" t="n">
        <f aca="true">RAND()</f>
        <v>0.954233016651566</v>
      </c>
      <c r="U686" s="54" t="n">
        <f aca="true">RAND()</f>
        <v>0.657132237208025</v>
      </c>
    </row>
    <row r="687" customFormat="false" ht="15" hidden="false" customHeight="false" outlineLevel="0" collapsed="false">
      <c r="A687" s="50" t="n">
        <v>607</v>
      </c>
      <c r="B687" s="51" t="n">
        <f aca="false">1+IF($G$6=$E$6,$F$6,IF(P687&lt;($F$6-$E$6)/($G$6-$E$6),$E$6+SQRT(P687*($G$6-$E$6)*($F$6-$E$6)),$G$6-SQRT((1-P687)*($G$6-$E$6)*($G$6-$F$6))))</f>
        <v>0.931286032255221</v>
      </c>
      <c r="C687" s="51" t="n">
        <f aca="false">1+IF($G$7=$E$7,$F$7,IF(Q687&lt;($F$7-$E$7)/($G$7-$E$7),$E$7+SQRT(Q687*($G$7-$E$7)*($F$7-$E$7)),$G$7-SQRT((1-Q687)*($G$7-$E$7)*($G$7-$F$7))))</f>
        <v>0.737570545549233</v>
      </c>
      <c r="D687" s="51" t="n">
        <f aca="false">1+IF($G$8=$E$8,$F$8,IF(R687&lt;($F$8-$E$8)/($G$8-$E$8),$E$8+SQRT(R687*($G$8-$E$8)*($F$8-$E$8)),$G$8-SQRT((1-R687)*($G$8-$E$8)*($G$8-$F$8))))</f>
        <v>1.04153083431066</v>
      </c>
      <c r="E687" s="51" t="n">
        <f aca="false">1+IF($G$9=$E$9,$F$9,IF(S687&lt;($F$9-$E$9)/($G$9-$E$9),$E$9+SQRT(S687*($G$9-$E$9)*($F$9-$E$9)),$G$9-SQRT((1-S687)*($G$9-$E$9)*($G$9-$F$9))))</f>
        <v>1.00580702881614</v>
      </c>
      <c r="F687" s="51" t="n">
        <f aca="false">1+IF($G$10=$E$10,$F$10,IF(T687&lt;($F$10-$E$10)/($G$10-$E$10),$E$10+SQRT(T687*($G$10-$E$10)*($F$10-$E$10)),$G$10-SQRT((1-T687)*($G$10-$E$10)*($G$10-$F$10))))</f>
        <v>0.992075583874837</v>
      </c>
      <c r="G687" s="52" t="n">
        <f aca="false">IF($G$11=$E$11,$F$11,IF(U687&lt;($F$11-$E$11)/($G$11-$E$11),$E$11+SQRT(U687*($G$11-$E$11)*($F$11-$E$11)),$G$11-SQRT((1-U687)*($G$11-$E$11)*($G$11-$F$11))))</f>
        <v>0.107873710474464</v>
      </c>
      <c r="H687" s="53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-1984151167.74967</v>
      </c>
      <c r="I687" s="53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-108488190.17678</v>
      </c>
      <c r="J687" s="53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60865270.9054681</v>
      </c>
      <c r="K687" s="53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279822511.181458</v>
      </c>
      <c r="L687" s="53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360012553.791467</v>
      </c>
      <c r="M687" s="53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490576442.829061</v>
      </c>
      <c r="N687" s="53" t="n">
        <f aca="false">IF(COUNT('Business Case'!B11:G11)=0,"",H687+NPV(G687,I687:M687))</f>
        <v>-1293787246.65972</v>
      </c>
      <c r="P687" s="54" t="n">
        <f aca="true">RAND()</f>
        <v>0.065254387618317</v>
      </c>
      <c r="Q687" s="54" t="n">
        <f aca="true">RAND()</f>
        <v>0.0104558955027186</v>
      </c>
      <c r="R687" s="54" t="n">
        <f aca="true">RAND()</f>
        <v>0.772090444239482</v>
      </c>
      <c r="S687" s="54" t="n">
        <f aca="true">RAND()</f>
        <v>0.445556988297891</v>
      </c>
      <c r="T687" s="54" t="n">
        <f aca="true">RAND()</f>
        <v>0.118023650560564</v>
      </c>
      <c r="U687" s="54" t="n">
        <f aca="true">RAND()</f>
        <v>0.673618207888116</v>
      </c>
    </row>
    <row r="688" customFormat="false" ht="15" hidden="false" customHeight="false" outlineLevel="0" collapsed="false">
      <c r="A688" s="50" t="n">
        <v>608</v>
      </c>
      <c r="B688" s="51" t="n">
        <f aca="false">1+IF($G$6=$E$6,$F$6,IF(P688&lt;($F$6-$E$6)/($G$6-$E$6),$E$6+SQRT(P688*($G$6-$E$6)*($F$6-$E$6)),$G$6-SQRT((1-P688)*($G$6-$E$6)*($G$6-$F$6))))</f>
        <v>0.949956274908192</v>
      </c>
      <c r="C688" s="51" t="n">
        <f aca="false">1+IF($G$7=$E$7,$F$7,IF(Q688&lt;($F$7-$E$7)/($G$7-$E$7),$E$7+SQRT(Q688*($G$7-$E$7)*($F$7-$E$7)),$G$7-SQRT((1-Q688)*($G$7-$E$7)*($G$7-$F$7))))</f>
        <v>0.991581965989087</v>
      </c>
      <c r="D688" s="51" t="n">
        <f aca="false">1+IF($G$8=$E$8,$F$8,IF(R688&lt;($F$8-$E$8)/($G$8-$E$8),$E$8+SQRT(R688*($G$8-$E$8)*($F$8-$E$8)),$G$8-SQRT((1-R688)*($G$8-$E$8)*($G$8-$F$8))))</f>
        <v>1.05853225985124</v>
      </c>
      <c r="E688" s="51" t="n">
        <f aca="false">1+IF($G$9=$E$9,$F$9,IF(S688&lt;($F$9-$E$9)/($G$9-$E$9),$E$9+SQRT(S688*($G$9-$E$9)*($F$9-$E$9)),$G$9-SQRT((1-S688)*($G$9-$E$9)*($G$9-$F$9))))</f>
        <v>1.01491401111776</v>
      </c>
      <c r="F688" s="51" t="n">
        <f aca="false">1+IF($G$10=$E$10,$F$10,IF(T688&lt;($F$10-$E$10)/($G$10-$E$10),$E$10+SQRT(T688*($G$10-$E$10)*($F$10-$E$10)),$G$10-SQRT((1-T688)*($G$10-$E$10)*($G$10-$F$10))))</f>
        <v>1.12586277817351</v>
      </c>
      <c r="G688" s="52" t="n">
        <f aca="false">IF($G$11=$E$11,$F$11,IF(U688&lt;($F$11-$E$11)/($G$11-$E$11),$E$11+SQRT(U688*($G$11-$E$11)*($F$11-$E$11)),$G$11-SQRT((1-U688)*($G$11-$E$11)*($G$11-$F$11))))</f>
        <v>0.122295931631288</v>
      </c>
      <c r="H688" s="53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-2251725556.34702</v>
      </c>
      <c r="I688" s="53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-71527808.817032</v>
      </c>
      <c r="J688" s="53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162682613.597735</v>
      </c>
      <c r="K688" s="53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453186174.921178</v>
      </c>
      <c r="L688" s="53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563810436.415102</v>
      </c>
      <c r="M688" s="53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742858100.204612</v>
      </c>
      <c r="N688" s="53" t="n">
        <f aca="false">IF(COUNT('Business Case'!B11:G11)=0,"",H688+NPV(G688,I688:M688))</f>
        <v>-1093093881.53988</v>
      </c>
      <c r="P688" s="54" t="n">
        <f aca="true">RAND()</f>
        <v>0.166375293513525</v>
      </c>
      <c r="Q688" s="54" t="n">
        <f aca="true">RAND()</f>
        <v>0.629778095481935</v>
      </c>
      <c r="R688" s="54" t="n">
        <f aca="true">RAND()</f>
        <v>0.885361768463685</v>
      </c>
      <c r="S688" s="54" t="n">
        <f aca="true">RAND()</f>
        <v>0.513380682872183</v>
      </c>
      <c r="T688" s="54" t="n">
        <f aca="true">RAND()</f>
        <v>0.794532668762683</v>
      </c>
      <c r="U688" s="54" t="n">
        <f aca="true">RAND()</f>
        <v>0.96043155371347</v>
      </c>
    </row>
    <row r="689" customFormat="false" ht="15" hidden="false" customHeight="false" outlineLevel="0" collapsed="false">
      <c r="A689" s="50" t="n">
        <v>609</v>
      </c>
      <c r="B689" s="51" t="n">
        <f aca="false">1+IF($G$6=$E$6,$F$6,IF(P689&lt;($F$6-$E$6)/($G$6-$E$6),$E$6+SQRT(P689*($G$6-$E$6)*($F$6-$E$6)),$G$6-SQRT((1-P689)*($G$6-$E$6)*($G$6-$F$6))))</f>
        <v>0.990738072089718</v>
      </c>
      <c r="C689" s="51" t="n">
        <f aca="false">1+IF($G$7=$E$7,$F$7,IF(Q689&lt;($F$7-$E$7)/($G$7-$E$7),$E$7+SQRT(Q689*($G$7-$E$7)*($F$7-$E$7)),$G$7-SQRT((1-Q689)*($G$7-$E$7)*($G$7-$F$7))))</f>
        <v>1.02303577299791</v>
      </c>
      <c r="D689" s="51" t="n">
        <f aca="false">1+IF($G$8=$E$8,$F$8,IF(R689&lt;($F$8-$E$8)/($G$8-$E$8),$E$8+SQRT(R689*($G$8-$E$8)*($F$8-$E$8)),$G$8-SQRT((1-R689)*($G$8-$E$8)*($G$8-$F$8))))</f>
        <v>1.05175423855644</v>
      </c>
      <c r="E689" s="51" t="n">
        <f aca="false">1+IF($G$9=$E$9,$F$9,IF(S689&lt;($F$9-$E$9)/($G$9-$E$9),$E$9+SQRT(S689*($G$9-$E$9)*($F$9-$E$9)),$G$9-SQRT((1-S689)*($G$9-$E$9)*($G$9-$F$9))))</f>
        <v>1.01752790763508</v>
      </c>
      <c r="F689" s="51" t="n">
        <f aca="false">1+IF($G$10=$E$10,$F$10,IF(T689&lt;($F$10-$E$10)/($G$10-$E$10),$E$10+SQRT(T689*($G$10-$E$10)*($F$10-$E$10)),$G$10-SQRT((1-T689)*($G$10-$E$10)*($G$10-$F$10))))</f>
        <v>1.09517714754876</v>
      </c>
      <c r="G689" s="52" t="n">
        <f aca="false">IF($G$11=$E$11,$F$11,IF(U689&lt;($F$11-$E$11)/($G$11-$E$11),$E$11+SQRT(U689*($G$11-$E$11)*($F$11-$E$11)),$G$11-SQRT((1-U689)*($G$11-$E$11)*($G$11-$F$11))))</f>
        <v>0.110010439727128</v>
      </c>
      <c r="H689" s="53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-2190354295.09751</v>
      </c>
      <c r="I689" s="53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-27390954.9740675</v>
      </c>
      <c r="J689" s="53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251971249.043917</v>
      </c>
      <c r="K689" s="53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586092310.439339</v>
      </c>
      <c r="L689" s="53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714241695.626313</v>
      </c>
      <c r="M689" s="53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906899273.455031</v>
      </c>
      <c r="N689" s="53" t="n">
        <f aca="false">IF(COUNT('Business Case'!B11:G11)=0,"",H689+NPV(G689,I689:M689))</f>
        <v>-573344675.132941</v>
      </c>
      <c r="P689" s="54" t="n">
        <f aca="true">RAND()</f>
        <v>0.548893181770585</v>
      </c>
      <c r="Q689" s="54" t="n">
        <f aca="true">RAND()</f>
        <v>0.761186445359419</v>
      </c>
      <c r="R689" s="54" t="n">
        <f aca="true">RAND()</f>
        <v>0.844823100182103</v>
      </c>
      <c r="S689" s="54" t="n">
        <f aca="true">RAND()</f>
        <v>0.532030526518914</v>
      </c>
      <c r="T689" s="54" t="n">
        <f aca="true">RAND()</f>
        <v>0.680398458118137</v>
      </c>
      <c r="U689" s="54" t="n">
        <f aca="true">RAND()</f>
        <v>0.733611653398153</v>
      </c>
    </row>
    <row r="690" customFormat="false" ht="15" hidden="false" customHeight="false" outlineLevel="0" collapsed="false">
      <c r="A690" s="50" t="n">
        <v>610</v>
      </c>
      <c r="B690" s="51" t="n">
        <f aca="false">1+IF($G$6=$E$6,$F$6,IF(P690&lt;($F$6-$E$6)/($G$6-$E$6),$E$6+SQRT(P690*($G$6-$E$6)*($F$6-$E$6)),$G$6-SQRT((1-P690)*($G$6-$E$6)*($G$6-$F$6))))</f>
        <v>1.00294599471486</v>
      </c>
      <c r="C690" s="51" t="n">
        <f aca="false">1+IF($G$7=$E$7,$F$7,IF(Q690&lt;($F$7-$E$7)/($G$7-$E$7),$E$7+SQRT(Q690*($G$7-$E$7)*($F$7-$E$7)),$G$7-SQRT((1-Q690)*($G$7-$E$7)*($G$7-$F$7))))</f>
        <v>1.04705252095455</v>
      </c>
      <c r="D690" s="51" t="n">
        <f aca="false">1+IF($G$8=$E$8,$F$8,IF(R690&lt;($F$8-$E$8)/($G$8-$E$8),$E$8+SQRT(R690*($G$8-$E$8)*($F$8-$E$8)),$G$8-SQRT((1-R690)*($G$8-$E$8)*($G$8-$F$8))))</f>
        <v>0.955232677627106</v>
      </c>
      <c r="E690" s="51" t="n">
        <f aca="false">1+IF($G$9=$E$9,$F$9,IF(S690&lt;($F$9-$E$9)/($G$9-$E$9),$E$9+SQRT(S690*($G$9-$E$9)*($F$9-$E$9)),$G$9-SQRT((1-S690)*($G$9-$E$9)*($G$9-$F$9))))</f>
        <v>1.07185104878077</v>
      </c>
      <c r="F690" s="51" t="n">
        <f aca="false">1+IF($G$10=$E$10,$F$10,IF(T690&lt;($F$10-$E$10)/($G$10-$E$10),$E$10+SQRT(T690*($G$10-$E$10)*($F$10-$E$10)),$G$10-SQRT((1-T690)*($G$10-$E$10)*($G$10-$F$10))))</f>
        <v>1.01573364473995</v>
      </c>
      <c r="G690" s="52" t="n">
        <f aca="false">IF($G$11=$E$11,$F$11,IF(U690&lt;($F$11-$E$11)/($G$11-$E$11),$E$11+SQRT(U690*($G$11-$E$11)*($F$11-$E$11)),$G$11-SQRT((1-U690)*($G$11-$E$11)*($G$11-$F$11))))</f>
        <v>0.10436146783844</v>
      </c>
      <c r="H690" s="53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-2031467289.4799</v>
      </c>
      <c r="I690" s="53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39696705.861495</v>
      </c>
      <c r="J690" s="53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387823104.264135</v>
      </c>
      <c r="K690" s="53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786736184.903772</v>
      </c>
      <c r="L690" s="53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939071056.991668</v>
      </c>
      <c r="M690" s="53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1138681123.07026</v>
      </c>
      <c r="N690" s="53" t="n">
        <f aca="false">IF(COUNT('Business Case'!B11:G11)=0,"",H690+NPV(G690,I690:M690))</f>
        <v>231082944.168426</v>
      </c>
      <c r="P690" s="54" t="n">
        <f aca="true">RAND()</f>
        <v>0.704789411550171</v>
      </c>
      <c r="Q690" s="54" t="n">
        <f aca="true">RAND()</f>
        <v>0.842989874936086</v>
      </c>
      <c r="R690" s="54" t="n">
        <f aca="true">RAND()</f>
        <v>0.00365078868656228</v>
      </c>
      <c r="S690" s="54" t="n">
        <f aca="true">RAND()</f>
        <v>0.837139771288909</v>
      </c>
      <c r="T690" s="54" t="n">
        <f aca="true">RAND()</f>
        <v>0.268256997242302</v>
      </c>
      <c r="U690" s="54" t="n">
        <f aca="true">RAND()</f>
        <v>0.561777112400446</v>
      </c>
    </row>
    <row r="691" customFormat="false" ht="15" hidden="false" customHeight="false" outlineLevel="0" collapsed="false">
      <c r="A691" s="50" t="n">
        <v>611</v>
      </c>
      <c r="B691" s="51" t="n">
        <f aca="false">1+IF($G$6=$E$6,$F$6,IF(P691&lt;($F$6-$E$6)/($G$6-$E$6),$E$6+SQRT(P691*($G$6-$E$6)*($F$6-$E$6)),$G$6-SQRT((1-P691)*($G$6-$E$6)*($G$6-$F$6))))</f>
        <v>1.00170500237797</v>
      </c>
      <c r="C691" s="51" t="n">
        <f aca="false">1+IF($G$7=$E$7,$F$7,IF(Q691&lt;($F$7-$E$7)/($G$7-$E$7),$E$7+SQRT(Q691*($G$7-$E$7)*($F$7-$E$7)),$G$7-SQRT((1-Q691)*($G$7-$E$7)*($G$7-$F$7))))</f>
        <v>0.921784163098889</v>
      </c>
      <c r="D691" s="51" t="n">
        <f aca="false">1+IF($G$8=$E$8,$F$8,IF(R691&lt;($F$8-$E$8)/($G$8-$E$8),$E$8+SQRT(R691*($G$8-$E$8)*($F$8-$E$8)),$G$8-SQRT((1-R691)*($G$8-$E$8)*($G$8-$F$8))))</f>
        <v>1.07373412859592</v>
      </c>
      <c r="E691" s="51" t="n">
        <f aca="false">1+IF($G$9=$E$9,$F$9,IF(S691&lt;($F$9-$E$9)/($G$9-$E$9),$E$9+SQRT(S691*($G$9-$E$9)*($F$9-$E$9)),$G$9-SQRT((1-S691)*($G$9-$E$9)*($G$9-$F$9))))</f>
        <v>1.04918652454329</v>
      </c>
      <c r="F691" s="51" t="n">
        <f aca="false">1+IF($G$10=$E$10,$F$10,IF(T691&lt;($F$10-$E$10)/($G$10-$E$10),$E$10+SQRT(T691*($G$10-$E$10)*($F$10-$E$10)),$G$10-SQRT((1-T691)*($G$10-$E$10)*($G$10-$F$10))))</f>
        <v>1.13744220652675</v>
      </c>
      <c r="G691" s="52" t="n">
        <f aca="false">IF($G$11=$E$11,$F$11,IF(U691&lt;($F$11-$E$11)/($G$11-$E$11),$E$11+SQRT(U691*($G$11-$E$11)*($F$11-$E$11)),$G$11-SQRT((1-U691)*($G$11-$E$11)*($G$11-$F$11))))</f>
        <v>0.106516216706789</v>
      </c>
      <c r="H691" s="53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-2274884413.05351</v>
      </c>
      <c r="I691" s="53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-61183812.5562818</v>
      </c>
      <c r="J691" s="53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188437684.380026</v>
      </c>
      <c r="K691" s="53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494931291.642671</v>
      </c>
      <c r="L691" s="53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610049633.988013</v>
      </c>
      <c r="M691" s="53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785561105.837496</v>
      </c>
      <c r="N691" s="53" t="n">
        <f aca="false">IF(COUNT('Business Case'!B11:G11)=0,"",H691+NPV(G691,I691:M691))</f>
        <v>-930434361.295154</v>
      </c>
      <c r="P691" s="54" t="n">
        <f aca="true">RAND()</f>
        <v>0.689012427291746</v>
      </c>
      <c r="Q691" s="54" t="n">
        <f aca="true">RAND()</f>
        <v>0.364357148159071</v>
      </c>
      <c r="R691" s="54" t="n">
        <f aca="true">RAND()</f>
        <v>0.954006933292288</v>
      </c>
      <c r="S691" s="54" t="n">
        <f aca="true">RAND()</f>
        <v>0.728977151102355</v>
      </c>
      <c r="T691" s="54" t="n">
        <f aca="true">RAND()</f>
        <v>0.831076575045788</v>
      </c>
      <c r="U691" s="54" t="n">
        <f aca="true">RAND()</f>
        <v>0.632341281491678</v>
      </c>
    </row>
    <row r="692" customFormat="false" ht="15" hidden="false" customHeight="false" outlineLevel="0" collapsed="false">
      <c r="A692" s="50" t="n">
        <v>612</v>
      </c>
      <c r="B692" s="51" t="n">
        <f aca="false">1+IF($G$6=$E$6,$F$6,IF(P692&lt;($F$6-$E$6)/($G$6-$E$6),$E$6+SQRT(P692*($G$6-$E$6)*($F$6-$E$6)),$G$6-SQRT((1-P692)*($G$6-$E$6)*($G$6-$F$6))))</f>
        <v>0.990100888709884</v>
      </c>
      <c r="C692" s="51" t="n">
        <f aca="false">1+IF($G$7=$E$7,$F$7,IF(Q692&lt;($F$7-$E$7)/($G$7-$E$7),$E$7+SQRT(Q692*($G$7-$E$7)*($F$7-$E$7)),$G$7-SQRT((1-Q692)*($G$7-$E$7)*($G$7-$F$7))))</f>
        <v>0.96118783939261</v>
      </c>
      <c r="D692" s="51" t="n">
        <f aca="false">1+IF($G$8=$E$8,$F$8,IF(R692&lt;($F$8-$E$8)/($G$8-$E$8),$E$8+SQRT(R692*($G$8-$E$8)*($F$8-$E$8)),$G$8-SQRT((1-R692)*($G$8-$E$8)*($G$8-$F$8))))</f>
        <v>1.02092457303188</v>
      </c>
      <c r="E692" s="51" t="n">
        <f aca="false">1+IF($G$9=$E$9,$F$9,IF(S692&lt;($F$9-$E$9)/($G$9-$E$9),$E$9+SQRT(S692*($G$9-$E$9)*($F$9-$E$9)),$G$9-SQRT((1-S692)*($G$9-$E$9)*($G$9-$F$9))))</f>
        <v>1.0864403754077</v>
      </c>
      <c r="F692" s="51" t="n">
        <f aca="false">1+IF($G$10=$E$10,$F$10,IF(T692&lt;($F$10-$E$10)/($G$10-$E$10),$E$10+SQRT(T692*($G$10-$E$10)*($F$10-$E$10)),$G$10-SQRT((1-T692)*($G$10-$E$10)*($G$10-$F$10))))</f>
        <v>1.06111545030436</v>
      </c>
      <c r="G692" s="52" t="n">
        <f aca="false">IF($G$11=$E$11,$F$11,IF(U692&lt;($F$11-$E$11)/($G$11-$E$11),$E$11+SQRT(U692*($G$11-$E$11)*($F$11-$E$11)),$G$11-SQRT((1-U692)*($G$11-$E$11)*($G$11-$F$11))))</f>
        <v>0.116292254787494</v>
      </c>
      <c r="H692" s="53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-2122230900.60871</v>
      </c>
      <c r="I692" s="53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-32796679.574237</v>
      </c>
      <c r="J692" s="53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244344732.163483</v>
      </c>
      <c r="K692" s="53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574541916.416421</v>
      </c>
      <c r="L692" s="53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699812203.594693</v>
      </c>
      <c r="M692" s="53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880706194.889367</v>
      </c>
      <c r="N692" s="53" t="n">
        <f aca="false">IF(COUNT('Business Case'!B11:G11)=0,"",H692+NPV(G692,I692:M692))</f>
        <v>-583715950.706368</v>
      </c>
      <c r="P692" s="54" t="n">
        <f aca="true">RAND()</f>
        <v>0.541211343087388</v>
      </c>
      <c r="Q692" s="54" t="n">
        <f aca="true">RAND()</f>
        <v>0.505326573678368</v>
      </c>
      <c r="R692" s="54" t="n">
        <f aca="true">RAND()</f>
        <v>0.583138456653944</v>
      </c>
      <c r="S692" s="54" t="n">
        <f aca="true">RAND()</f>
        <v>0.892271309911608</v>
      </c>
      <c r="T692" s="54" t="n">
        <f aca="true">RAND()</f>
        <v>0.524301691816985</v>
      </c>
      <c r="U692" s="54" t="n">
        <f aca="true">RAND()</f>
        <v>0.87473181412602</v>
      </c>
    </row>
    <row r="693" customFormat="false" ht="15" hidden="false" customHeight="false" outlineLevel="0" collapsed="false">
      <c r="A693" s="50" t="n">
        <v>613</v>
      </c>
      <c r="B693" s="51" t="n">
        <f aca="false">1+IF($G$6=$E$6,$F$6,IF(P693&lt;($F$6-$E$6)/($G$6-$E$6),$E$6+SQRT(P693*($G$6-$E$6)*($F$6-$E$6)),$G$6-SQRT((1-P693)*($G$6-$E$6)*($G$6-$F$6))))</f>
        <v>0.954513765798576</v>
      </c>
      <c r="C693" s="51" t="n">
        <f aca="false">1+IF($G$7=$E$7,$F$7,IF(Q693&lt;($F$7-$E$7)/($G$7-$E$7),$E$7+SQRT(Q693*($G$7-$E$7)*($F$7-$E$7)),$G$7-SQRT((1-Q693)*($G$7-$E$7)*($G$7-$F$7))))</f>
        <v>0.808630368190738</v>
      </c>
      <c r="D693" s="51" t="n">
        <f aca="false">1+IF($G$8=$E$8,$F$8,IF(R693&lt;($F$8-$E$8)/($G$8-$E$8),$E$8+SQRT(R693*($G$8-$E$8)*($F$8-$E$8)),$G$8-SQRT((1-R693)*($G$8-$E$8)*($G$8-$F$8))))</f>
        <v>0.978444402840509</v>
      </c>
      <c r="E693" s="51" t="n">
        <f aca="false">1+IF($G$9=$E$9,$F$9,IF(S693&lt;($F$9-$E$9)/($G$9-$E$9),$E$9+SQRT(S693*($G$9-$E$9)*($F$9-$E$9)),$G$9-SQRT((1-S693)*($G$9-$E$9)*($G$9-$F$9))))</f>
        <v>0.965240252374994</v>
      </c>
      <c r="F693" s="51" t="n">
        <f aca="false">1+IF($G$10=$E$10,$F$10,IF(T693&lt;($F$10-$E$10)/($G$10-$E$10),$E$10+SQRT(T693*($G$10-$E$10)*($F$10-$E$10)),$G$10-SQRT((1-T693)*($G$10-$E$10)*($G$10-$F$10))))</f>
        <v>0.958268417909629</v>
      </c>
      <c r="G693" s="52" t="n">
        <f aca="false">IF($G$11=$E$11,$F$11,IF(U693&lt;($F$11-$E$11)/($G$11-$E$11),$E$11+SQRT(U693*($G$11-$E$11)*($F$11-$E$11)),$G$11-SQRT((1-U693)*($G$11-$E$11)*($G$11-$F$11))))</f>
        <v>0.102795812545077</v>
      </c>
      <c r="H693" s="53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-1916536835.81926</v>
      </c>
      <c r="I693" s="53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-45927924.6039444</v>
      </c>
      <c r="J693" s="53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181240799.18974</v>
      </c>
      <c r="K693" s="53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456322943.878907</v>
      </c>
      <c r="L693" s="53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558720946.956096</v>
      </c>
      <c r="M693" s="53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705433970.258885</v>
      </c>
      <c r="N693" s="53" t="n">
        <f aca="false">IF(COUNT('Business Case'!B11:G11)=0,"",H693+NPV(G693,I693:M693))</f>
        <v>-658661632.180132</v>
      </c>
      <c r="P693" s="54" t="n">
        <f aca="true">RAND()</f>
        <v>0.198116710769467</v>
      </c>
      <c r="Q693" s="54" t="n">
        <f aca="true">RAND()</f>
        <v>0.0874115325426316</v>
      </c>
      <c r="R693" s="54" t="n">
        <f aca="true">RAND()</f>
        <v>0.107877873727084</v>
      </c>
      <c r="S693" s="54" t="n">
        <f aca="true">RAND()</f>
        <v>0.170251621198115</v>
      </c>
      <c r="T693" s="54" t="n">
        <f aca="true">RAND()</f>
        <v>0.00455778231521784</v>
      </c>
      <c r="U693" s="54" t="n">
        <f aca="true">RAND()</f>
        <v>0.506621456611619</v>
      </c>
    </row>
    <row r="694" customFormat="false" ht="15" hidden="false" customHeight="false" outlineLevel="0" collapsed="false">
      <c r="A694" s="50" t="n">
        <v>614</v>
      </c>
      <c r="B694" s="51" t="n">
        <f aca="false">1+IF($G$6=$E$6,$F$6,IF(P694&lt;($F$6-$E$6)/($G$6-$E$6),$E$6+SQRT(P694*($G$6-$E$6)*($F$6-$E$6)),$G$6-SQRT((1-P694)*($G$6-$E$6)*($G$6-$F$6))))</f>
        <v>0.911171347081399</v>
      </c>
      <c r="C694" s="51" t="n">
        <f aca="false">1+IF($G$7=$E$7,$F$7,IF(Q694&lt;($F$7-$E$7)/($G$7-$E$7),$E$7+SQRT(Q694*($G$7-$E$7)*($F$7-$E$7)),$G$7-SQRT((1-Q694)*($G$7-$E$7)*($G$7-$F$7))))</f>
        <v>1.06349165172712</v>
      </c>
      <c r="D694" s="51" t="n">
        <f aca="false">1+IF($G$8=$E$8,$F$8,IF(R694&lt;($F$8-$E$8)/($G$8-$E$8),$E$8+SQRT(R694*($G$8-$E$8)*($F$8-$E$8)),$G$8-SQRT((1-R694)*($G$8-$E$8)*($G$8-$F$8))))</f>
        <v>1.04361173692295</v>
      </c>
      <c r="E694" s="51" t="n">
        <f aca="false">1+IF($G$9=$E$9,$F$9,IF(S694&lt;($F$9-$E$9)/($G$9-$E$9),$E$9+SQRT(S694*($G$9-$E$9)*($F$9-$E$9)),$G$9-SQRT((1-S694)*($G$9-$E$9)*($G$9-$F$9))))</f>
        <v>0.993151679318351</v>
      </c>
      <c r="F694" s="51" t="n">
        <f aca="false">1+IF($G$10=$E$10,$F$10,IF(T694&lt;($F$10-$E$10)/($G$10-$E$10),$E$10+SQRT(T694*($G$10-$E$10)*($F$10-$E$10)),$G$10-SQRT((1-T694)*($G$10-$E$10)*($G$10-$F$10))))</f>
        <v>0.992520740003152</v>
      </c>
      <c r="G694" s="52" t="n">
        <f aca="false">IF($G$11=$E$11,$F$11,IF(U694&lt;($F$11-$E$11)/($G$11-$E$11),$E$11+SQRT(U694*($G$11-$E$11)*($F$11-$E$11)),$G$11-SQRT((1-U694)*($G$11-$E$11)*($G$11-$F$11))))</f>
        <v>0.0998554718069049</v>
      </c>
      <c r="H694" s="53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-1985041480.0063</v>
      </c>
      <c r="I694" s="53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-65178559.2740323</v>
      </c>
      <c r="J694" s="53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160355282.839503</v>
      </c>
      <c r="K694" s="53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435515161.953196</v>
      </c>
      <c r="L694" s="53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544182548.383164</v>
      </c>
      <c r="M694" s="53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728374463.206501</v>
      </c>
      <c r="N694" s="53" t="n">
        <f aca="false">IF(COUNT('Business Case'!B11:G11)=0,"",H694+NPV(G694,I694:M694))</f>
        <v>-759964773.642889</v>
      </c>
      <c r="P694" s="54" t="n">
        <f aca="true">RAND()</f>
        <v>0.00831993304087261</v>
      </c>
      <c r="Q694" s="54" t="n">
        <f aca="true">RAND()</f>
        <v>0.889130454505164</v>
      </c>
      <c r="R694" s="54" t="n">
        <f aca="true">RAND()</f>
        <v>0.788024252476917</v>
      </c>
      <c r="S694" s="54" t="n">
        <f aca="true">RAND()</f>
        <v>0.347089414393159</v>
      </c>
      <c r="T694" s="54" t="n">
        <f aca="true">RAND()</f>
        <v>0.120534222027712</v>
      </c>
      <c r="U694" s="54" t="n">
        <f aca="true">RAND()</f>
        <v>0.394239760674796</v>
      </c>
    </row>
    <row r="695" customFormat="false" ht="15" hidden="false" customHeight="false" outlineLevel="0" collapsed="false">
      <c r="A695" s="50" t="n">
        <v>615</v>
      </c>
      <c r="B695" s="51" t="n">
        <f aca="false">1+IF($G$6=$E$6,$F$6,IF(P695&lt;($F$6-$E$6)/($G$6-$E$6),$E$6+SQRT(P695*($G$6-$E$6)*($F$6-$E$6)),$G$6-SQRT((1-P695)*($G$6-$E$6)*($G$6-$F$6))))</f>
        <v>1.02190184661516</v>
      </c>
      <c r="C695" s="51" t="n">
        <f aca="false">1+IF($G$7=$E$7,$F$7,IF(Q695&lt;($F$7-$E$7)/($G$7-$E$7),$E$7+SQRT(Q695*($G$7-$E$7)*($F$7-$E$7)),$G$7-SQRT((1-Q695)*($G$7-$E$7)*($G$7-$F$7))))</f>
        <v>0.82296295744918</v>
      </c>
      <c r="D695" s="51" t="n">
        <f aca="false">1+IF($G$8=$E$8,$F$8,IF(R695&lt;($F$8-$E$8)/($G$8-$E$8),$E$8+SQRT(R695*($G$8-$E$8)*($F$8-$E$8)),$G$8-SQRT((1-R695)*($G$8-$E$8)*($G$8-$F$8))))</f>
        <v>1.05538425158096</v>
      </c>
      <c r="E695" s="51" t="n">
        <f aca="false">1+IF($G$9=$E$9,$F$9,IF(S695&lt;($F$9-$E$9)/($G$9-$E$9),$E$9+SQRT(S695*($G$9-$E$9)*($F$9-$E$9)),$G$9-SQRT((1-S695)*($G$9-$E$9)*($G$9-$F$9))))</f>
        <v>1.07578914593101</v>
      </c>
      <c r="F695" s="51" t="n">
        <f aca="false">1+IF($G$10=$E$10,$F$10,IF(T695&lt;($F$10-$E$10)/($G$10-$E$10),$E$10+SQRT(T695*($G$10-$E$10)*($F$10-$E$10)),$G$10-SQRT((1-T695)*($G$10-$E$10)*($G$10-$F$10))))</f>
        <v>1.03371651550502</v>
      </c>
      <c r="G695" s="52" t="n">
        <f aca="false">IF($G$11=$E$11,$F$11,IF(U695&lt;($F$11-$E$11)/($G$11-$E$11),$E$11+SQRT(U695*($G$11-$E$11)*($F$11-$E$11)),$G$11-SQRT((1-U695)*($G$11-$E$11)*($G$11-$F$11))))</f>
        <v>0.111811715238781</v>
      </c>
      <c r="H695" s="53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-2067433031.01005</v>
      </c>
      <c r="I695" s="53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-55740544.2082797</v>
      </c>
      <c r="J695" s="53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188464564.734273</v>
      </c>
      <c r="K695" s="53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484355499.452076</v>
      </c>
      <c r="L695" s="53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594821725.798887</v>
      </c>
      <c r="M695" s="53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754676604.311667</v>
      </c>
      <c r="N695" s="53" t="n">
        <f aca="false">IF(COUNT('Business Case'!B11:G11)=0,"",H695+NPV(G695,I695:M695))</f>
        <v>-779169394.774273</v>
      </c>
      <c r="P695" s="54" t="n">
        <f aca="true">RAND()</f>
        <v>0.894732503514962</v>
      </c>
      <c r="Q695" s="54" t="n">
        <f aca="true">RAND()</f>
        <v>0.111999177071474</v>
      </c>
      <c r="R695" s="54" t="n">
        <f aca="true">RAND()</f>
        <v>0.867295666200574</v>
      </c>
      <c r="S695" s="54" t="n">
        <f aca="true">RAND()</f>
        <v>0.853139977022707</v>
      </c>
      <c r="T695" s="54" t="n">
        <f aca="true">RAND()</f>
        <v>0.376286057796144</v>
      </c>
      <c r="U695" s="54" t="n">
        <f aca="true">RAND()</f>
        <v>0.779457531629869</v>
      </c>
    </row>
    <row r="696" customFormat="false" ht="15" hidden="false" customHeight="false" outlineLevel="0" collapsed="false">
      <c r="A696" s="50" t="n">
        <v>616</v>
      </c>
      <c r="B696" s="51" t="n">
        <f aca="false">1+IF($G$6=$E$6,$F$6,IF(P696&lt;($F$6-$E$6)/($G$6-$E$6),$E$6+SQRT(P696*($G$6-$E$6)*($F$6-$E$6)),$G$6-SQRT((1-P696)*($G$6-$E$6)*($G$6-$F$6))))</f>
        <v>1.01696560351664</v>
      </c>
      <c r="C696" s="51" t="n">
        <f aca="false">1+IF($G$7=$E$7,$F$7,IF(Q696&lt;($F$7-$E$7)/($G$7-$E$7),$E$7+SQRT(Q696*($G$7-$E$7)*($F$7-$E$7)),$G$7-SQRT((1-Q696)*($G$7-$E$7)*($G$7-$F$7))))</f>
        <v>0.972688888033225</v>
      </c>
      <c r="D696" s="51" t="n">
        <f aca="false">1+IF($G$8=$E$8,$F$8,IF(R696&lt;($F$8-$E$8)/($G$8-$E$8),$E$8+SQRT(R696*($G$8-$E$8)*($F$8-$E$8)),$G$8-SQRT((1-R696)*($G$8-$E$8)*($G$8-$F$8))))</f>
        <v>0.990263419310962</v>
      </c>
      <c r="E696" s="51" t="n">
        <f aca="false">1+IF($G$9=$E$9,$F$9,IF(S696&lt;($F$9-$E$9)/($G$9-$E$9),$E$9+SQRT(S696*($G$9-$E$9)*($F$9-$E$9)),$G$9-SQRT((1-S696)*($G$9-$E$9)*($G$9-$F$9))))</f>
        <v>0.962849500171887</v>
      </c>
      <c r="F696" s="51" t="n">
        <f aca="false">1+IF($G$10=$E$10,$F$10,IF(T696&lt;($F$10-$E$10)/($G$10-$E$10),$E$10+SQRT(T696*($G$10-$E$10)*($F$10-$E$10)),$G$10-SQRT((1-T696)*($G$10-$E$10)*($G$10-$F$10))))</f>
        <v>1.14229711704672</v>
      </c>
      <c r="G696" s="52" t="n">
        <f aca="false">IF($G$11=$E$11,$F$11,IF(U696&lt;($F$11-$E$11)/($G$11-$E$11),$E$11+SQRT(U696*($G$11-$E$11)*($F$11-$E$11)),$G$11-SQRT((1-U696)*($G$11-$E$11)*($G$11-$F$11))))</f>
        <v>0.110563521327523</v>
      </c>
      <c r="H696" s="53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-2284594234.09344</v>
      </c>
      <c r="I696" s="53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14701514.3430954</v>
      </c>
      <c r="J696" s="53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331829608.119314</v>
      </c>
      <c r="K696" s="53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706072557.747869</v>
      </c>
      <c r="L696" s="53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845968368.20928</v>
      </c>
      <c r="M696" s="53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1033993820.49065</v>
      </c>
      <c r="N696" s="53" t="n">
        <f aca="false">IF(COUNT('Business Case'!B11:G11)=0,"",H696+NPV(G696,I696:M696))</f>
        <v>-318615457.289282</v>
      </c>
      <c r="P696" s="54" t="n">
        <f aca="true">RAND()</f>
        <v>0.854497153197347</v>
      </c>
      <c r="Q696" s="54" t="n">
        <f aca="true">RAND()</f>
        <v>0.550809108568864</v>
      </c>
      <c r="R696" s="54" t="n">
        <f aca="true">RAND()</f>
        <v>0.21615239128138</v>
      </c>
      <c r="S696" s="54" t="n">
        <f aca="true">RAND()</f>
        <v>0.158002386874243</v>
      </c>
      <c r="T696" s="54" t="n">
        <f aca="true">RAND()</f>
        <v>0.845334520047362</v>
      </c>
      <c r="U696" s="54" t="n">
        <f aca="true">RAND()</f>
        <v>0.74814886454291</v>
      </c>
    </row>
    <row r="697" customFormat="false" ht="15" hidden="false" customHeight="false" outlineLevel="0" collapsed="false">
      <c r="A697" s="50" t="n">
        <v>617</v>
      </c>
      <c r="B697" s="51" t="n">
        <f aca="false">1+IF($G$6=$E$6,$F$6,IF(P697&lt;($F$6-$E$6)/($G$6-$E$6),$E$6+SQRT(P697*($G$6-$E$6)*($F$6-$E$6)),$G$6-SQRT((1-P697)*($G$6-$E$6)*($G$6-$F$6))))</f>
        <v>1.01248169683516</v>
      </c>
      <c r="C697" s="51" t="n">
        <f aca="false">1+IF($G$7=$E$7,$F$7,IF(Q697&lt;($F$7-$E$7)/($G$7-$E$7),$E$7+SQRT(Q697*($G$7-$E$7)*($F$7-$E$7)),$G$7-SQRT((1-Q697)*($G$7-$E$7)*($G$7-$F$7))))</f>
        <v>0.850470065352202</v>
      </c>
      <c r="D697" s="51" t="n">
        <f aca="false">1+IF($G$8=$E$8,$F$8,IF(R697&lt;($F$8-$E$8)/($G$8-$E$8),$E$8+SQRT(R697*($G$8-$E$8)*($F$8-$E$8)),$G$8-SQRT((1-R697)*($G$8-$E$8)*($G$8-$F$8))))</f>
        <v>0.991569374758763</v>
      </c>
      <c r="E697" s="51" t="n">
        <f aca="false">1+IF($G$9=$E$9,$F$9,IF(S697&lt;($F$9-$E$9)/($G$9-$E$9),$E$9+SQRT(S697*($G$9-$E$9)*($F$9-$E$9)),$G$9-SQRT((1-S697)*($G$9-$E$9)*($G$9-$F$9))))</f>
        <v>0.964582420629737</v>
      </c>
      <c r="F697" s="51" t="n">
        <f aca="false">1+IF($G$10=$E$10,$F$10,IF(T697&lt;($F$10-$E$10)/($G$10-$E$10),$E$10+SQRT(T697*($G$10-$E$10)*($F$10-$E$10)),$G$10-SQRT((1-T697)*($G$10-$E$10)*($G$10-$F$10))))</f>
        <v>1.10982032976093</v>
      </c>
      <c r="G697" s="52" t="n">
        <f aca="false">IF($G$11=$E$11,$F$11,IF(U697&lt;($F$11-$E$11)/($G$11-$E$11),$E$11+SQRT(U697*($G$11-$E$11)*($F$11-$E$11)),$G$11-SQRT((1-U697)*($G$11-$E$11)*($G$11-$F$11))))</f>
        <v>0.126633721237476</v>
      </c>
      <c r="H697" s="53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-2219640659.52186</v>
      </c>
      <c r="I697" s="53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-19195571.1752263</v>
      </c>
      <c r="J697" s="53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254393176.672725</v>
      </c>
      <c r="K697" s="53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583472941.008722</v>
      </c>
      <c r="L697" s="53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704428300.847063</v>
      </c>
      <c r="M697" s="53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868103408.903361</v>
      </c>
      <c r="N697" s="53" t="n">
        <f aca="false">IF(COUNT('Business Case'!B11:G11)=0,"",H697+NPV(G697,I697:M697))</f>
        <v>-712768714.127483</v>
      </c>
      <c r="P697" s="54" t="n">
        <f aca="true">RAND()</f>
        <v>0.812316923684139</v>
      </c>
      <c r="Q697" s="54" t="n">
        <f aca="true">RAND()</f>
        <v>0.1677128930896</v>
      </c>
      <c r="R697" s="54" t="n">
        <f aca="true">RAND()</f>
        <v>0.230401722377927</v>
      </c>
      <c r="S697" s="54" t="n">
        <f aca="true">RAND()</f>
        <v>0.16683556217585</v>
      </c>
      <c r="T697" s="54" t="n">
        <f aca="true">RAND()</f>
        <v>0.737995467355539</v>
      </c>
      <c r="U697" s="54" t="n">
        <f aca="true">RAND()</f>
        <v>0.992445444861986</v>
      </c>
    </row>
    <row r="698" customFormat="false" ht="15" hidden="false" customHeight="false" outlineLevel="0" collapsed="false">
      <c r="A698" s="50" t="n">
        <v>618</v>
      </c>
      <c r="B698" s="51" t="n">
        <f aca="false">1+IF($G$6=$E$6,$F$6,IF(P698&lt;($F$6-$E$6)/($G$6-$E$6),$E$6+SQRT(P698*($G$6-$E$6)*($F$6-$E$6)),$G$6-SQRT((1-P698)*($G$6-$E$6)*($G$6-$F$6))))</f>
        <v>1.01813103428013</v>
      </c>
      <c r="C698" s="51" t="n">
        <f aca="false">1+IF($G$7=$E$7,$F$7,IF(Q698&lt;($F$7-$E$7)/($G$7-$E$7),$E$7+SQRT(Q698*($G$7-$E$7)*($F$7-$E$7)),$G$7-SQRT((1-Q698)*($G$7-$E$7)*($G$7-$F$7))))</f>
        <v>1.07934380447277</v>
      </c>
      <c r="D698" s="51" t="n">
        <f aca="false">1+IF($G$8=$E$8,$F$8,IF(R698&lt;($F$8-$E$8)/($G$8-$E$8),$E$8+SQRT(R698*($G$8-$E$8)*($F$8-$E$8)),$G$8-SQRT((1-R698)*($G$8-$E$8)*($G$8-$F$8))))</f>
        <v>1.05417209633527</v>
      </c>
      <c r="E698" s="51" t="n">
        <f aca="false">1+IF($G$9=$E$9,$F$9,IF(S698&lt;($F$9-$E$9)/($G$9-$E$9),$E$9+SQRT(S698*($G$9-$E$9)*($F$9-$E$9)),$G$9-SQRT((1-S698)*($G$9-$E$9)*($G$9-$F$9))))</f>
        <v>1.05386295355896</v>
      </c>
      <c r="F698" s="51" t="n">
        <f aca="false">1+IF($G$10=$E$10,$F$10,IF(T698&lt;($F$10-$E$10)/($G$10-$E$10),$E$10+SQRT(T698*($G$10-$E$10)*($F$10-$E$10)),$G$10-SQRT((1-T698)*($G$10-$E$10)*($G$10-$F$10))))</f>
        <v>1.09347260037674</v>
      </c>
      <c r="G698" s="52" t="n">
        <f aca="false">IF($G$11=$E$11,$F$11,IF(U698&lt;($F$11-$E$11)/($G$11-$E$11),$E$11+SQRT(U698*($G$11-$E$11)*($F$11-$E$11)),$G$11-SQRT((1-U698)*($G$11-$E$11)*($G$11-$F$11))))</f>
        <v>0.102342235382487</v>
      </c>
      <c r="H698" s="53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-2186945200.75348</v>
      </c>
      <c r="I698" s="53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1445167.24582589</v>
      </c>
      <c r="J698" s="53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319064578.42514</v>
      </c>
      <c r="K698" s="53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691357619.623291</v>
      </c>
      <c r="L698" s="53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835209204.616217</v>
      </c>
      <c r="M698" s="53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1044090668.24856</v>
      </c>
      <c r="N698" s="53" t="n">
        <f aca="false">IF(COUNT('Business Case'!B11:G11)=0,"",H698+NPV(G698,I698:M698))</f>
        <v>-199874546.197556</v>
      </c>
      <c r="P698" s="54" t="n">
        <f aca="true">RAND()</f>
        <v>0.864582536526074</v>
      </c>
      <c r="Q698" s="54" t="n">
        <f aca="true">RAND()</f>
        <v>0.926040030127679</v>
      </c>
      <c r="R698" s="54" t="n">
        <f aca="true">RAND()</f>
        <v>0.859986883046438</v>
      </c>
      <c r="S698" s="54" t="n">
        <f aca="true">RAND()</f>
        <v>0.753537821375826</v>
      </c>
      <c r="T698" s="54" t="n">
        <f aca="true">RAND()</f>
        <v>0.673322308895732</v>
      </c>
      <c r="U698" s="54" t="n">
        <f aca="true">RAND()</f>
        <v>0.490032037574832</v>
      </c>
    </row>
    <row r="699" customFormat="false" ht="15" hidden="false" customHeight="false" outlineLevel="0" collapsed="false">
      <c r="A699" s="50" t="n">
        <v>619</v>
      </c>
      <c r="B699" s="51" t="n">
        <f aca="false">1+IF($G$6=$E$6,$F$6,IF(P699&lt;($F$6-$E$6)/($G$6-$E$6),$E$6+SQRT(P699*($G$6-$E$6)*($F$6-$E$6)),$G$6-SQRT((1-P699)*($G$6-$E$6)*($G$6-$F$6))))</f>
        <v>1.00531966564219</v>
      </c>
      <c r="C699" s="51" t="n">
        <f aca="false">1+IF($G$7=$E$7,$F$7,IF(Q699&lt;($F$7-$E$7)/($G$7-$E$7),$E$7+SQRT(Q699*($G$7-$E$7)*($F$7-$E$7)),$G$7-SQRT((1-Q699)*($G$7-$E$7)*($G$7-$F$7))))</f>
        <v>1.05916141711737</v>
      </c>
      <c r="D699" s="51" t="n">
        <f aca="false">1+IF($G$8=$E$8,$F$8,IF(R699&lt;($F$8-$E$8)/($G$8-$E$8),$E$8+SQRT(R699*($G$8-$E$8)*($F$8-$E$8)),$G$8-SQRT((1-R699)*($G$8-$E$8)*($G$8-$F$8))))</f>
        <v>0.988630564257477</v>
      </c>
      <c r="E699" s="51" t="n">
        <f aca="false">1+IF($G$9=$E$9,$F$9,IF(S699&lt;($F$9-$E$9)/($G$9-$E$9),$E$9+SQRT(S699*($G$9-$E$9)*($F$9-$E$9)),$G$9-SQRT((1-S699)*($G$9-$E$9)*($G$9-$F$9))))</f>
        <v>0.965754119232667</v>
      </c>
      <c r="F699" s="51" t="n">
        <f aca="false">1+IF($G$10=$E$10,$F$10,IF(T699&lt;($F$10-$E$10)/($G$10-$E$10),$E$10+SQRT(T699*($G$10-$E$10)*($F$10-$E$10)),$G$10-SQRT((1-T699)*($G$10-$E$10)*($G$10-$F$10))))</f>
        <v>1.17430478042986</v>
      </c>
      <c r="G699" s="52" t="n">
        <f aca="false">IF($G$11=$E$11,$F$11,IF(U699&lt;($F$11-$E$11)/($G$11-$E$11),$E$11+SQRT(U699*($G$11-$E$11)*($F$11-$E$11)),$G$11-SQRT((1-U699)*($G$11-$E$11)*($G$11-$F$11))))</f>
        <v>0.105125402669132</v>
      </c>
      <c r="H699" s="53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-2348609560.85972</v>
      </c>
      <c r="I699" s="53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26143361.3778568</v>
      </c>
      <c r="J699" s="53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362246450.914622</v>
      </c>
      <c r="K699" s="53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757064779.47288</v>
      </c>
      <c r="L699" s="53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905898485.55916</v>
      </c>
      <c r="M699" s="53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1108294871.54963</v>
      </c>
      <c r="N699" s="53" t="n">
        <f aca="false">IF(COUNT('Business Case'!B11:G11)=0,"",H699+NPV(G699,I699:M699))</f>
        <v>-187734453.660067</v>
      </c>
      <c r="P699" s="54" t="n">
        <f aca="true">RAND()</f>
        <v>0.733822362889898</v>
      </c>
      <c r="Q699" s="54" t="n">
        <f aca="true">RAND()</f>
        <v>0.877753360887052</v>
      </c>
      <c r="R699" s="54" t="n">
        <f aca="true">RAND()</f>
        <v>0.198976065980144</v>
      </c>
      <c r="S699" s="54" t="n">
        <f aca="true">RAND()</f>
        <v>0.17294416784255</v>
      </c>
      <c r="T699" s="54" t="n">
        <f aca="true">RAND()</f>
        <v>0.923603116456374</v>
      </c>
      <c r="U699" s="54" t="n">
        <f aca="true">RAND()</f>
        <v>0.587502938418133</v>
      </c>
    </row>
    <row r="700" customFormat="false" ht="15" hidden="false" customHeight="false" outlineLevel="0" collapsed="false">
      <c r="A700" s="50" t="n">
        <v>620</v>
      </c>
      <c r="B700" s="51" t="n">
        <f aca="false">1+IF($G$6=$E$6,$F$6,IF(P700&lt;($F$6-$E$6)/($G$6-$E$6),$E$6+SQRT(P700*($G$6-$E$6)*($F$6-$E$6)),$G$6-SQRT((1-P700)*($G$6-$E$6)*($G$6-$F$6))))</f>
        <v>1.01586603512647</v>
      </c>
      <c r="C700" s="51" t="n">
        <f aca="false">1+IF($G$7=$E$7,$F$7,IF(Q700&lt;($F$7-$E$7)/($G$7-$E$7),$E$7+SQRT(Q700*($G$7-$E$7)*($F$7-$E$7)),$G$7-SQRT((1-Q700)*($G$7-$E$7)*($G$7-$F$7))))</f>
        <v>1.07823618359797</v>
      </c>
      <c r="D700" s="51" t="n">
        <f aca="false">1+IF($G$8=$E$8,$F$8,IF(R700&lt;($F$8-$E$8)/($G$8-$E$8),$E$8+SQRT(R700*($G$8-$E$8)*($F$8-$E$8)),$G$8-SQRT((1-R700)*($G$8-$E$8)*($G$8-$F$8))))</f>
        <v>1.02115938960516</v>
      </c>
      <c r="E700" s="51" t="n">
        <f aca="false">1+IF($G$9=$E$9,$F$9,IF(S700&lt;($F$9-$E$9)/($G$9-$E$9),$E$9+SQRT(S700*($G$9-$E$9)*($F$9-$E$9)),$G$9-SQRT((1-S700)*($G$9-$E$9)*($G$9-$F$9))))</f>
        <v>0.994772057932333</v>
      </c>
      <c r="F700" s="51" t="n">
        <f aca="false">1+IF($G$10=$E$10,$F$10,IF(T700&lt;($F$10-$E$10)/($G$10-$E$10),$E$10+SQRT(T700*($G$10-$E$10)*($F$10-$E$10)),$G$10-SQRT((1-T700)*($G$10-$E$10)*($G$10-$F$10))))</f>
        <v>0.982648219965926</v>
      </c>
      <c r="G700" s="52" t="n">
        <f aca="false">IF($G$11=$E$11,$F$11,IF(U700&lt;($F$11-$E$11)/($G$11-$E$11),$E$11+SQRT(U700*($G$11-$E$11)*($F$11-$E$11)),$G$11-SQRT((1-U700)*($G$11-$E$11)*($G$11-$F$11))))</f>
        <v>0.0867618493756723</v>
      </c>
      <c r="H700" s="53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-1965296439.93185</v>
      </c>
      <c r="I700" s="53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37011158.9140163</v>
      </c>
      <c r="J700" s="53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370526334.371522</v>
      </c>
      <c r="K700" s="53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753173920.827325</v>
      </c>
      <c r="L700" s="53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902200717.919107</v>
      </c>
      <c r="M700" s="53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1110403613.58515</v>
      </c>
      <c r="N700" s="53" t="n">
        <f aca="false">IF(COUNT('Business Case'!B11:G11)=0,"",H700+NPV(G700,I700:M700))</f>
        <v>348584203.088208</v>
      </c>
      <c r="P700" s="54" t="n">
        <f aca="true">RAND()</f>
        <v>0.844649658934985</v>
      </c>
      <c r="Q700" s="54" t="n">
        <f aca="true">RAND()</f>
        <v>0.923703031932094</v>
      </c>
      <c r="R700" s="54" t="n">
        <f aca="true">RAND()</f>
        <v>0.585610543504635</v>
      </c>
      <c r="S700" s="54" t="n">
        <f aca="true">RAND()</f>
        <v>0.359269718589176</v>
      </c>
      <c r="T700" s="54" t="n">
        <f aca="true">RAND()</f>
        <v>0.0710604177962309</v>
      </c>
      <c r="U700" s="54" t="n">
        <f aca="true">RAND()</f>
        <v>0.0457226069792797</v>
      </c>
    </row>
    <row r="701" customFormat="false" ht="15" hidden="false" customHeight="false" outlineLevel="0" collapsed="false">
      <c r="A701" s="50" t="n">
        <v>621</v>
      </c>
      <c r="B701" s="51" t="n">
        <f aca="false">1+IF($G$6=$E$6,$F$6,IF(P701&lt;($F$6-$E$6)/($G$6-$E$6),$E$6+SQRT(P701*($G$6-$E$6)*($F$6-$E$6)),$G$6-SQRT((1-P701)*($G$6-$E$6)*($G$6-$F$6))))</f>
        <v>0.985406295136179</v>
      </c>
      <c r="C701" s="51" t="n">
        <f aca="false">1+IF($G$7=$E$7,$F$7,IF(Q701&lt;($F$7-$E$7)/($G$7-$E$7),$E$7+SQRT(Q701*($G$7-$E$7)*($F$7-$E$7)),$G$7-SQRT((1-Q701)*($G$7-$E$7)*($G$7-$F$7))))</f>
        <v>0.788597092272293</v>
      </c>
      <c r="D701" s="51" t="n">
        <f aca="false">1+IF($G$8=$E$8,$F$8,IF(R701&lt;($F$8-$E$8)/($G$8-$E$8),$E$8+SQRT(R701*($G$8-$E$8)*($F$8-$E$8)),$G$8-SQRT((1-R701)*($G$8-$E$8)*($G$8-$F$8))))</f>
        <v>0.985910465440709</v>
      </c>
      <c r="E701" s="51" t="n">
        <f aca="false">1+IF($G$9=$E$9,$F$9,IF(S701&lt;($F$9-$E$9)/($G$9-$E$9),$E$9+SQRT(S701*($G$9-$E$9)*($F$9-$E$9)),$G$9-SQRT((1-S701)*($G$9-$E$9)*($G$9-$F$9))))</f>
        <v>0.931130773675383</v>
      </c>
      <c r="F701" s="51" t="n">
        <f aca="false">1+IF($G$10=$E$10,$F$10,IF(T701&lt;($F$10-$E$10)/($G$10-$E$10),$E$10+SQRT(T701*($G$10-$E$10)*($F$10-$E$10)),$G$10-SQRT((1-T701)*($G$10-$E$10)*($G$10-$F$10))))</f>
        <v>0.989628243839235</v>
      </c>
      <c r="G701" s="52" t="n">
        <f aca="false">IF($G$11=$E$11,$F$11,IF(U701&lt;($F$11-$E$11)/($G$11-$E$11),$E$11+SQRT(U701*($G$11-$E$11)*($F$11-$E$11)),$G$11-SQRT((1-U701)*($G$11-$E$11)*($G$11-$F$11))))</f>
        <v>0.113555114470964</v>
      </c>
      <c r="H701" s="53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-1979256487.67847</v>
      </c>
      <c r="I701" s="53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-33173124.1762579</v>
      </c>
      <c r="J701" s="53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205307641.912462</v>
      </c>
      <c r="K701" s="53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493269820.193143</v>
      </c>
      <c r="L701" s="53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599619588.798992</v>
      </c>
      <c r="M701" s="53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747328578.301845</v>
      </c>
      <c r="N701" s="53" t="n">
        <f aca="false">IF(COUNT('Business Case'!B11:G11)=0,"",H701+NPV(G701,I701:M701))</f>
        <v>-659808974.86613</v>
      </c>
      <c r="P701" s="54" t="n">
        <f aca="true">RAND()</f>
        <v>0.486282349925878</v>
      </c>
      <c r="Q701" s="54" t="n">
        <f aca="true">RAND()</f>
        <v>0.0581440352526308</v>
      </c>
      <c r="R701" s="54" t="n">
        <f aca="true">RAND()</f>
        <v>0.171941537089109</v>
      </c>
      <c r="S701" s="54" t="n">
        <f aca="true">RAND()</f>
        <v>0.0387650027851169</v>
      </c>
      <c r="T701" s="54" t="n">
        <f aca="true">RAND()</f>
        <v>0.104693180652126</v>
      </c>
      <c r="U701" s="54" t="n">
        <f aca="true">RAND()</f>
        <v>0.819710493291259</v>
      </c>
    </row>
    <row r="702" customFormat="false" ht="15" hidden="false" customHeight="false" outlineLevel="0" collapsed="false">
      <c r="A702" s="50" t="n">
        <v>622</v>
      </c>
      <c r="B702" s="51" t="n">
        <f aca="false">1+IF($G$6=$E$6,$F$6,IF(P702&lt;($F$6-$E$6)/($G$6-$E$6),$E$6+SQRT(P702*($G$6-$E$6)*($F$6-$E$6)),$G$6-SQRT((1-P702)*($G$6-$E$6)*($G$6-$F$6))))</f>
        <v>1.03040520397007</v>
      </c>
      <c r="C702" s="51" t="n">
        <f aca="false">1+IF($G$7=$E$7,$F$7,IF(Q702&lt;($F$7-$E$7)/($G$7-$E$7),$E$7+SQRT(Q702*($G$7-$E$7)*($F$7-$E$7)),$G$7-SQRT((1-Q702)*($G$7-$E$7)*($G$7-$F$7))))</f>
        <v>1.00224008075668</v>
      </c>
      <c r="D702" s="51" t="n">
        <f aca="false">1+IF($G$8=$E$8,$F$8,IF(R702&lt;($F$8-$E$8)/($G$8-$E$8),$E$8+SQRT(R702*($G$8-$E$8)*($F$8-$E$8)),$G$8-SQRT((1-R702)*($G$8-$E$8)*($G$8-$F$8))))</f>
        <v>1.03727001467104</v>
      </c>
      <c r="E702" s="51" t="n">
        <f aca="false">1+IF($G$9=$E$9,$F$9,IF(S702&lt;($F$9-$E$9)/($G$9-$E$9),$E$9+SQRT(S702*($G$9-$E$9)*($F$9-$E$9)),$G$9-SQRT((1-S702)*($G$9-$E$9)*($G$9-$F$9))))</f>
        <v>0.976533349803905</v>
      </c>
      <c r="F702" s="51" t="n">
        <f aca="false">1+IF($G$10=$E$10,$F$10,IF(T702&lt;($F$10-$E$10)/($G$10-$E$10),$E$10+SQRT(T702*($G$10-$E$10)*($F$10-$E$10)),$G$10-SQRT((1-T702)*($G$10-$E$10)*($G$10-$F$10))))</f>
        <v>1.03088105010255</v>
      </c>
      <c r="G702" s="52" t="n">
        <f aca="false">IF($G$11=$E$11,$F$11,IF(U702&lt;($F$11-$E$11)/($G$11-$E$11),$E$11+SQRT(U702*($G$11-$E$11)*($F$11-$E$11)),$G$11-SQRT((1-U702)*($G$11-$E$11)*($G$11-$F$11))))</f>
        <v>0.0953818733194055</v>
      </c>
      <c r="H702" s="53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-2061762100.2051</v>
      </c>
      <c r="I702" s="53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18190868.8490236</v>
      </c>
      <c r="J702" s="53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331868747.438875</v>
      </c>
      <c r="K702" s="53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697090678.533855</v>
      </c>
      <c r="L702" s="53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837340546.322777</v>
      </c>
      <c r="M702" s="53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1033638708.41379</v>
      </c>
      <c r="N702" s="53" t="n">
        <f aca="false">IF(COUNT('Business Case'!B11:G11)=0,"",H702+NPV(G702,I702:M702))</f>
        <v>-1106325.46524215</v>
      </c>
      <c r="P702" s="54" t="n">
        <f aca="true">RAND()</f>
        <v>0.948805862472744</v>
      </c>
      <c r="Q702" s="54" t="n">
        <f aca="true">RAND()</f>
        <v>0.676548240966056</v>
      </c>
      <c r="R702" s="54" t="n">
        <f aca="true">RAND()</f>
        <v>0.737663262708573</v>
      </c>
      <c r="S702" s="54" t="n">
        <f aca="true">RAND()</f>
        <v>0.234294145288276</v>
      </c>
      <c r="T702" s="54" t="n">
        <f aca="true">RAND()</f>
        <v>0.35982514394453</v>
      </c>
      <c r="U702" s="54" t="n">
        <f aca="true">RAND()</f>
        <v>0.23660202681424</v>
      </c>
    </row>
    <row r="703" customFormat="false" ht="15" hidden="false" customHeight="false" outlineLevel="0" collapsed="false">
      <c r="A703" s="50" t="n">
        <v>623</v>
      </c>
      <c r="B703" s="51" t="n">
        <f aca="false">1+IF($G$6=$E$6,$F$6,IF(P703&lt;($F$6-$E$6)/($G$6-$E$6),$E$6+SQRT(P703*($G$6-$E$6)*($F$6-$E$6)),$G$6-SQRT((1-P703)*($G$6-$E$6)*($G$6-$F$6))))</f>
        <v>1.00278120132172</v>
      </c>
      <c r="C703" s="51" t="n">
        <f aca="false">1+IF($G$7=$E$7,$F$7,IF(Q703&lt;($F$7-$E$7)/($G$7-$E$7),$E$7+SQRT(Q703*($G$7-$E$7)*($F$7-$E$7)),$G$7-SQRT((1-Q703)*($G$7-$E$7)*($G$7-$F$7))))</f>
        <v>1.03081458348724</v>
      </c>
      <c r="D703" s="51" t="n">
        <f aca="false">1+IF($G$8=$E$8,$F$8,IF(R703&lt;($F$8-$E$8)/($G$8-$E$8),$E$8+SQRT(R703*($G$8-$E$8)*($F$8-$E$8)),$G$8-SQRT((1-R703)*($G$8-$E$8)*($G$8-$F$8))))</f>
        <v>0.995056756690138</v>
      </c>
      <c r="E703" s="51" t="n">
        <f aca="false">1+IF($G$9=$E$9,$F$9,IF(S703&lt;($F$9-$E$9)/($G$9-$E$9),$E$9+SQRT(S703*($G$9-$E$9)*($F$9-$E$9)),$G$9-SQRT((1-S703)*($G$9-$E$9)*($G$9-$F$9))))</f>
        <v>1.09710239984761</v>
      </c>
      <c r="F703" s="51" t="n">
        <f aca="false">1+IF($G$10=$E$10,$F$10,IF(T703&lt;($F$10-$E$10)/($G$10-$E$10),$E$10+SQRT(T703*($G$10-$E$10)*($F$10-$E$10)),$G$10-SQRT((1-T703)*($G$10-$E$10)*($G$10-$F$10))))</f>
        <v>0.982769902652493</v>
      </c>
      <c r="G703" s="52" t="n">
        <f aca="false">IF($G$11=$E$11,$F$11,IF(U703&lt;($F$11-$E$11)/($G$11-$E$11),$E$11+SQRT(U703*($G$11-$E$11)*($F$11-$E$11)),$G$11-SQRT((1-U703)*($G$11-$E$11)*($G$11-$F$11))))</f>
        <v>0.111450793682098</v>
      </c>
      <c r="H703" s="53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-1965539805.30499</v>
      </c>
      <c r="I703" s="53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13702483.856614</v>
      </c>
      <c r="J703" s="53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335275967.490191</v>
      </c>
      <c r="K703" s="53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705987946.256392</v>
      </c>
      <c r="L703" s="53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848903139.636506</v>
      </c>
      <c r="M703" s="53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1045385316.56558</v>
      </c>
      <c r="N703" s="53" t="n">
        <f aca="false">IF(COUNT('Business Case'!B11:G11)=0,"",H703+NPV(G703,I703:M703))</f>
        <v>5021352.9204433</v>
      </c>
      <c r="P703" s="54" t="n">
        <f aca="true">RAND()</f>
        <v>0.702718006850634</v>
      </c>
      <c r="Q703" s="54" t="n">
        <f aca="true">RAND()</f>
        <v>0.78955313319527</v>
      </c>
      <c r="R703" s="54" t="n">
        <f aca="true">RAND()</f>
        <v>0.270681509791237</v>
      </c>
      <c r="S703" s="54" t="n">
        <f aca="true">RAND()</f>
        <v>0.925382503949798</v>
      </c>
      <c r="T703" s="54" t="n">
        <f aca="true">RAND()</f>
        <v>0.0715911013235929</v>
      </c>
      <c r="U703" s="54" t="n">
        <f aca="true">RAND()</f>
        <v>0.770617963317265</v>
      </c>
    </row>
    <row r="704" customFormat="false" ht="15" hidden="false" customHeight="false" outlineLevel="0" collapsed="false">
      <c r="A704" s="50" t="n">
        <v>624</v>
      </c>
      <c r="B704" s="51" t="n">
        <f aca="false">1+IF($G$6=$E$6,$F$6,IF(P704&lt;($F$6-$E$6)/($G$6-$E$6),$E$6+SQRT(P704*($G$6-$E$6)*($F$6-$E$6)),$G$6-SQRT((1-P704)*($G$6-$E$6)*($G$6-$F$6))))</f>
        <v>1.00253025252349</v>
      </c>
      <c r="C704" s="51" t="n">
        <f aca="false">1+IF($G$7=$E$7,$F$7,IF(Q704&lt;($F$7-$E$7)/($G$7-$E$7),$E$7+SQRT(Q704*($G$7-$E$7)*($F$7-$E$7)),$G$7-SQRT((1-Q704)*($G$7-$E$7)*($G$7-$F$7))))</f>
        <v>0.9918474905443</v>
      </c>
      <c r="D704" s="51" t="n">
        <f aca="false">1+IF($G$8=$E$8,$F$8,IF(R704&lt;($F$8-$E$8)/($G$8-$E$8),$E$8+SQRT(R704*($G$8-$E$8)*($F$8-$E$8)),$G$8-SQRT((1-R704)*($G$8-$E$8)*($G$8-$F$8))))</f>
        <v>0.970108345330461</v>
      </c>
      <c r="E704" s="51" t="n">
        <f aca="false">1+IF($G$9=$E$9,$F$9,IF(S704&lt;($F$9-$E$9)/($G$9-$E$9),$E$9+SQRT(S704*($G$9-$E$9)*($F$9-$E$9)),$G$9-SQRT((1-S704)*($G$9-$E$9)*($G$9-$F$9))))</f>
        <v>1.01838468102794</v>
      </c>
      <c r="F704" s="51" t="n">
        <f aca="false">1+IF($G$10=$E$10,$F$10,IF(T704&lt;($F$10-$E$10)/($G$10-$E$10),$E$10+SQRT(T704*($G$10-$E$10)*($F$10-$E$10)),$G$10-SQRT((1-T704)*($G$10-$E$10)*($G$10-$F$10))))</f>
        <v>1.03496654460119</v>
      </c>
      <c r="G704" s="52" t="n">
        <f aca="false">IF($G$11=$E$11,$F$11,IF(U704&lt;($F$11-$E$11)/($G$11-$E$11),$E$11+SQRT(U704*($G$11-$E$11)*($F$11-$E$11)),$G$11-SQRT((1-U704)*($G$11-$E$11)*($G$11-$F$11))))</f>
        <v>0.115193776964499</v>
      </c>
      <c r="H704" s="53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-2069933089.20238</v>
      </c>
      <c r="I704" s="53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22022459.7679861</v>
      </c>
      <c r="J704" s="53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343903348.488168</v>
      </c>
      <c r="K704" s="53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717532564.438409</v>
      </c>
      <c r="L704" s="53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859191175.911738</v>
      </c>
      <c r="M704" s="53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1048198576.36138</v>
      </c>
      <c r="N704" s="53" t="n">
        <f aca="false">IF(COUNT('Business Case'!B11:G11)=0,"",H704+NPV(G704,I704:M704))</f>
        <v>-93092943.006424</v>
      </c>
      <c r="P704" s="54" t="n">
        <f aca="true">RAND()</f>
        <v>0.699549743268835</v>
      </c>
      <c r="Q704" s="54" t="n">
        <f aca="true">RAND()</f>
        <v>0.630925612866707</v>
      </c>
      <c r="R704" s="54" t="n">
        <f aca="true">RAND()</f>
        <v>0.0539127402572094</v>
      </c>
      <c r="S704" s="54" t="n">
        <f aca="true">RAND()</f>
        <v>0.538064208316881</v>
      </c>
      <c r="T704" s="54" t="n">
        <f aca="true">RAND()</f>
        <v>0.383474840789982</v>
      </c>
      <c r="U704" s="54" t="n">
        <f aca="true">RAND()</f>
        <v>0.853850506282003</v>
      </c>
    </row>
    <row r="705" customFormat="false" ht="15" hidden="false" customHeight="false" outlineLevel="0" collapsed="false">
      <c r="A705" s="50" t="n">
        <v>625</v>
      </c>
      <c r="B705" s="51" t="n">
        <f aca="false">1+IF($G$6=$E$6,$F$6,IF(P705&lt;($F$6-$E$6)/($G$6-$E$6),$E$6+SQRT(P705*($G$6-$E$6)*($F$6-$E$6)),$G$6-SQRT((1-P705)*($G$6-$E$6)*($G$6-$F$6))))</f>
        <v>0.966735677566029</v>
      </c>
      <c r="C705" s="51" t="n">
        <f aca="false">1+IF($G$7=$E$7,$F$7,IF(Q705&lt;($F$7-$E$7)/($G$7-$E$7),$E$7+SQRT(Q705*($G$7-$E$7)*($F$7-$E$7)),$G$7-SQRT((1-Q705)*($G$7-$E$7)*($G$7-$F$7))))</f>
        <v>0.991440600408997</v>
      </c>
      <c r="D705" s="51" t="n">
        <f aca="false">1+IF($G$8=$E$8,$F$8,IF(R705&lt;($F$8-$E$8)/($G$8-$E$8),$E$8+SQRT(R705*($G$8-$E$8)*($F$8-$E$8)),$G$8-SQRT((1-R705)*($G$8-$E$8)*($G$8-$F$8))))</f>
        <v>1.03942575465076</v>
      </c>
      <c r="E705" s="51" t="n">
        <f aca="false">1+IF($G$9=$E$9,$F$9,IF(S705&lt;($F$9-$E$9)/($G$9-$E$9),$E$9+SQRT(S705*($G$9-$E$9)*($F$9-$E$9)),$G$9-SQRT((1-S705)*($G$9-$E$9)*($G$9-$F$9))))</f>
        <v>1.0447592928501</v>
      </c>
      <c r="F705" s="51" t="n">
        <f aca="false">1+IF($G$10=$E$10,$F$10,IF(T705&lt;($F$10-$E$10)/($G$10-$E$10),$E$10+SQRT(T705*($G$10-$E$10)*($F$10-$E$10)),$G$10-SQRT((1-T705)*($G$10-$E$10)*($G$10-$F$10))))</f>
        <v>1.11896295386594</v>
      </c>
      <c r="G705" s="52" t="n">
        <f aca="false">IF($G$11=$E$11,$F$11,IF(U705&lt;($F$11-$E$11)/($G$11-$E$11),$E$11+SQRT(U705*($G$11-$E$11)*($F$11-$E$11)),$G$11-SQRT((1-U705)*($G$11-$E$11)*($G$11-$F$11))))</f>
        <v>0.0906285102996533</v>
      </c>
      <c r="H705" s="53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-2237925907.73188</v>
      </c>
      <c r="I705" s="53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-52647467.9708224</v>
      </c>
      <c r="J705" s="53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204852749.159486</v>
      </c>
      <c r="K705" s="53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518301113.983092</v>
      </c>
      <c r="L705" s="53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637258931.874029</v>
      </c>
      <c r="M705" s="53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819443198.868621</v>
      </c>
      <c r="N705" s="53" t="n">
        <f aca="false">IF(COUNT('Business Case'!B11:G11)=0,"",H705+NPV(G705,I705:M705))</f>
        <v>-732985105.40094</v>
      </c>
      <c r="P705" s="54" t="n">
        <f aca="true">RAND()</f>
        <v>0.296910044013135</v>
      </c>
      <c r="Q705" s="54" t="n">
        <f aca="true">RAND()</f>
        <v>0.629167581975977</v>
      </c>
      <c r="R705" s="54" t="n">
        <f aca="true">RAND()</f>
        <v>0.755384053358018</v>
      </c>
      <c r="S705" s="54" t="n">
        <f aca="true">RAND()</f>
        <v>0.70465049489572</v>
      </c>
      <c r="T705" s="54" t="n">
        <f aca="true">RAND()</f>
        <v>0.771057233872795</v>
      </c>
      <c r="U705" s="54" t="n">
        <f aca="true">RAND()</f>
        <v>0.112965231189835</v>
      </c>
    </row>
    <row r="706" customFormat="false" ht="15" hidden="false" customHeight="false" outlineLevel="0" collapsed="false">
      <c r="A706" s="50" t="n">
        <v>626</v>
      </c>
      <c r="B706" s="51" t="n">
        <f aca="false">1+IF($G$6=$E$6,$F$6,IF(P706&lt;($F$6-$E$6)/($G$6-$E$6),$E$6+SQRT(P706*($G$6-$E$6)*($F$6-$E$6)),$G$6-SQRT((1-P706)*($G$6-$E$6)*($G$6-$F$6))))</f>
        <v>0.979309041261088</v>
      </c>
      <c r="C706" s="51" t="n">
        <f aca="false">1+IF($G$7=$E$7,$F$7,IF(Q706&lt;($F$7-$E$7)/($G$7-$E$7),$E$7+SQRT(Q706*($G$7-$E$7)*($F$7-$E$7)),$G$7-SQRT((1-Q706)*($G$7-$E$7)*($G$7-$F$7))))</f>
        <v>0.93720975924993</v>
      </c>
      <c r="D706" s="51" t="n">
        <f aca="false">1+IF($G$8=$E$8,$F$8,IF(R706&lt;($F$8-$E$8)/($G$8-$E$8),$E$8+SQRT(R706*($G$8-$E$8)*($F$8-$E$8)),$G$8-SQRT((1-R706)*($G$8-$E$8)*($G$8-$F$8))))</f>
        <v>0.986007215533238</v>
      </c>
      <c r="E706" s="51" t="n">
        <f aca="false">1+IF($G$9=$E$9,$F$9,IF(S706&lt;($F$9-$E$9)/($G$9-$E$9),$E$9+SQRT(S706*($G$9-$E$9)*($F$9-$E$9)),$G$9-SQRT((1-S706)*($G$9-$E$9)*($G$9-$F$9))))</f>
        <v>0.972623183159981</v>
      </c>
      <c r="F706" s="51" t="n">
        <f aca="false">1+IF($G$10=$E$10,$F$10,IF(T706&lt;($F$10-$E$10)/($G$10-$E$10),$E$10+SQRT(T706*($G$10-$E$10)*($F$10-$E$10)),$G$10-SQRT((1-T706)*($G$10-$E$10)*($G$10-$F$10))))</f>
        <v>1.0171108354956</v>
      </c>
      <c r="G706" s="52" t="n">
        <f aca="false">IF($G$11=$E$11,$F$11,IF(U706&lt;($F$11-$E$11)/($G$11-$E$11),$E$11+SQRT(U706*($G$11-$E$11)*($F$11-$E$11)),$G$11-SQRT((1-U706)*($G$11-$E$11)*($G$11-$F$11))))</f>
        <v>0.112294416387824</v>
      </c>
      <c r="H706" s="53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-2034221670.9912</v>
      </c>
      <c r="I706" s="53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-8901779.40245692</v>
      </c>
      <c r="J706" s="53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269794226.032631</v>
      </c>
      <c r="K706" s="53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599345773.2425</v>
      </c>
      <c r="L706" s="53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723964231.482619</v>
      </c>
      <c r="M706" s="53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898423075.172284</v>
      </c>
      <c r="N706" s="53" t="n">
        <f aca="false">IF(COUNT('Business Case'!B11:G11)=0,"",H706+NPV(G706,I706:M706))</f>
        <v>-387957215.305862</v>
      </c>
      <c r="P706" s="54" t="n">
        <f aca="true">RAND()</f>
        <v>0.419328268383531</v>
      </c>
      <c r="Q706" s="54" t="n">
        <f aca="true">RAND()</f>
        <v>0.416803480617849</v>
      </c>
      <c r="R706" s="54" t="n">
        <f aca="true">RAND()</f>
        <v>0.17286927606094</v>
      </c>
      <c r="S706" s="54" t="n">
        <f aca="true">RAND()</f>
        <v>0.210965069291527</v>
      </c>
      <c r="T706" s="54" t="n">
        <f aca="true">RAND()</f>
        <v>0.276835160752577</v>
      </c>
      <c r="U706" s="54" t="n">
        <f aca="true">RAND()</f>
        <v>0.791008205968156</v>
      </c>
    </row>
    <row r="707" customFormat="false" ht="15" hidden="false" customHeight="false" outlineLevel="0" collapsed="false">
      <c r="A707" s="50" t="n">
        <v>627</v>
      </c>
      <c r="B707" s="51" t="n">
        <f aca="false">1+IF($G$6=$E$6,$F$6,IF(P707&lt;($F$6-$E$6)/($G$6-$E$6),$E$6+SQRT(P707*($G$6-$E$6)*($F$6-$E$6)),$G$6-SQRT((1-P707)*($G$6-$E$6)*($G$6-$F$6))))</f>
        <v>1.02605031363011</v>
      </c>
      <c r="C707" s="51" t="n">
        <f aca="false">1+IF($G$7=$E$7,$F$7,IF(Q707&lt;($F$7-$E$7)/($G$7-$E$7),$E$7+SQRT(Q707*($G$7-$E$7)*($F$7-$E$7)),$G$7-SQRT((1-Q707)*($G$7-$E$7)*($G$7-$F$7))))</f>
        <v>0.731165482280653</v>
      </c>
      <c r="D707" s="51" t="n">
        <f aca="false">1+IF($G$8=$E$8,$F$8,IF(R707&lt;($F$8-$E$8)/($G$8-$E$8),$E$8+SQRT(R707*($G$8-$E$8)*($F$8-$E$8)),$G$8-SQRT((1-R707)*($G$8-$E$8)*($G$8-$F$8))))</f>
        <v>0.985180474669551</v>
      </c>
      <c r="E707" s="51" t="n">
        <f aca="false">1+IF($G$9=$E$9,$F$9,IF(S707&lt;($F$9-$E$9)/($G$9-$E$9),$E$9+SQRT(S707*($G$9-$E$9)*($F$9-$E$9)),$G$9-SQRT((1-S707)*($G$9-$E$9)*($G$9-$F$9))))</f>
        <v>0.984366297394611</v>
      </c>
      <c r="F707" s="51" t="n">
        <f aca="false">1+IF($G$10=$E$10,$F$10,IF(T707&lt;($F$10-$E$10)/($G$10-$E$10),$E$10+SQRT(T707*($G$10-$E$10)*($F$10-$E$10)),$G$10-SQRT((1-T707)*($G$10-$E$10)*($G$10-$F$10))))</f>
        <v>0.980051202030395</v>
      </c>
      <c r="G707" s="52" t="n">
        <f aca="false">IF($G$11=$E$11,$F$11,IF(U707&lt;($F$11-$E$11)/($G$11-$E$11),$E$11+SQRT(U707*($G$11-$E$11)*($F$11-$E$11)),$G$11-SQRT((1-U707)*($G$11-$E$11)*($G$11-$F$11))))</f>
        <v>0.0930096402679664</v>
      </c>
      <c r="H707" s="53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-1960102404.06079</v>
      </c>
      <c r="I707" s="53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-31146226.871424</v>
      </c>
      <c r="J707" s="53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214580573.703418</v>
      </c>
      <c r="K707" s="53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509309934.379778</v>
      </c>
      <c r="L707" s="53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617146214.4072</v>
      </c>
      <c r="M707" s="53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759746620.170812</v>
      </c>
      <c r="N707" s="53" t="n">
        <f aca="false">IF(COUNT('Business Case'!B11:G11)=0,"",H707+NPV(G707,I707:M707))</f>
        <v>-499513751.76085</v>
      </c>
      <c r="P707" s="54" t="n">
        <f aca="true">RAND()</f>
        <v>0.92352166970452</v>
      </c>
      <c r="Q707" s="54" t="n">
        <f aca="true">RAND()</f>
        <v>0.00719472063544966</v>
      </c>
      <c r="R707" s="54" t="n">
        <f aca="true">RAND()</f>
        <v>0.165022106396652</v>
      </c>
      <c r="S707" s="54" t="n">
        <f aca="true">RAND()</f>
        <v>0.284706885443034</v>
      </c>
      <c r="T707" s="54" t="n">
        <f aca="true">RAND()</f>
        <v>0.0602049828981096</v>
      </c>
      <c r="U707" s="54" t="n">
        <f aca="true">RAND()</f>
        <v>0.169250739901892</v>
      </c>
    </row>
    <row r="708" customFormat="false" ht="15" hidden="false" customHeight="false" outlineLevel="0" collapsed="false">
      <c r="A708" s="50" t="n">
        <v>628</v>
      </c>
      <c r="B708" s="51" t="n">
        <f aca="false">1+IF($G$6=$E$6,$F$6,IF(P708&lt;($F$6-$E$6)/($G$6-$E$6),$E$6+SQRT(P708*($G$6-$E$6)*($F$6-$E$6)),$G$6-SQRT((1-P708)*($G$6-$E$6)*($G$6-$F$6))))</f>
        <v>0.949189789061749</v>
      </c>
      <c r="C708" s="51" t="n">
        <f aca="false">1+IF($G$7=$E$7,$F$7,IF(Q708&lt;($F$7-$E$7)/($G$7-$E$7),$E$7+SQRT(Q708*($G$7-$E$7)*($F$7-$E$7)),$G$7-SQRT((1-Q708)*($G$7-$E$7)*($G$7-$F$7))))</f>
        <v>1.04481037793752</v>
      </c>
      <c r="D708" s="51" t="n">
        <f aca="false">1+IF($G$8=$E$8,$F$8,IF(R708&lt;($F$8-$E$8)/($G$8-$E$8),$E$8+SQRT(R708*($G$8-$E$8)*($F$8-$E$8)),$G$8-SQRT((1-R708)*($G$8-$E$8)*($G$8-$F$8))))</f>
        <v>1.00006474210122</v>
      </c>
      <c r="E708" s="51" t="n">
        <f aca="false">1+IF($G$9=$E$9,$F$9,IF(S708&lt;($F$9-$E$9)/($G$9-$E$9),$E$9+SQRT(S708*($G$9-$E$9)*($F$9-$E$9)),$G$9-SQRT((1-S708)*($G$9-$E$9)*($G$9-$F$9))))</f>
        <v>1.04264269338128</v>
      </c>
      <c r="F708" s="51" t="n">
        <f aca="false">1+IF($G$10=$E$10,$F$10,IF(T708&lt;($F$10-$E$10)/($G$10-$E$10),$E$10+SQRT(T708*($G$10-$E$10)*($F$10-$E$10)),$G$10-SQRT((1-T708)*($G$10-$E$10)*($G$10-$F$10))))</f>
        <v>1.04574550614525</v>
      </c>
      <c r="G708" s="52" t="n">
        <f aca="false">IF($G$11=$E$11,$F$11,IF(U708&lt;($F$11-$E$11)/($G$11-$E$11),$E$11+SQRT(U708*($G$11-$E$11)*($F$11-$E$11)),$G$11-SQRT((1-U708)*($G$11-$E$11)*($G$11-$F$11))))</f>
        <v>0.101179342652439</v>
      </c>
      <c r="H708" s="53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-2091491012.29049</v>
      </c>
      <c r="I708" s="53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-26850414.8873351</v>
      </c>
      <c r="J708" s="53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250548449.900603</v>
      </c>
      <c r="K708" s="53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580234589.995804</v>
      </c>
      <c r="L708" s="53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706974836.966404</v>
      </c>
      <c r="M708" s="53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895481609.860152</v>
      </c>
      <c r="N708" s="53" t="n">
        <f aca="false">IF(COUNT('Business Case'!B11:G11)=0,"",H708+NPV(G708,I708:M708))</f>
        <v>-440852508.277909</v>
      </c>
      <c r="P708" s="54" t="n">
        <f aca="true">RAND()</f>
        <v>0.16130902319596</v>
      </c>
      <c r="Q708" s="54" t="n">
        <f aca="true">RAND()</f>
        <v>0.83607619867189</v>
      </c>
      <c r="R708" s="54" t="n">
        <f aca="true">RAND()</f>
        <v>0.334196281913676</v>
      </c>
      <c r="S708" s="54" t="n">
        <f aca="true">RAND()</f>
        <v>0.692650899081973</v>
      </c>
      <c r="T708" s="54" t="n">
        <f aca="true">RAND()</f>
        <v>0.443734689868513</v>
      </c>
      <c r="U708" s="54" t="n">
        <f aca="true">RAND()</f>
        <v>0.446246473369635</v>
      </c>
    </row>
    <row r="709" customFormat="false" ht="15" hidden="false" customHeight="false" outlineLevel="0" collapsed="false">
      <c r="A709" s="50" t="n">
        <v>629</v>
      </c>
      <c r="B709" s="51" t="n">
        <f aca="false">1+IF($G$6=$E$6,$F$6,IF(P709&lt;($F$6-$E$6)/($G$6-$E$6),$E$6+SQRT(P709*($G$6-$E$6)*($F$6-$E$6)),$G$6-SQRT((1-P709)*($G$6-$E$6)*($G$6-$F$6))))</f>
        <v>0.999597898996291</v>
      </c>
      <c r="C709" s="51" t="n">
        <f aca="false">1+IF($G$7=$E$7,$F$7,IF(Q709&lt;($F$7-$E$7)/($G$7-$E$7),$E$7+SQRT(Q709*($G$7-$E$7)*($F$7-$E$7)),$G$7-SQRT((1-Q709)*($G$7-$E$7)*($G$7-$F$7))))</f>
        <v>0.815544381562788</v>
      </c>
      <c r="D709" s="51" t="n">
        <f aca="false">1+IF($G$8=$E$8,$F$8,IF(R709&lt;($F$8-$E$8)/($G$8-$E$8),$E$8+SQRT(R709*($G$8-$E$8)*($F$8-$E$8)),$G$8-SQRT((1-R709)*($G$8-$E$8)*($G$8-$F$8))))</f>
        <v>0.99705126557618</v>
      </c>
      <c r="E709" s="51" t="n">
        <f aca="false">1+IF($G$9=$E$9,$F$9,IF(S709&lt;($F$9-$E$9)/($G$9-$E$9),$E$9+SQRT(S709*($G$9-$E$9)*($F$9-$E$9)),$G$9-SQRT((1-S709)*($G$9-$E$9)*($G$9-$F$9))))</f>
        <v>0.941703726840533</v>
      </c>
      <c r="F709" s="51" t="n">
        <f aca="false">1+IF($G$10=$E$10,$F$10,IF(T709&lt;($F$10-$E$10)/($G$10-$E$10),$E$10+SQRT(T709*($G$10-$E$10)*($F$10-$E$10)),$G$10-SQRT((1-T709)*($G$10-$E$10)*($G$10-$F$10))))</f>
        <v>1.01981812533783</v>
      </c>
      <c r="G709" s="52" t="n">
        <f aca="false">IF($G$11=$E$11,$F$11,IF(U709&lt;($F$11-$E$11)/($G$11-$E$11),$E$11+SQRT(U709*($G$11-$E$11)*($F$11-$E$11)),$G$11-SQRT((1-U709)*($G$11-$E$11)*($G$11-$F$11))))</f>
        <v>0.0971493467794798</v>
      </c>
      <c r="H709" s="53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-2039636250.67565</v>
      </c>
      <c r="I709" s="53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-26694337.2707961</v>
      </c>
      <c r="J709" s="53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224764228.734975</v>
      </c>
      <c r="K709" s="53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527213701.007637</v>
      </c>
      <c r="L709" s="53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639207103.533602</v>
      </c>
      <c r="M709" s="53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794163446.415824</v>
      </c>
      <c r="N709" s="53" t="n">
        <f aca="false">IF(COUNT('Business Case'!B11:G11)=0,"",H709+NPV(G709,I709:M709))</f>
        <v>-537351090.70018</v>
      </c>
      <c r="P709" s="54" t="n">
        <f aca="true">RAND()</f>
        <v>0.661316098965023</v>
      </c>
      <c r="Q709" s="54" t="n">
        <f aca="true">RAND()</f>
        <v>0.098892623042424</v>
      </c>
      <c r="R709" s="54" t="n">
        <f aca="true">RAND()</f>
        <v>0.295176212309362</v>
      </c>
      <c r="S709" s="54" t="n">
        <f aca="true">RAND()</f>
        <v>0.0695680332955912</v>
      </c>
      <c r="T709" s="54" t="n">
        <f aca="true">RAND()</f>
        <v>0.293550727693437</v>
      </c>
      <c r="U709" s="54" t="n">
        <f aca="true">RAND()</f>
        <v>0.294100094962854</v>
      </c>
    </row>
    <row r="710" customFormat="false" ht="15" hidden="false" customHeight="false" outlineLevel="0" collapsed="false">
      <c r="A710" s="50" t="n">
        <v>630</v>
      </c>
      <c r="B710" s="51" t="n">
        <f aca="false">1+IF($G$6=$E$6,$F$6,IF(P710&lt;($F$6-$E$6)/($G$6-$E$6),$E$6+SQRT(P710*($G$6-$E$6)*($F$6-$E$6)),$G$6-SQRT((1-P710)*($G$6-$E$6)*($G$6-$F$6))))</f>
        <v>1.02238921451492</v>
      </c>
      <c r="C710" s="51" t="n">
        <f aca="false">1+IF($G$7=$E$7,$F$7,IF(Q710&lt;($F$7-$E$7)/($G$7-$E$7),$E$7+SQRT(Q710*($G$7-$E$7)*($F$7-$E$7)),$G$7-SQRT((1-Q710)*($G$7-$E$7)*($G$7-$F$7))))</f>
        <v>0.834639888704578</v>
      </c>
      <c r="D710" s="51" t="n">
        <f aca="false">1+IF($G$8=$E$8,$F$8,IF(R710&lt;($F$8-$E$8)/($G$8-$E$8),$E$8+SQRT(R710*($G$8-$E$8)*($F$8-$E$8)),$G$8-SQRT((1-R710)*($G$8-$E$8)*($G$8-$F$8))))</f>
        <v>1.06791593132342</v>
      </c>
      <c r="E710" s="51" t="n">
        <f aca="false">1+IF($G$9=$E$9,$F$9,IF(S710&lt;($F$9-$E$9)/($G$9-$E$9),$E$9+SQRT(S710*($G$9-$E$9)*($F$9-$E$9)),$G$9-SQRT((1-S710)*($G$9-$E$9)*($G$9-$F$9))))</f>
        <v>0.968284137143707</v>
      </c>
      <c r="F710" s="51" t="n">
        <f aca="false">1+IF($G$10=$E$10,$F$10,IF(T710&lt;($F$10-$E$10)/($G$10-$E$10),$E$10+SQRT(T710*($G$10-$E$10)*($F$10-$E$10)),$G$10-SQRT((1-T710)*($G$10-$E$10)*($G$10-$F$10))))</f>
        <v>1.07516523788998</v>
      </c>
      <c r="G710" s="52" t="n">
        <f aca="false">IF($G$11=$E$11,$F$11,IF(U710&lt;($F$11-$E$11)/($G$11-$E$11),$E$11+SQRT(U710*($G$11-$E$11)*($F$11-$E$11)),$G$11-SQRT((1-U710)*($G$11-$E$11)*($G$11-$F$11))))</f>
        <v>0.114911318660104</v>
      </c>
      <c r="H710" s="53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-2150330475.77996</v>
      </c>
      <c r="I710" s="53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-46794098.986135</v>
      </c>
      <c r="J710" s="53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195854792.478534</v>
      </c>
      <c r="K710" s="53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492261945.837703</v>
      </c>
      <c r="L710" s="53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602635884.565906</v>
      </c>
      <c r="M710" s="53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764836246.552468</v>
      </c>
      <c r="N710" s="53" t="n">
        <f aca="false">IF(COUNT('Business Case'!B11:G11)=0,"",H710+NPV(G710,I710:M710))</f>
        <v>-845527329.314592</v>
      </c>
      <c r="P710" s="54" t="n">
        <f aca="true">RAND()</f>
        <v>0.898352603319594</v>
      </c>
      <c r="Q710" s="54" t="n">
        <f aca="true">RAND()</f>
        <v>0.134280738002824</v>
      </c>
      <c r="R710" s="54" t="n">
        <f aca="true">RAND()</f>
        <v>0.931374169143784</v>
      </c>
      <c r="S710" s="54" t="n">
        <f aca="true">RAND()</f>
        <v>0.186508935418422</v>
      </c>
      <c r="T710" s="54" t="n">
        <f aca="true">RAND()</f>
        <v>0.592437412772429</v>
      </c>
      <c r="U710" s="54" t="n">
        <f aca="true">RAND()</f>
        <v>0.848221130282054</v>
      </c>
    </row>
    <row r="711" customFormat="false" ht="15" hidden="false" customHeight="false" outlineLevel="0" collapsed="false">
      <c r="A711" s="50" t="n">
        <v>631</v>
      </c>
      <c r="B711" s="51" t="n">
        <f aca="false">1+IF($G$6=$E$6,$F$6,IF(P711&lt;($F$6-$E$6)/($G$6-$E$6),$E$6+SQRT(P711*($G$6-$E$6)*($F$6-$E$6)),$G$6-SQRT((1-P711)*($G$6-$E$6)*($G$6-$F$6))))</f>
        <v>1.00873731925139</v>
      </c>
      <c r="C711" s="51" t="n">
        <f aca="false">1+IF($G$7=$E$7,$F$7,IF(Q711&lt;($F$7-$E$7)/($G$7-$E$7),$E$7+SQRT(Q711*($G$7-$E$7)*($F$7-$E$7)),$G$7-SQRT((1-Q711)*($G$7-$E$7)*($G$7-$F$7))))</f>
        <v>1.03235620106557</v>
      </c>
      <c r="D711" s="51" t="n">
        <f aca="false">1+IF($G$8=$E$8,$F$8,IF(R711&lt;($F$8-$E$8)/($G$8-$E$8),$E$8+SQRT(R711*($G$8-$E$8)*($F$8-$E$8)),$G$8-SQRT((1-R711)*($G$8-$E$8)*($G$8-$F$8))))</f>
        <v>1.05884934383533</v>
      </c>
      <c r="E711" s="51" t="n">
        <f aca="false">1+IF($G$9=$E$9,$F$9,IF(S711&lt;($F$9-$E$9)/($G$9-$E$9),$E$9+SQRT(S711*($G$9-$E$9)*($F$9-$E$9)),$G$9-SQRT((1-S711)*($G$9-$E$9)*($G$9-$F$9))))</f>
        <v>1.05379649436204</v>
      </c>
      <c r="F711" s="51" t="n">
        <f aca="false">1+IF($G$10=$E$10,$F$10,IF(T711&lt;($F$10-$E$10)/($G$10-$E$10),$E$10+SQRT(T711*($G$10-$E$10)*($F$10-$E$10)),$G$10-SQRT((1-T711)*($G$10-$E$10)*($G$10-$F$10))))</f>
        <v>0.995999410964046</v>
      </c>
      <c r="G711" s="52" t="n">
        <f aca="false">IF($G$11=$E$11,$F$11,IF(U711&lt;($F$11-$E$11)/($G$11-$E$11),$E$11+SQRT(U711*($G$11-$E$11)*($F$11-$E$11)),$G$11-SQRT((1-U711)*($G$11-$E$11)*($G$11-$F$11))))</f>
        <v>0.103899211401953</v>
      </c>
      <c r="H711" s="53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-1991998821.92809</v>
      </c>
      <c r="I711" s="53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-10057347.8829685</v>
      </c>
      <c r="J711" s="53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283320050.424788</v>
      </c>
      <c r="K711" s="53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626497419.280747</v>
      </c>
      <c r="L711" s="53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760279847.780692</v>
      </c>
      <c r="M711" s="53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958224640.966166</v>
      </c>
      <c r="N711" s="53" t="n">
        <f aca="false">IF(COUNT('Business Case'!B11:G11)=0,"",H711+NPV(G711,I711:M711))</f>
        <v>-206354059.723415</v>
      </c>
      <c r="P711" s="54" t="n">
        <f aca="true">RAND()</f>
        <v>0.772985490325094</v>
      </c>
      <c r="Q711" s="54" t="n">
        <f aca="true">RAND()</f>
        <v>0.794962023292977</v>
      </c>
      <c r="R711" s="54" t="n">
        <f aca="true">RAND()</f>
        <v>0.887108233147807</v>
      </c>
      <c r="S711" s="54" t="n">
        <f aca="true">RAND()</f>
        <v>0.753196946745796</v>
      </c>
      <c r="T711" s="54" t="n">
        <f aca="true">RAND()</f>
        <v>0.141063053935946</v>
      </c>
      <c r="U711" s="54" t="n">
        <f aca="true">RAND()</f>
        <v>0.545832556373388</v>
      </c>
    </row>
    <row r="712" customFormat="false" ht="15" hidden="false" customHeight="false" outlineLevel="0" collapsed="false">
      <c r="A712" s="50" t="n">
        <v>632</v>
      </c>
      <c r="B712" s="51" t="n">
        <f aca="false">1+IF($G$6=$E$6,$F$6,IF(P712&lt;($F$6-$E$6)/($G$6-$E$6),$E$6+SQRT(P712*($G$6-$E$6)*($F$6-$E$6)),$G$6-SQRT((1-P712)*($G$6-$E$6)*($G$6-$F$6))))</f>
        <v>0.928357452492262</v>
      </c>
      <c r="C712" s="51" t="n">
        <f aca="false">1+IF($G$7=$E$7,$F$7,IF(Q712&lt;($F$7-$E$7)/($G$7-$E$7),$E$7+SQRT(Q712*($G$7-$E$7)*($F$7-$E$7)),$G$7-SQRT((1-Q712)*($G$7-$E$7)*($G$7-$F$7))))</f>
        <v>1.02408260586401</v>
      </c>
      <c r="D712" s="51" t="n">
        <f aca="false">1+IF($G$8=$E$8,$F$8,IF(R712&lt;($F$8-$E$8)/($G$8-$E$8),$E$8+SQRT(R712*($G$8-$E$8)*($F$8-$E$8)),$G$8-SQRT((1-R712)*($G$8-$E$8)*($G$8-$F$8))))</f>
        <v>1.05950158145456</v>
      </c>
      <c r="E712" s="51" t="n">
        <f aca="false">1+IF($G$9=$E$9,$F$9,IF(S712&lt;($F$9-$E$9)/($G$9-$E$9),$E$9+SQRT(S712*($G$9-$E$9)*($F$9-$E$9)),$G$9-SQRT((1-S712)*($G$9-$E$9)*($G$9-$F$9))))</f>
        <v>1.10984961120896</v>
      </c>
      <c r="F712" s="51" t="n">
        <f aca="false">1+IF($G$10=$E$10,$F$10,IF(T712&lt;($F$10-$E$10)/($G$10-$E$10),$E$10+SQRT(T712*($G$10-$E$10)*($F$10-$E$10)),$G$10-SQRT((1-T712)*($G$10-$E$10)*($G$10-$F$10))))</f>
        <v>0.976223375833954</v>
      </c>
      <c r="G712" s="52" t="n">
        <f aca="false">IF($G$11=$E$11,$F$11,IF(U712&lt;($F$11-$E$11)/($G$11-$E$11),$E$11+SQRT(U712*($G$11-$E$11)*($F$11-$E$11)),$G$11-SQRT((1-U712)*($G$11-$E$11)*($G$11-$F$11))))</f>
        <v>0.102180794639701</v>
      </c>
      <c r="H712" s="53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-1952446751.66791</v>
      </c>
      <c r="I712" s="53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-81466171.4569559</v>
      </c>
      <c r="J712" s="53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141795660.422659</v>
      </c>
      <c r="K712" s="53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413868661.093971</v>
      </c>
      <c r="L712" s="53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521145972.41335</v>
      </c>
      <c r="M712" s="53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701857826.223974</v>
      </c>
      <c r="N712" s="53" t="n">
        <f aca="false">IF(COUNT('Business Case'!B11:G11)=0,"",H712+NPV(G712,I712:M712))</f>
        <v>-815888546.313989</v>
      </c>
      <c r="P712" s="54" t="n">
        <f aca="true">RAND()</f>
        <v>0.0536096741233931</v>
      </c>
      <c r="Q712" s="54" t="n">
        <f aca="true">RAND()</f>
        <v>0.765108294133358</v>
      </c>
      <c r="R712" s="54" t="n">
        <f aca="true">RAND()</f>
        <v>0.890658539687874</v>
      </c>
      <c r="S712" s="54" t="n">
        <f aca="true">RAND()</f>
        <v>0.957011900798087</v>
      </c>
      <c r="T712" s="54" t="n">
        <f aca="true">RAND()</f>
        <v>0.0458443626752523</v>
      </c>
      <c r="U712" s="54" t="n">
        <f aca="true">RAND()</f>
        <v>0.484061208747664</v>
      </c>
    </row>
    <row r="713" customFormat="false" ht="15" hidden="false" customHeight="false" outlineLevel="0" collapsed="false">
      <c r="A713" s="50" t="n">
        <v>633</v>
      </c>
      <c r="B713" s="51" t="n">
        <f aca="false">1+IF($G$6=$E$6,$F$6,IF(P713&lt;($F$6-$E$6)/($G$6-$E$6),$E$6+SQRT(P713*($G$6-$E$6)*($F$6-$E$6)),$G$6-SQRT((1-P713)*($G$6-$E$6)*($G$6-$F$6))))</f>
        <v>0.913750830330046</v>
      </c>
      <c r="C713" s="51" t="n">
        <f aca="false">1+IF($G$7=$E$7,$F$7,IF(Q713&lt;($F$7-$E$7)/($G$7-$E$7),$E$7+SQRT(Q713*($G$7-$E$7)*($F$7-$E$7)),$G$7-SQRT((1-Q713)*($G$7-$E$7)*($G$7-$F$7))))</f>
        <v>1.03456562082148</v>
      </c>
      <c r="D713" s="51" t="n">
        <f aca="false">1+IF($G$8=$E$8,$F$8,IF(R713&lt;($F$8-$E$8)/($G$8-$E$8),$E$8+SQRT(R713*($G$8-$E$8)*($F$8-$E$8)),$G$8-SQRT((1-R713)*($G$8-$E$8)*($G$8-$F$8))))</f>
        <v>0.973214197621193</v>
      </c>
      <c r="E713" s="51" t="n">
        <f aca="false">1+IF($G$9=$E$9,$F$9,IF(S713&lt;($F$9-$E$9)/($G$9-$E$9),$E$9+SQRT(S713*($G$9-$E$9)*($F$9-$E$9)),$G$9-SQRT((1-S713)*($G$9-$E$9)*($G$9-$F$9))))</f>
        <v>1.08887404949056</v>
      </c>
      <c r="F713" s="51" t="n">
        <f aca="false">1+IF($G$10=$E$10,$F$10,IF(T713&lt;($F$10-$E$10)/($G$10-$E$10),$E$10+SQRT(T713*($G$10-$E$10)*($F$10-$E$10)),$G$10-SQRT((1-T713)*($G$10-$E$10)*($G$10-$F$10))))</f>
        <v>0.983746428697559</v>
      </c>
      <c r="G713" s="52" t="n">
        <f aca="false">IF($G$11=$E$11,$F$11,IF(U713&lt;($F$11-$E$11)/($G$11-$E$11),$E$11+SQRT(U713*($G$11-$E$11)*($F$11-$E$11)),$G$11-SQRT((1-U713)*($G$11-$E$11)*($G$11-$F$11))))</f>
        <v>0.112298823861863</v>
      </c>
      <c r="H713" s="53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-1967492857.39512</v>
      </c>
      <c r="I713" s="53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-43349794.7014199</v>
      </c>
      <c r="J713" s="53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215519119.816206</v>
      </c>
      <c r="K713" s="53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523575355.76871</v>
      </c>
      <c r="L713" s="53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642535778.282406</v>
      </c>
      <c r="M713" s="53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822225092.158754</v>
      </c>
      <c r="N713" s="53" t="n">
        <f aca="false">IF(COUNT('Business Case'!B11:G11)=0,"",H713+NPV(G713,I713:M713))</f>
        <v>-549104032.07763</v>
      </c>
      <c r="P713" s="54" t="n">
        <f aca="true">RAND()</f>
        <v>0.0126056889843812</v>
      </c>
      <c r="Q713" s="54" t="n">
        <f aca="true">RAND()</f>
        <v>0.802591171906217</v>
      </c>
      <c r="R713" s="54" t="n">
        <f aca="true">RAND()</f>
        <v>0.0718531961594386</v>
      </c>
      <c r="S713" s="54" t="n">
        <f aca="true">RAND()</f>
        <v>0.900363151315143</v>
      </c>
      <c r="T713" s="54" t="n">
        <f aca="true">RAND()</f>
        <v>0.0759214299892974</v>
      </c>
      <c r="U713" s="54" t="n">
        <f aca="true">RAND()</f>
        <v>0.791112242217761</v>
      </c>
    </row>
    <row r="714" customFormat="false" ht="15" hidden="false" customHeight="false" outlineLevel="0" collapsed="false">
      <c r="A714" s="50" t="n">
        <v>634</v>
      </c>
      <c r="B714" s="51" t="n">
        <f aca="false">1+IF($G$6=$E$6,$F$6,IF(P714&lt;($F$6-$E$6)/($G$6-$E$6),$E$6+SQRT(P714*($G$6-$E$6)*($F$6-$E$6)),$G$6-SQRT((1-P714)*($G$6-$E$6)*($G$6-$F$6))))</f>
        <v>1.00204037877391</v>
      </c>
      <c r="C714" s="51" t="n">
        <f aca="false">1+IF($G$7=$E$7,$F$7,IF(Q714&lt;($F$7-$E$7)/($G$7-$E$7),$E$7+SQRT(Q714*($G$7-$E$7)*($F$7-$E$7)),$G$7-SQRT((1-Q714)*($G$7-$E$7)*($G$7-$F$7))))</f>
        <v>1.06029230946538</v>
      </c>
      <c r="D714" s="51" t="n">
        <f aca="false">1+IF($G$8=$E$8,$F$8,IF(R714&lt;($F$8-$E$8)/($G$8-$E$8),$E$8+SQRT(R714*($G$8-$E$8)*($F$8-$E$8)),$G$8-SQRT((1-R714)*($G$8-$E$8)*($G$8-$F$8))))</f>
        <v>1.06410930214384</v>
      </c>
      <c r="E714" s="51" t="n">
        <f aca="false">1+IF($G$9=$E$9,$F$9,IF(S714&lt;($F$9-$E$9)/($G$9-$E$9),$E$9+SQRT(S714*($G$9-$E$9)*($F$9-$E$9)),$G$9-SQRT((1-S714)*($G$9-$E$9)*($G$9-$F$9))))</f>
        <v>1.10741804184948</v>
      </c>
      <c r="F714" s="51" t="n">
        <f aca="false">1+IF($G$10=$E$10,$F$10,IF(T714&lt;($F$10-$E$10)/($G$10-$E$10),$E$10+SQRT(T714*($G$10-$E$10)*($F$10-$E$10)),$G$10-SQRT((1-T714)*($G$10-$E$10)*($G$10-$F$10))))</f>
        <v>1.18723023089182</v>
      </c>
      <c r="G714" s="52" t="n">
        <f aca="false">IF($G$11=$E$11,$F$11,IF(U714&lt;($F$11-$E$11)/($G$11-$E$11),$E$11+SQRT(U714*($G$11-$E$11)*($F$11-$E$11)),$G$11-SQRT((1-U714)*($G$11-$E$11)*($G$11-$F$11))))</f>
        <v>0.0867166555589169</v>
      </c>
      <c r="H714" s="53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-2374460461.78365</v>
      </c>
      <c r="I714" s="53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-38630247.657663</v>
      </c>
      <c r="J714" s="53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254015077.195833</v>
      </c>
      <c r="K714" s="53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606021913.593921</v>
      </c>
      <c r="L714" s="53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740288824.459073</v>
      </c>
      <c r="M714" s="53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942240405.319337</v>
      </c>
      <c r="N714" s="53" t="n">
        <f aca="false">IF(COUNT('Business Case'!B11:G11)=0,"",H714+NPV(G714,I714:M714))</f>
        <v>-570195302.262528</v>
      </c>
      <c r="P714" s="54" t="n">
        <f aca="true">RAND()</f>
        <v>0.693316630913376</v>
      </c>
      <c r="Q714" s="54" t="n">
        <f aca="true">RAND()</f>
        <v>0.880778226058432</v>
      </c>
      <c r="R714" s="54" t="n">
        <f aca="true">RAND()</f>
        <v>0.914123853826522</v>
      </c>
      <c r="S714" s="54" t="n">
        <f aca="true">RAND()</f>
        <v>0.951647382401792</v>
      </c>
      <c r="T714" s="54" t="n">
        <f aca="true">RAND()</f>
        <v>0.947466081148081</v>
      </c>
      <c r="U714" s="54" t="n">
        <f aca="true">RAND()</f>
        <v>0.045113461897129</v>
      </c>
    </row>
    <row r="715" customFormat="false" ht="15" hidden="false" customHeight="false" outlineLevel="0" collapsed="false">
      <c r="A715" s="50" t="n">
        <v>635</v>
      </c>
      <c r="B715" s="51" t="n">
        <f aca="false">1+IF($G$6=$E$6,$F$6,IF(P715&lt;($F$6-$E$6)/($G$6-$E$6),$E$6+SQRT(P715*($G$6-$E$6)*($F$6-$E$6)),$G$6-SQRT((1-P715)*($G$6-$E$6)*($G$6-$F$6))))</f>
        <v>0.982553900374227</v>
      </c>
      <c r="C715" s="51" t="n">
        <f aca="false">1+IF($G$7=$E$7,$F$7,IF(Q715&lt;($F$7-$E$7)/($G$7-$E$7),$E$7+SQRT(Q715*($G$7-$E$7)*($F$7-$E$7)),$G$7-SQRT((1-Q715)*($G$7-$E$7)*($G$7-$F$7))))</f>
        <v>1.01237010802272</v>
      </c>
      <c r="D715" s="51" t="n">
        <f aca="false">1+IF($G$8=$E$8,$F$8,IF(R715&lt;($F$8-$E$8)/($G$8-$E$8),$E$8+SQRT(R715*($G$8-$E$8)*($F$8-$E$8)),$G$8-SQRT((1-R715)*($G$8-$E$8)*($G$8-$F$8))))</f>
        <v>0.970207692896476</v>
      </c>
      <c r="E715" s="51" t="n">
        <f aca="false">1+IF($G$9=$E$9,$F$9,IF(S715&lt;($F$9-$E$9)/($G$9-$E$9),$E$9+SQRT(S715*($G$9-$E$9)*($F$9-$E$9)),$G$9-SQRT((1-S715)*($G$9-$E$9)*($G$9-$F$9))))</f>
        <v>1.00492862259531</v>
      </c>
      <c r="F715" s="51" t="n">
        <f aca="false">1+IF($G$10=$E$10,$F$10,IF(T715&lt;($F$10-$E$10)/($G$10-$E$10),$E$10+SQRT(T715*($G$10-$E$10)*($F$10-$E$10)),$G$10-SQRT((1-T715)*($G$10-$E$10)*($G$10-$F$10))))</f>
        <v>0.984668534646388</v>
      </c>
      <c r="G715" s="52" t="n">
        <f aca="false">IF($G$11=$E$11,$F$11,IF(U715&lt;($F$11-$E$11)/($G$11-$E$11),$E$11+SQRT(U715*($G$11-$E$11)*($F$11-$E$11)),$G$11-SQRT((1-U715)*($G$11-$E$11)*($G$11-$F$11))))</f>
        <v>0.101336629787594</v>
      </c>
      <c r="H715" s="53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-1969337069.29278</v>
      </c>
      <c r="I715" s="53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18991688.87769</v>
      </c>
      <c r="J715" s="53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330916754.350871</v>
      </c>
      <c r="K715" s="53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692075246.556372</v>
      </c>
      <c r="L715" s="53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830427383.712632</v>
      </c>
      <c r="M715" s="53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1019501518.03789</v>
      </c>
      <c r="N715" s="53" t="n">
        <f aca="false">IF(COUNT('Business Case'!B11:G11)=0,"",H715+NPV(G715,I715:M715))</f>
        <v>32446942.7802858</v>
      </c>
      <c r="P715" s="54" t="n">
        <f aca="true">RAND()</f>
        <v>0.454343097799848</v>
      </c>
      <c r="Q715" s="54" t="n">
        <f aca="true">RAND()</f>
        <v>0.719377967915904</v>
      </c>
      <c r="R715" s="54" t="n">
        <f aca="true">RAND()</f>
        <v>0.0544467802931031</v>
      </c>
      <c r="S715" s="54" t="n">
        <f aca="true">RAND()</f>
        <v>0.438781212210861</v>
      </c>
      <c r="T715" s="54" t="n">
        <f aca="true">RAND()</f>
        <v>0.0801271529685181</v>
      </c>
      <c r="U715" s="54" t="n">
        <f aca="true">RAND()</f>
        <v>0.452274138711032</v>
      </c>
    </row>
    <row r="716" customFormat="false" ht="15" hidden="false" customHeight="false" outlineLevel="0" collapsed="false">
      <c r="A716" s="50" t="n">
        <v>636</v>
      </c>
      <c r="B716" s="51" t="n">
        <f aca="false">1+IF($G$6=$E$6,$F$6,IF(P716&lt;($F$6-$E$6)/($G$6-$E$6),$E$6+SQRT(P716*($G$6-$E$6)*($F$6-$E$6)),$G$6-SQRT((1-P716)*($G$6-$E$6)*($G$6-$F$6))))</f>
        <v>1.00341565319494</v>
      </c>
      <c r="C716" s="51" t="n">
        <f aca="false">1+IF($G$7=$E$7,$F$7,IF(Q716&lt;($F$7-$E$7)/($G$7-$E$7),$E$7+SQRT(Q716*($G$7-$E$7)*($F$7-$E$7)),$G$7-SQRT((1-Q716)*($G$7-$E$7)*($G$7-$F$7))))</f>
        <v>0.904895632354453</v>
      </c>
      <c r="D716" s="51" t="n">
        <f aca="false">1+IF($G$8=$E$8,$F$8,IF(R716&lt;($F$8-$E$8)/($G$8-$E$8),$E$8+SQRT(R716*($G$8-$E$8)*($F$8-$E$8)),$G$8-SQRT((1-R716)*($G$8-$E$8)*($G$8-$F$8))))</f>
        <v>1.06679272292531</v>
      </c>
      <c r="E716" s="51" t="n">
        <f aca="false">1+IF($G$9=$E$9,$F$9,IF(S716&lt;($F$9-$E$9)/($G$9-$E$9),$E$9+SQRT(S716*($G$9-$E$9)*($F$9-$E$9)),$G$9-SQRT((1-S716)*($G$9-$E$9)*($G$9-$F$9))))</f>
        <v>0.977262080188838</v>
      </c>
      <c r="F716" s="51" t="n">
        <f aca="false">1+IF($G$10=$E$10,$F$10,IF(T716&lt;($F$10-$E$10)/($G$10-$E$10),$E$10+SQRT(T716*($G$10-$E$10)*($F$10-$E$10)),$G$10-SQRT((1-T716)*($G$10-$E$10)*($G$10-$F$10))))</f>
        <v>1.19897515630774</v>
      </c>
      <c r="G716" s="52" t="n">
        <f aca="false">IF($G$11=$E$11,$F$11,IF(U716&lt;($F$11-$E$11)/($G$11-$E$11),$E$11+SQRT(U716*($G$11-$E$11)*($F$11-$E$11)),$G$11-SQRT((1-U716)*($G$11-$E$11)*($G$11-$F$11))))</f>
        <v>0.116978812038763</v>
      </c>
      <c r="H716" s="53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-2397950312.61548</v>
      </c>
      <c r="I716" s="53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-56402773.3782236</v>
      </c>
      <c r="J716" s="53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193128653.831092</v>
      </c>
      <c r="K716" s="53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502608838.855794</v>
      </c>
      <c r="L716" s="53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617165992.694841</v>
      </c>
      <c r="M716" s="53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789756055.592519</v>
      </c>
      <c r="N716" s="53" t="n">
        <f aca="false">IF(COUNT('Business Case'!B11:G11)=0,"",H716+NPV(G716,I716:M716))</f>
        <v>-1082290376.10362</v>
      </c>
      <c r="P716" s="54" t="n">
        <f aca="true">RAND()</f>
        <v>0.710653151032816</v>
      </c>
      <c r="Q716" s="54" t="n">
        <f aca="true">RAND()</f>
        <v>0.310979408577268</v>
      </c>
      <c r="R716" s="54" t="n">
        <f aca="true">RAND()</f>
        <v>0.92648511661898</v>
      </c>
      <c r="S716" s="54" t="n">
        <f aca="true">RAND()</f>
        <v>0.238777161404256</v>
      </c>
      <c r="T716" s="54" t="n">
        <f aca="true">RAND()</f>
        <v>0.965286204349073</v>
      </c>
      <c r="U716" s="54" t="n">
        <f aca="true">RAND()</f>
        <v>0.886965776052084</v>
      </c>
    </row>
    <row r="717" customFormat="false" ht="15" hidden="false" customHeight="false" outlineLevel="0" collapsed="false">
      <c r="A717" s="50" t="n">
        <v>637</v>
      </c>
      <c r="B717" s="51" t="n">
        <f aca="false">1+IF($G$6=$E$6,$F$6,IF(P717&lt;($F$6-$E$6)/($G$6-$E$6),$E$6+SQRT(P717*($G$6-$E$6)*($F$6-$E$6)),$G$6-SQRT((1-P717)*($G$6-$E$6)*($G$6-$F$6))))</f>
        <v>0.978301917478433</v>
      </c>
      <c r="C717" s="51" t="n">
        <f aca="false">1+IF($G$7=$E$7,$F$7,IF(Q717&lt;($F$7-$E$7)/($G$7-$E$7),$E$7+SQRT(Q717*($G$7-$E$7)*($F$7-$E$7)),$G$7-SQRT((1-Q717)*($G$7-$E$7)*($G$7-$F$7))))</f>
        <v>0.877958916048586</v>
      </c>
      <c r="D717" s="51" t="n">
        <f aca="false">1+IF($G$8=$E$8,$F$8,IF(R717&lt;($F$8-$E$8)/($G$8-$E$8),$E$8+SQRT(R717*($G$8-$E$8)*($F$8-$E$8)),$G$8-SQRT((1-R717)*($G$8-$E$8)*($G$8-$F$8))))</f>
        <v>1.00805249953381</v>
      </c>
      <c r="E717" s="51" t="n">
        <f aca="false">1+IF($G$9=$E$9,$F$9,IF(S717&lt;($F$9-$E$9)/($G$9-$E$9),$E$9+SQRT(S717*($G$9-$E$9)*($F$9-$E$9)),$G$9-SQRT((1-S717)*($G$9-$E$9)*($G$9-$F$9))))</f>
        <v>1.04470611217246</v>
      </c>
      <c r="F717" s="51" t="n">
        <f aca="false">1+IF($G$10=$E$10,$F$10,IF(T717&lt;($F$10-$E$10)/($G$10-$E$10),$E$10+SQRT(T717*($G$10-$E$10)*($F$10-$E$10)),$G$10-SQRT((1-T717)*($G$10-$E$10)*($G$10-$F$10))))</f>
        <v>0.993340635635029</v>
      </c>
      <c r="G717" s="52" t="n">
        <f aca="false">IF($G$11=$E$11,$F$11,IF(U717&lt;($F$11-$E$11)/($G$11-$E$11),$E$11+SQRT(U717*($G$11-$E$11)*($F$11-$E$11)),$G$11-SQRT((1-U717)*($G$11-$E$11)*($G$11-$F$11))))</f>
        <v>0.121076799889021</v>
      </c>
      <c r="H717" s="53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-1986681271.27006</v>
      </c>
      <c r="I717" s="53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-41972768.1945801</v>
      </c>
      <c r="J717" s="53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208471573.236656</v>
      </c>
      <c r="K717" s="53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508582946.449644</v>
      </c>
      <c r="L717" s="53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621748284.867649</v>
      </c>
      <c r="M717" s="53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785009686.876079</v>
      </c>
      <c r="N717" s="53" t="n">
        <f aca="false">IF(COUNT('Business Case'!B11:G11)=0,"",H717+NPV(G717,I717:M717))</f>
        <v>-660373789.344377</v>
      </c>
      <c r="P717" s="54" t="n">
        <f aca="true">RAND()</f>
        <v>0.408746018719956</v>
      </c>
      <c r="Q717" s="54" t="n">
        <f aca="true">RAND()</f>
        <v>0.234587968897686</v>
      </c>
      <c r="R717" s="54" t="n">
        <f aca="true">RAND()</f>
        <v>0.436377143867937</v>
      </c>
      <c r="S717" s="54" t="n">
        <f aca="true">RAND()</f>
        <v>0.704351924964288</v>
      </c>
      <c r="T717" s="54" t="n">
        <f aca="true">RAND()</f>
        <v>0.125227379816553</v>
      </c>
      <c r="U717" s="54" t="n">
        <f aca="true">RAND()</f>
        <v>0.94691766651962</v>
      </c>
    </row>
    <row r="718" customFormat="false" ht="15" hidden="false" customHeight="false" outlineLevel="0" collapsed="false">
      <c r="A718" s="50" t="n">
        <v>638</v>
      </c>
      <c r="B718" s="51" t="n">
        <f aca="false">1+IF($G$6=$E$6,$F$6,IF(P718&lt;($F$6-$E$6)/($G$6-$E$6),$E$6+SQRT(P718*($G$6-$E$6)*($F$6-$E$6)),$G$6-SQRT((1-P718)*($G$6-$E$6)*($G$6-$F$6))))</f>
        <v>1.0071548954354</v>
      </c>
      <c r="C718" s="51" t="n">
        <f aca="false">1+IF($G$7=$E$7,$F$7,IF(Q718&lt;($F$7-$E$7)/($G$7-$E$7),$E$7+SQRT(Q718*($G$7-$E$7)*($F$7-$E$7)),$G$7-SQRT((1-Q718)*($G$7-$E$7)*($G$7-$F$7))))</f>
        <v>1.06454315253263</v>
      </c>
      <c r="D718" s="51" t="n">
        <f aca="false">1+IF($G$8=$E$8,$F$8,IF(R718&lt;($F$8-$E$8)/($G$8-$E$8),$E$8+SQRT(R718*($G$8-$E$8)*($F$8-$E$8)),$G$8-SQRT((1-R718)*($G$8-$E$8)*($G$8-$F$8))))</f>
        <v>0.98275345057919</v>
      </c>
      <c r="E718" s="51" t="n">
        <f aca="false">1+IF($G$9=$E$9,$F$9,IF(S718&lt;($F$9-$E$9)/($G$9-$E$9),$E$9+SQRT(S718*($G$9-$E$9)*($F$9-$E$9)),$G$9-SQRT((1-S718)*($G$9-$E$9)*($G$9-$F$9))))</f>
        <v>0.991466163787615</v>
      </c>
      <c r="F718" s="51" t="n">
        <f aca="false">1+IF($G$10=$E$10,$F$10,IF(T718&lt;($F$10-$E$10)/($G$10-$E$10),$E$10+SQRT(T718*($G$10-$E$10)*($F$10-$E$10)),$G$10-SQRT((1-T718)*($G$10-$E$10)*($G$10-$F$10))))</f>
        <v>1.03423551876371</v>
      </c>
      <c r="G718" s="52" t="n">
        <f aca="false">IF($G$11=$E$11,$F$11,IF(U718&lt;($F$11-$E$11)/($G$11-$E$11),$E$11+SQRT(U718*($G$11-$E$11)*($F$11-$E$11)),$G$11-SQRT((1-U718)*($G$11-$E$11)*($G$11-$F$11))))</f>
        <v>0.0908546875439761</v>
      </c>
      <c r="H718" s="53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-2068471037.52741</v>
      </c>
      <c r="I718" s="53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42623068.7095978</v>
      </c>
      <c r="J718" s="53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385236944.279294</v>
      </c>
      <c r="K718" s="53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779562595.787174</v>
      </c>
      <c r="L718" s="53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930821065.305825</v>
      </c>
      <c r="M718" s="53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1134617209.11396</v>
      </c>
      <c r="N718" s="53" t="n">
        <f aca="false">IF(COUNT('Business Case'!B11:G11)=0,"",H718+NPV(G718,I718:M718))</f>
        <v>286783841.802686</v>
      </c>
      <c r="P718" s="54" t="n">
        <f aca="true">RAND()</f>
        <v>0.755239601979769</v>
      </c>
      <c r="Q718" s="54" t="n">
        <f aca="true">RAND()</f>
        <v>0.891809292162059</v>
      </c>
      <c r="R718" s="54" t="n">
        <f aca="true">RAND()</f>
        <v>0.143038469979121</v>
      </c>
      <c r="S718" s="54" t="n">
        <f aca="true">RAND()</f>
        <v>0.334642364720912</v>
      </c>
      <c r="T718" s="54" t="n">
        <f aca="true">RAND()</f>
        <v>0.379275848491101</v>
      </c>
      <c r="U718" s="54" t="n">
        <f aca="true">RAND()</f>
        <v>0.117824241677349</v>
      </c>
    </row>
    <row r="719" customFormat="false" ht="15" hidden="false" customHeight="false" outlineLevel="0" collapsed="false">
      <c r="A719" s="50" t="n">
        <v>639</v>
      </c>
      <c r="B719" s="51" t="n">
        <f aca="false">1+IF($G$6=$E$6,$F$6,IF(P719&lt;($F$6-$E$6)/($G$6-$E$6),$E$6+SQRT(P719*($G$6-$E$6)*($F$6-$E$6)),$G$6-SQRT((1-P719)*($G$6-$E$6)*($G$6-$F$6))))</f>
        <v>1.01548374518982</v>
      </c>
      <c r="C719" s="51" t="n">
        <f aca="false">1+IF($G$7=$E$7,$F$7,IF(Q719&lt;($F$7-$E$7)/($G$7-$E$7),$E$7+SQRT(Q719*($G$7-$E$7)*($F$7-$E$7)),$G$7-SQRT((1-Q719)*($G$7-$E$7)*($G$7-$F$7))))</f>
        <v>1.04565976534006</v>
      </c>
      <c r="D719" s="51" t="n">
        <f aca="false">1+IF($G$8=$E$8,$F$8,IF(R719&lt;($F$8-$E$8)/($G$8-$E$8),$E$8+SQRT(R719*($G$8-$E$8)*($F$8-$E$8)),$G$8-SQRT((1-R719)*($G$8-$E$8)*($G$8-$F$8))))</f>
        <v>1.05172398687941</v>
      </c>
      <c r="E719" s="51" t="n">
        <f aca="false">1+IF($G$9=$E$9,$F$9,IF(S719&lt;($F$9-$E$9)/($G$9-$E$9),$E$9+SQRT(S719*($G$9-$E$9)*($F$9-$E$9)),$G$9-SQRT((1-S719)*($G$9-$E$9)*($G$9-$F$9))))</f>
        <v>1.05202192341594</v>
      </c>
      <c r="F719" s="51" t="n">
        <f aca="false">1+IF($G$10=$E$10,$F$10,IF(T719&lt;($F$10-$E$10)/($G$10-$E$10),$E$10+SQRT(T719*($G$10-$E$10)*($F$10-$E$10)),$G$10-SQRT((1-T719)*($G$10-$E$10)*($G$10-$F$10))))</f>
        <v>1.05344960859977</v>
      </c>
      <c r="G719" s="52" t="n">
        <f aca="false">IF($G$11=$E$11,$F$11,IF(U719&lt;($F$11-$E$11)/($G$11-$E$11),$E$11+SQRT(U719*($G$11-$E$11)*($F$11-$E$11)),$G$11-SQRT((1-U719)*($G$11-$E$11)*($G$11-$F$11))))</f>
        <v>0.104169824519641</v>
      </c>
      <c r="H719" s="53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-2106899217.19954</v>
      </c>
      <c r="I719" s="53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-3238494.13135518</v>
      </c>
      <c r="J719" s="53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303511819.752357</v>
      </c>
      <c r="K719" s="53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662934614.066058</v>
      </c>
      <c r="L719" s="53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801882271.790856</v>
      </c>
      <c r="M719" s="53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1003718813.82378</v>
      </c>
      <c r="N719" s="53" t="n">
        <f aca="false">IF(COUNT('Business Case'!B11:G11)=0,"",H719+NPV(G719,I719:M719))</f>
        <v>-217415080.083483</v>
      </c>
      <c r="P719" s="54" t="n">
        <f aca="true">RAND()</f>
        <v>0.84115042051713</v>
      </c>
      <c r="Q719" s="54" t="n">
        <f aca="true">RAND()</f>
        <v>0.838712821201623</v>
      </c>
      <c r="R719" s="54" t="n">
        <f aca="true">RAND()</f>
        <v>0.844628437145366</v>
      </c>
      <c r="S719" s="54" t="n">
        <f aca="true">RAND()</f>
        <v>0.744007906903696</v>
      </c>
      <c r="T719" s="54" t="n">
        <f aca="true">RAND()</f>
        <v>0.484905915205558</v>
      </c>
      <c r="U719" s="54" t="n">
        <f aca="true">RAND()</f>
        <v>0.555201356435922</v>
      </c>
    </row>
    <row r="720" customFormat="false" ht="15" hidden="false" customHeight="false" outlineLevel="0" collapsed="false">
      <c r="A720" s="50" t="n">
        <v>640</v>
      </c>
      <c r="B720" s="51" t="n">
        <f aca="false">1+IF($G$6=$E$6,$F$6,IF(P720&lt;($F$6-$E$6)/($G$6-$E$6),$E$6+SQRT(P720*($G$6-$E$6)*($F$6-$E$6)),$G$6-SQRT((1-P720)*($G$6-$E$6)*($G$6-$F$6))))</f>
        <v>0.946662095804331</v>
      </c>
      <c r="C720" s="51" t="n">
        <f aca="false">1+IF($G$7=$E$7,$F$7,IF(Q720&lt;($F$7-$E$7)/($G$7-$E$7),$E$7+SQRT(Q720*($G$7-$E$7)*($F$7-$E$7)),$G$7-SQRT((1-Q720)*($G$7-$E$7)*($G$7-$F$7))))</f>
        <v>0.914716445959289</v>
      </c>
      <c r="D720" s="51" t="n">
        <f aca="false">1+IF($G$8=$E$8,$F$8,IF(R720&lt;($F$8-$E$8)/($G$8-$E$8),$E$8+SQRT(R720*($G$8-$E$8)*($F$8-$E$8)),$G$8-SQRT((1-R720)*($G$8-$E$8)*($G$8-$F$8))))</f>
        <v>0.992551570712576</v>
      </c>
      <c r="E720" s="51" t="n">
        <f aca="false">1+IF($G$9=$E$9,$F$9,IF(S720&lt;($F$9-$E$9)/($G$9-$E$9),$E$9+SQRT(S720*($G$9-$E$9)*($F$9-$E$9)),$G$9-SQRT((1-S720)*($G$9-$E$9)*($G$9-$F$9))))</f>
        <v>1.0072324078698</v>
      </c>
      <c r="F720" s="51" t="n">
        <f aca="false">1+IF($G$10=$E$10,$F$10,IF(T720&lt;($F$10-$E$10)/($G$10-$E$10),$E$10+SQRT(T720*($G$10-$E$10)*($F$10-$E$10)),$G$10-SQRT((1-T720)*($G$10-$E$10)*($G$10-$F$10))))</f>
        <v>1.11462149763424</v>
      </c>
      <c r="G720" s="52" t="n">
        <f aca="false">IF($G$11=$E$11,$F$11,IF(U720&lt;($F$11-$E$11)/($G$11-$E$11),$E$11+SQRT(U720*($G$11-$E$11)*($F$11-$E$11)),$G$11-SQRT((1-U720)*($G$11-$E$11)*($G$11-$F$11))))</f>
        <v>0.0821667462356592</v>
      </c>
      <c r="H720" s="53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-2229242995.26849</v>
      </c>
      <c r="I720" s="53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-55097225.8465487</v>
      </c>
      <c r="J720" s="53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189385822.252887</v>
      </c>
      <c r="K720" s="53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489599945.234034</v>
      </c>
      <c r="L720" s="53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601020745.122829</v>
      </c>
      <c r="M720" s="53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765616222.99557</v>
      </c>
      <c r="N720" s="53" t="n">
        <f aca="false">IF(COUNT('Business Case'!B11:G11)=0,"",H720+NPV(G720,I720:M720))</f>
        <v>-777997557.977006</v>
      </c>
      <c r="P720" s="54" t="n">
        <f aca="true">RAND()</f>
        <v>0.145156745656837</v>
      </c>
      <c r="Q720" s="54" t="n">
        <f aca="true">RAND()</f>
        <v>0.341504830854727</v>
      </c>
      <c r="R720" s="54" t="n">
        <f aca="true">RAND()</f>
        <v>0.241418156014311</v>
      </c>
      <c r="S720" s="54" t="n">
        <f aca="true">RAND()</f>
        <v>0.456464390329162</v>
      </c>
      <c r="T720" s="54" t="n">
        <f aca="true">RAND()</f>
        <v>0.755635481296062</v>
      </c>
      <c r="U720" s="54" t="n">
        <f aca="true">RAND()</f>
        <v>0.00469478924974349</v>
      </c>
    </row>
    <row r="721" customFormat="false" ht="15" hidden="false" customHeight="false" outlineLevel="0" collapsed="false">
      <c r="A721" s="50" t="n">
        <v>641</v>
      </c>
      <c r="B721" s="51" t="n">
        <f aca="false">1+IF($G$6=$E$6,$F$6,IF(P721&lt;($F$6-$E$6)/($G$6-$E$6),$E$6+SQRT(P721*($G$6-$E$6)*($F$6-$E$6)),$G$6-SQRT((1-P721)*($G$6-$E$6)*($G$6-$F$6))))</f>
        <v>1.00367955865727</v>
      </c>
      <c r="C721" s="51" t="n">
        <f aca="false">1+IF($G$7=$E$7,$F$7,IF(Q721&lt;($F$7-$E$7)/($G$7-$E$7),$E$7+SQRT(Q721*($G$7-$E$7)*($F$7-$E$7)),$G$7-SQRT((1-Q721)*($G$7-$E$7)*($G$7-$F$7))))</f>
        <v>0.83287762260143</v>
      </c>
      <c r="D721" s="51" t="n">
        <f aca="false">1+IF($G$8=$E$8,$F$8,IF(R721&lt;($F$8-$E$8)/($G$8-$E$8),$E$8+SQRT(R721*($G$8-$E$8)*($F$8-$E$8)),$G$8-SQRT((1-R721)*($G$8-$E$8)*($G$8-$F$8))))</f>
        <v>1.02201540779658</v>
      </c>
      <c r="E721" s="51" t="n">
        <f aca="false">1+IF($G$9=$E$9,$F$9,IF(S721&lt;($F$9-$E$9)/($G$9-$E$9),$E$9+SQRT(S721*($G$9-$E$9)*($F$9-$E$9)),$G$9-SQRT((1-S721)*($G$9-$E$9)*($G$9-$F$9))))</f>
        <v>1.04900719759447</v>
      </c>
      <c r="F721" s="51" t="n">
        <f aca="false">1+IF($G$10=$E$10,$F$10,IF(T721&lt;($F$10-$E$10)/($G$10-$E$10),$E$10+SQRT(T721*($G$10-$E$10)*($F$10-$E$10)),$G$10-SQRT((1-T721)*($G$10-$E$10)*($G$10-$F$10))))</f>
        <v>1.00354678931483</v>
      </c>
      <c r="G721" s="52" t="n">
        <f aca="false">IF($G$11=$E$11,$F$11,IF(U721&lt;($F$11-$E$11)/($G$11-$E$11),$E$11+SQRT(U721*($G$11-$E$11)*($F$11-$E$11)),$G$11-SQRT((1-U721)*($G$11-$E$11)*($G$11-$F$11))))</f>
        <v>0.106347821338097</v>
      </c>
      <c r="H721" s="53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-2007093578.62966</v>
      </c>
      <c r="I721" s="53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-43915211.7782743</v>
      </c>
      <c r="J721" s="53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205028324.836464</v>
      </c>
      <c r="K721" s="53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504149200.916943</v>
      </c>
      <c r="L721" s="53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616020543.764253</v>
      </c>
      <c r="M721" s="53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774916445.630769</v>
      </c>
      <c r="N721" s="53" t="n">
        <f aca="false">IF(COUNT('Business Case'!B11:G11)=0,"",H721+NPV(G721,I721:M721))</f>
        <v>-628296474.901835</v>
      </c>
      <c r="P721" s="54" t="n">
        <f aca="true">RAND()</f>
        <v>0.713922228508628</v>
      </c>
      <c r="Q721" s="54" t="n">
        <f aca="true">RAND()</f>
        <v>0.130788611764505</v>
      </c>
      <c r="R721" s="54" t="n">
        <f aca="true">RAND()</f>
        <v>0.594560225257794</v>
      </c>
      <c r="S721" s="54" t="n">
        <f aca="true">RAND()</f>
        <v>0.728012102994072</v>
      </c>
      <c r="T721" s="54" t="n">
        <f aca="true">RAND()</f>
        <v>0.190144199239631</v>
      </c>
      <c r="U721" s="54" t="n">
        <f aca="true">RAND()</f>
        <v>0.627049629696941</v>
      </c>
    </row>
    <row r="722" customFormat="false" ht="15" hidden="false" customHeight="false" outlineLevel="0" collapsed="false">
      <c r="A722" s="50" t="n">
        <v>642</v>
      </c>
      <c r="B722" s="51" t="n">
        <f aca="false">1+IF($G$6=$E$6,$F$6,IF(P722&lt;($F$6-$E$6)/($G$6-$E$6),$E$6+SQRT(P722*($G$6-$E$6)*($F$6-$E$6)),$G$6-SQRT((1-P722)*($G$6-$E$6)*($G$6-$F$6))))</f>
        <v>0.976743525455179</v>
      </c>
      <c r="C722" s="51" t="n">
        <f aca="false">1+IF($G$7=$E$7,$F$7,IF(Q722&lt;($F$7-$E$7)/($G$7-$E$7),$E$7+SQRT(Q722*($G$7-$E$7)*($F$7-$E$7)),$G$7-SQRT((1-Q722)*($G$7-$E$7)*($G$7-$F$7))))</f>
        <v>0.836202636237937</v>
      </c>
      <c r="D722" s="51" t="n">
        <f aca="false">1+IF($G$8=$E$8,$F$8,IF(R722&lt;($F$8-$E$8)/($G$8-$E$8),$E$8+SQRT(R722*($G$8-$E$8)*($F$8-$E$8)),$G$8-SQRT((1-R722)*($G$8-$E$8)*($G$8-$F$8))))</f>
        <v>0.979569426892576</v>
      </c>
      <c r="E722" s="51" t="n">
        <f aca="false">1+IF($G$9=$E$9,$F$9,IF(S722&lt;($F$9-$E$9)/($G$9-$E$9),$E$9+SQRT(S722*($G$9-$E$9)*($F$9-$E$9)),$G$9-SQRT((1-S722)*($G$9-$E$9)*($G$9-$F$9))))</f>
        <v>1.10292793092001</v>
      </c>
      <c r="F722" s="51" t="n">
        <f aca="false">1+IF($G$10=$E$10,$F$10,IF(T722&lt;($F$10-$E$10)/($G$10-$E$10),$E$10+SQRT(T722*($G$10-$E$10)*($F$10-$E$10)),$G$10-SQRT((1-T722)*($G$10-$E$10)*($G$10-$F$10))))</f>
        <v>1.18033054487828</v>
      </c>
      <c r="G722" s="52" t="n">
        <f aca="false">IF($G$11=$E$11,$F$11,IF(U722&lt;($F$11-$E$11)/($G$11-$E$11),$E$11+SQRT(U722*($G$11-$E$11)*($F$11-$E$11)),$G$11-SQRT((1-U722)*($G$11-$E$11)*($G$11-$F$11))))</f>
        <v>0.110922583627251</v>
      </c>
      <c r="H722" s="53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-2360661089.75657</v>
      </c>
      <c r="I722" s="53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-67551603.650722</v>
      </c>
      <c r="J722" s="53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182106804.64899</v>
      </c>
      <c r="K722" s="53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490781740.192616</v>
      </c>
      <c r="L722" s="53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602228280.083039</v>
      </c>
      <c r="M722" s="53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757477167.597564</v>
      </c>
      <c r="N722" s="53" t="n">
        <f aca="false">IF(COUNT('Business Case'!B11:G11)=0,"",H722+NPV(G722,I722:M722))</f>
        <v>-1072896594.59376</v>
      </c>
      <c r="P722" s="54" t="n">
        <f aca="true">RAND()</f>
        <v>0.392637913285977</v>
      </c>
      <c r="Q722" s="54" t="n">
        <f aca="true">RAND()</f>
        <v>0.137415986060473</v>
      </c>
      <c r="R722" s="54" t="n">
        <f aca="true">RAND()</f>
        <v>0.116580134234055</v>
      </c>
      <c r="S722" s="54" t="n">
        <f aca="true">RAND()</f>
        <v>0.940912541667438</v>
      </c>
      <c r="T722" s="54" t="n">
        <f aca="true">RAND()</f>
        <v>0.93528222697391</v>
      </c>
      <c r="U722" s="54" t="n">
        <f aca="true">RAND()</f>
        <v>0.757368123027175</v>
      </c>
    </row>
    <row r="723" customFormat="false" ht="15" hidden="false" customHeight="false" outlineLevel="0" collapsed="false">
      <c r="A723" s="50" t="n">
        <v>643</v>
      </c>
      <c r="B723" s="51" t="n">
        <f aca="false">1+IF($G$6=$E$6,$F$6,IF(P723&lt;($F$6-$E$6)/($G$6-$E$6),$E$6+SQRT(P723*($G$6-$E$6)*($F$6-$E$6)),$G$6-SQRT((1-P723)*($G$6-$E$6)*($G$6-$F$6))))</f>
        <v>0.974038828155463</v>
      </c>
      <c r="C723" s="51" t="n">
        <f aca="false">1+IF($G$7=$E$7,$F$7,IF(Q723&lt;($F$7-$E$7)/($G$7-$E$7),$E$7+SQRT(Q723*($G$7-$E$7)*($F$7-$E$7)),$G$7-SQRT((1-Q723)*($G$7-$E$7)*($G$7-$F$7))))</f>
        <v>0.988443406957247</v>
      </c>
      <c r="D723" s="51" t="n">
        <f aca="false">1+IF($G$8=$E$8,$F$8,IF(R723&lt;($F$8-$E$8)/($G$8-$E$8),$E$8+SQRT(R723*($G$8-$E$8)*($F$8-$E$8)),$G$8-SQRT((1-R723)*($G$8-$E$8)*($G$8-$F$8))))</f>
        <v>0.984434855151773</v>
      </c>
      <c r="E723" s="51" t="n">
        <f aca="false">1+IF($G$9=$E$9,$F$9,IF(S723&lt;($F$9-$E$9)/($G$9-$E$9),$E$9+SQRT(S723*($G$9-$E$9)*($F$9-$E$9)),$G$9-SQRT((1-S723)*($G$9-$E$9)*($G$9-$F$9))))</f>
        <v>1.00805611712855</v>
      </c>
      <c r="F723" s="51" t="n">
        <f aca="false">1+IF($G$10=$E$10,$F$10,IF(T723&lt;($F$10-$E$10)/($G$10-$E$10),$E$10+SQRT(T723*($G$10-$E$10)*($F$10-$E$10)),$G$10-SQRT((1-T723)*($G$10-$E$10)*($G$10-$F$10))))</f>
        <v>0.981109944469584</v>
      </c>
      <c r="G723" s="52" t="n">
        <f aca="false">IF($G$11=$E$11,$F$11,IF(U723&lt;($F$11-$E$11)/($G$11-$E$11),$E$11+SQRT(U723*($G$11-$E$11)*($F$11-$E$11)),$G$11-SQRT((1-U723)*($G$11-$E$11)*($G$11-$F$11))))</f>
        <v>0.118445396646809</v>
      </c>
      <c r="H723" s="53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-1962219888.93917</v>
      </c>
      <c r="I723" s="53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-907141.209385619</v>
      </c>
      <c r="J723" s="53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289552924.12877</v>
      </c>
      <c r="K723" s="53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629068486.690404</v>
      </c>
      <c r="L723" s="53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759162263.299725</v>
      </c>
      <c r="M723" s="53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942167914.864369</v>
      </c>
      <c r="N723" s="53" t="n">
        <f aca="false">IF(COUNT('Business Case'!B11:G11)=0,"",H723+NPV(G723,I723:M723))</f>
        <v>-258444227.612843</v>
      </c>
      <c r="P723" s="54" t="n">
        <f aca="true">RAND()</f>
        <v>0.365449871642281</v>
      </c>
      <c r="Q723" s="54" t="n">
        <f aca="true">RAND()</f>
        <v>0.61629332605262</v>
      </c>
      <c r="R723" s="54" t="n">
        <f aca="true">RAND()</f>
        <v>0.158101233243146</v>
      </c>
      <c r="S723" s="54" t="n">
        <f aca="true">RAND()</f>
        <v>0.462718243076686</v>
      </c>
      <c r="T723" s="54" t="n">
        <f aca="true">RAND()</f>
        <v>0.0645219096600379</v>
      </c>
      <c r="U723" s="54" t="n">
        <f aca="true">RAND()</f>
        <v>0.910994094233616</v>
      </c>
    </row>
    <row r="724" customFormat="false" ht="15" hidden="false" customHeight="false" outlineLevel="0" collapsed="false">
      <c r="A724" s="50" t="n">
        <v>644</v>
      </c>
      <c r="B724" s="51" t="n">
        <f aca="false">1+IF($G$6=$E$6,$F$6,IF(P724&lt;($F$6-$E$6)/($G$6-$E$6),$E$6+SQRT(P724*($G$6-$E$6)*($F$6-$E$6)),$G$6-SQRT((1-P724)*($G$6-$E$6)*($G$6-$F$6))))</f>
        <v>1.01880399462532</v>
      </c>
      <c r="C724" s="51" t="n">
        <f aca="false">1+IF($G$7=$E$7,$F$7,IF(Q724&lt;($F$7-$E$7)/($G$7-$E$7),$E$7+SQRT(Q724*($G$7-$E$7)*($F$7-$E$7)),$G$7-SQRT((1-Q724)*($G$7-$E$7)*($G$7-$F$7))))</f>
        <v>1.02198243803868</v>
      </c>
      <c r="D724" s="51" t="n">
        <f aca="false">1+IF($G$8=$E$8,$F$8,IF(R724&lt;($F$8-$E$8)/($G$8-$E$8),$E$8+SQRT(R724*($G$8-$E$8)*($F$8-$E$8)),$G$8-SQRT((1-R724)*($G$8-$E$8)*($G$8-$F$8))))</f>
        <v>1.00737571276095</v>
      </c>
      <c r="E724" s="51" t="n">
        <f aca="false">1+IF($G$9=$E$9,$F$9,IF(S724&lt;($F$9-$E$9)/($G$9-$E$9),$E$9+SQRT(S724*($G$9-$E$9)*($F$9-$E$9)),$G$9-SQRT((1-S724)*($G$9-$E$9)*($G$9-$F$9))))</f>
        <v>1.09214024649038</v>
      </c>
      <c r="F724" s="51" t="n">
        <f aca="false">1+IF($G$10=$E$10,$F$10,IF(T724&lt;($F$10-$E$10)/($G$10-$E$10),$E$10+SQRT(T724*($G$10-$E$10)*($F$10-$E$10)),$G$10-SQRT((1-T724)*($G$10-$E$10)*($G$10-$F$10))))</f>
        <v>1.01029270044421</v>
      </c>
      <c r="G724" s="52" t="n">
        <f aca="false">IF($G$11=$E$11,$F$11,IF(U724&lt;($F$11-$E$11)/($G$11-$E$11),$E$11+SQRT(U724*($G$11-$E$11)*($F$11-$E$11)),$G$11-SQRT((1-U724)*($G$11-$E$11)*($G$11-$F$11))))</f>
        <v>0.105938268235988</v>
      </c>
      <c r="H724" s="53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-2020585400.88843</v>
      </c>
      <c r="I724" s="53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15478159.12971</v>
      </c>
      <c r="J724" s="53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341263728.484482</v>
      </c>
      <c r="K724" s="53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717563932.861465</v>
      </c>
      <c r="L724" s="53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862142987.399527</v>
      </c>
      <c r="M724" s="53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1060054243.54179</v>
      </c>
      <c r="N724" s="53" t="n">
        <f aca="false">IF(COUNT('Business Case'!B11:G11)=0,"",H724+NPV(G724,I724:M724))</f>
        <v>19941714.0186322</v>
      </c>
      <c r="P724" s="54" t="n">
        <f aca="true">RAND()</f>
        <v>0.870241233155074</v>
      </c>
      <c r="Q724" s="54" t="n">
        <f aca="true">RAND()</f>
        <v>0.757207464140422</v>
      </c>
      <c r="R724" s="54" t="n">
        <f aca="true">RAND()</f>
        <v>0.428049427563864</v>
      </c>
      <c r="S724" s="54" t="n">
        <f aca="true">RAND()</f>
        <v>0.910726637968172</v>
      </c>
      <c r="T724" s="54" t="n">
        <f aca="true">RAND()</f>
        <v>0.233872140528963</v>
      </c>
      <c r="U724" s="54" t="n">
        <f aca="true">RAND()</f>
        <v>0.614022043011144</v>
      </c>
    </row>
    <row r="725" customFormat="false" ht="15" hidden="false" customHeight="false" outlineLevel="0" collapsed="false">
      <c r="A725" s="50" t="n">
        <v>645</v>
      </c>
      <c r="B725" s="51" t="n">
        <f aca="false">1+IF($G$6=$E$6,$F$6,IF(P725&lt;($F$6-$E$6)/($G$6-$E$6),$E$6+SQRT(P725*($G$6-$E$6)*($F$6-$E$6)),$G$6-SQRT((1-P725)*($G$6-$E$6)*($G$6-$F$6))))</f>
        <v>0.971917968542081</v>
      </c>
      <c r="C725" s="51" t="n">
        <f aca="false">1+IF($G$7=$E$7,$F$7,IF(Q725&lt;($F$7-$E$7)/($G$7-$E$7),$E$7+SQRT(Q725*($G$7-$E$7)*($F$7-$E$7)),$G$7-SQRT((1-Q725)*($G$7-$E$7)*($G$7-$F$7))))</f>
        <v>1.01117927990606</v>
      </c>
      <c r="D725" s="51" t="n">
        <f aca="false">1+IF($G$8=$E$8,$F$8,IF(R725&lt;($F$8-$E$8)/($G$8-$E$8),$E$8+SQRT(R725*($G$8-$E$8)*($F$8-$E$8)),$G$8-SQRT((1-R725)*($G$8-$E$8)*($G$8-$F$8))))</f>
        <v>1.01315292627253</v>
      </c>
      <c r="E725" s="51" t="n">
        <f aca="false">1+IF($G$9=$E$9,$F$9,IF(S725&lt;($F$9-$E$9)/($G$9-$E$9),$E$9+SQRT(S725*($G$9-$E$9)*($F$9-$E$9)),$G$9-SQRT((1-S725)*($G$9-$E$9)*($G$9-$F$9))))</f>
        <v>1.00871273116894</v>
      </c>
      <c r="F725" s="51" t="n">
        <f aca="false">1+IF($G$10=$E$10,$F$10,IF(T725&lt;($F$10-$E$10)/($G$10-$E$10),$E$10+SQRT(T725*($G$10-$E$10)*($F$10-$E$10)),$G$10-SQRT((1-T725)*($G$10-$E$10)*($G$10-$F$10))))</f>
        <v>0.998607062424668</v>
      </c>
      <c r="G725" s="52" t="n">
        <f aca="false">IF($G$11=$E$11,$F$11,IF(U725&lt;($F$11-$E$11)/($G$11-$E$11),$E$11+SQRT(U725*($G$11-$E$11)*($F$11-$E$11)),$G$11-SQRT((1-U725)*($G$11-$E$11)*($G$11-$F$11))))</f>
        <v>0.109642303415733</v>
      </c>
      <c r="H725" s="53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-1997214124.84934</v>
      </c>
      <c r="I725" s="53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-13728266.7501613</v>
      </c>
      <c r="J725" s="53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266790609.985542</v>
      </c>
      <c r="K725" s="53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597239839.842478</v>
      </c>
      <c r="L725" s="53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724711123.335161</v>
      </c>
      <c r="M725" s="53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911518575.196133</v>
      </c>
      <c r="N725" s="53" t="n">
        <f aca="false">IF(COUNT('Business Case'!B11:G11)=0,"",H725+NPV(G725,I725:M725))</f>
        <v>-335974124.930652</v>
      </c>
      <c r="P725" s="54" t="n">
        <f aca="true">RAND()</f>
        <v>0.344812946614649</v>
      </c>
      <c r="Q725" s="54" t="n">
        <f aca="true">RAND()</f>
        <v>0.714500854408875</v>
      </c>
      <c r="R725" s="54" t="n">
        <f aca="true">RAND()</f>
        <v>0.497172385664975</v>
      </c>
      <c r="S725" s="54" t="n">
        <f aca="true">RAND()</f>
        <v>0.467677537766934</v>
      </c>
      <c r="T725" s="54" t="n">
        <f aca="true">RAND()</f>
        <v>0.157509767837035</v>
      </c>
      <c r="U725" s="54" t="n">
        <f aca="true">RAND()</f>
        <v>0.723709459855276</v>
      </c>
    </row>
    <row r="726" customFormat="false" ht="15" hidden="false" customHeight="false" outlineLevel="0" collapsed="false">
      <c r="A726" s="50" t="n">
        <v>646</v>
      </c>
      <c r="B726" s="51" t="n">
        <f aca="false">1+IF($G$6=$E$6,$F$6,IF(P726&lt;($F$6-$E$6)/($G$6-$E$6),$E$6+SQRT(P726*($G$6-$E$6)*($F$6-$E$6)),$G$6-SQRT((1-P726)*($G$6-$E$6)*($G$6-$F$6))))</f>
        <v>0.989171665967009</v>
      </c>
      <c r="C726" s="51" t="n">
        <f aca="false">1+IF($G$7=$E$7,$F$7,IF(Q726&lt;($F$7-$E$7)/($G$7-$E$7),$E$7+SQRT(Q726*($G$7-$E$7)*($F$7-$E$7)),$G$7-SQRT((1-Q726)*($G$7-$E$7)*($G$7-$F$7))))</f>
        <v>0.723874386269929</v>
      </c>
      <c r="D726" s="51" t="n">
        <f aca="false">1+IF($G$8=$E$8,$F$8,IF(R726&lt;($F$8-$E$8)/($G$8-$E$8),$E$8+SQRT(R726*($G$8-$E$8)*($F$8-$E$8)),$G$8-SQRT((1-R726)*($G$8-$E$8)*($G$8-$F$8))))</f>
        <v>1.03838399861375</v>
      </c>
      <c r="E726" s="51" t="n">
        <f aca="false">1+IF($G$9=$E$9,$F$9,IF(S726&lt;($F$9-$E$9)/($G$9-$E$9),$E$9+SQRT(S726*($G$9-$E$9)*($F$9-$E$9)),$G$9-SQRT((1-S726)*($G$9-$E$9)*($G$9-$F$9))))</f>
        <v>1.09352785484604</v>
      </c>
      <c r="F726" s="51" t="n">
        <f aca="false">1+IF($G$10=$E$10,$F$10,IF(T726&lt;($F$10-$E$10)/($G$10-$E$10),$E$10+SQRT(T726*($G$10-$E$10)*($F$10-$E$10)),$G$10-SQRT((1-T726)*($G$10-$E$10)*($G$10-$F$10))))</f>
        <v>0.991676251198057</v>
      </c>
      <c r="G726" s="52" t="n">
        <f aca="false">IF($G$11=$E$11,$F$11,IF(U726&lt;($F$11-$E$11)/($G$11-$E$11),$E$11+SQRT(U726*($G$11-$E$11)*($F$11-$E$11)),$G$11-SQRT((1-U726)*($G$11-$E$11)*($G$11-$F$11))))</f>
        <v>0.10821091567521</v>
      </c>
      <c r="H726" s="53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-1983352502.39611</v>
      </c>
      <c r="I726" s="53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-90091100.746399</v>
      </c>
      <c r="J726" s="53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111604392.517004</v>
      </c>
      <c r="K726" s="53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362883698.340309</v>
      </c>
      <c r="L726" s="53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454861734.71537</v>
      </c>
      <c r="M726" s="53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590965863.795299</v>
      </c>
      <c r="N726" s="53" t="n">
        <f aca="false">IF(COUNT('Business Case'!B11:G11)=0,"",H726+NPV(G726,I726:M726))</f>
        <v>-1052028140.1129</v>
      </c>
      <c r="P726" s="54" t="n">
        <f aca="true">RAND()</f>
        <v>0.530105734088786</v>
      </c>
      <c r="Q726" s="54" t="n">
        <f aca="true">RAND()</f>
        <v>0.00422212088715389</v>
      </c>
      <c r="R726" s="54" t="n">
        <f aca="true">RAND()</f>
        <v>0.746897891544683</v>
      </c>
      <c r="S726" s="54" t="n">
        <f aca="true">RAND()</f>
        <v>0.91495724857892</v>
      </c>
      <c r="T726" s="54" t="n">
        <f aca="true">RAND()</f>
        <v>0.115793994261569</v>
      </c>
      <c r="U726" s="54" t="n">
        <f aca="true">RAND()</f>
        <v>0.683490536191461</v>
      </c>
    </row>
    <row r="727" customFormat="false" ht="15" hidden="false" customHeight="false" outlineLevel="0" collapsed="false">
      <c r="A727" s="50" t="n">
        <v>647</v>
      </c>
      <c r="B727" s="51" t="n">
        <f aca="false">1+IF($G$6=$E$6,$F$6,IF(P727&lt;($F$6-$E$6)/($G$6-$E$6),$E$6+SQRT(P727*($G$6-$E$6)*($F$6-$E$6)),$G$6-SQRT((1-P727)*($G$6-$E$6)*($G$6-$F$6))))</f>
        <v>1.03653113273</v>
      </c>
      <c r="C727" s="51" t="n">
        <f aca="false">1+IF($G$7=$E$7,$F$7,IF(Q727&lt;($F$7-$E$7)/($G$7-$E$7),$E$7+SQRT(Q727*($G$7-$E$7)*($F$7-$E$7)),$G$7-SQRT((1-Q727)*($G$7-$E$7)*($G$7-$F$7))))</f>
        <v>0.978900888420608</v>
      </c>
      <c r="D727" s="51" t="n">
        <f aca="false">1+IF($G$8=$E$8,$F$8,IF(R727&lt;($F$8-$E$8)/($G$8-$E$8),$E$8+SQRT(R727*($G$8-$E$8)*($F$8-$E$8)),$G$8-SQRT((1-R727)*($G$8-$E$8)*($G$8-$F$8))))</f>
        <v>1.02977932465553</v>
      </c>
      <c r="E727" s="51" t="n">
        <f aca="false">1+IF($G$9=$E$9,$F$9,IF(S727&lt;($F$9-$E$9)/($G$9-$E$9),$E$9+SQRT(S727*($G$9-$E$9)*($F$9-$E$9)),$G$9-SQRT((1-S727)*($G$9-$E$9)*($G$9-$F$9))))</f>
        <v>1.04764084566714</v>
      </c>
      <c r="F727" s="51" t="n">
        <f aca="false">1+IF($G$10=$E$10,$F$10,IF(T727&lt;($F$10-$E$10)/($G$10-$E$10),$E$10+SQRT(T727*($G$10-$E$10)*($F$10-$E$10)),$G$10-SQRT((1-T727)*($G$10-$E$10)*($G$10-$F$10))))</f>
        <v>1.01285135317024</v>
      </c>
      <c r="G727" s="52" t="n">
        <f aca="false">IF($G$11=$E$11,$F$11,IF(U727&lt;($F$11-$E$11)/($G$11-$E$11),$E$11+SQRT(U727*($G$11-$E$11)*($F$11-$E$11)),$G$11-SQRT((1-U727)*($G$11-$E$11)*($G$11-$F$11))))</f>
        <v>0.100243295022935</v>
      </c>
      <c r="H727" s="53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-2025702706.34047</v>
      </c>
      <c r="I727" s="53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12178987.5721287</v>
      </c>
      <c r="J727" s="53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327217677.744337</v>
      </c>
      <c r="K727" s="53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692898935.575057</v>
      </c>
      <c r="L727" s="53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832978524.985252</v>
      </c>
      <c r="M727" s="53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1025845334.75894</v>
      </c>
      <c r="N727" s="53" t="n">
        <f aca="false">IF(COUNT('Business Case'!B11:G11)=0,"",H727+NPV(G727,I727:M727))</f>
        <v>-19387376.233547</v>
      </c>
      <c r="P727" s="54" t="n">
        <f aca="true">RAND()</f>
        <v>0.975811948595088</v>
      </c>
      <c r="Q727" s="54" t="n">
        <f aca="true">RAND()</f>
        <v>0.57619041156892</v>
      </c>
      <c r="R727" s="54" t="n">
        <f aca="true">RAND()</f>
        <v>0.671270450277781</v>
      </c>
      <c r="S727" s="54" t="n">
        <f aca="true">RAND()</f>
        <v>0.720602760647</v>
      </c>
      <c r="T727" s="54" t="n">
        <f aca="true">RAND()</f>
        <v>0.250140257424164</v>
      </c>
      <c r="U727" s="54" t="n">
        <f aca="true">RAND()</f>
        <v>0.40969233927193</v>
      </c>
    </row>
    <row r="728" customFormat="false" ht="15" hidden="false" customHeight="false" outlineLevel="0" collapsed="false">
      <c r="A728" s="50" t="n">
        <v>648</v>
      </c>
      <c r="B728" s="51" t="n">
        <f aca="false">1+IF($G$6=$E$6,$F$6,IF(P728&lt;($F$6-$E$6)/($G$6-$E$6),$E$6+SQRT(P728*($G$6-$E$6)*($F$6-$E$6)),$G$6-SQRT((1-P728)*($G$6-$E$6)*($G$6-$F$6))))</f>
        <v>0.975601827582672</v>
      </c>
      <c r="C728" s="51" t="n">
        <f aca="false">1+IF($G$7=$E$7,$F$7,IF(Q728&lt;($F$7-$E$7)/($G$7-$E$7),$E$7+SQRT(Q728*($G$7-$E$7)*($F$7-$E$7)),$G$7-SQRT((1-Q728)*($G$7-$E$7)*($G$7-$F$7))))</f>
        <v>1.07805796193917</v>
      </c>
      <c r="D728" s="51" t="n">
        <f aca="false">1+IF($G$8=$E$8,$F$8,IF(R728&lt;($F$8-$E$8)/($G$8-$E$8),$E$8+SQRT(R728*($G$8-$E$8)*($F$8-$E$8)),$G$8-SQRT((1-R728)*($G$8-$E$8)*($G$8-$F$8))))</f>
        <v>0.991604456895788</v>
      </c>
      <c r="E728" s="51" t="n">
        <f aca="false">1+IF($G$9=$E$9,$F$9,IF(S728&lt;($F$9-$E$9)/($G$9-$E$9),$E$9+SQRT(S728*($G$9-$E$9)*($F$9-$E$9)),$G$9-SQRT((1-S728)*($G$9-$E$9)*($G$9-$F$9))))</f>
        <v>0.933575229246679</v>
      </c>
      <c r="F728" s="51" t="n">
        <f aca="false">1+IF($G$10=$E$10,$F$10,IF(T728&lt;($F$10-$E$10)/($G$10-$E$10),$E$10+SQRT(T728*($G$10-$E$10)*($F$10-$E$10)),$G$10-SQRT((1-T728)*($G$10-$E$10)*($G$10-$F$10))))</f>
        <v>1.15200281493249</v>
      </c>
      <c r="G728" s="52" t="n">
        <f aca="false">IF($G$11=$E$11,$F$11,IF(U728&lt;($F$11-$E$11)/($G$11-$E$11),$E$11+SQRT(U728*($G$11-$E$11)*($F$11-$E$11)),$G$11-SQRT((1-U728)*($G$11-$E$11)*($G$11-$F$11))))</f>
        <v>0.10849809615752</v>
      </c>
      <c r="H728" s="53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-2304005629.86498</v>
      </c>
      <c r="I728" s="53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11739552.659734</v>
      </c>
      <c r="J728" s="53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325956780.091941</v>
      </c>
      <c r="K728" s="53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697774148.270772</v>
      </c>
      <c r="L728" s="53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838861887.868404</v>
      </c>
      <c r="M728" s="53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1038779538.69634</v>
      </c>
      <c r="N728" s="53" t="n">
        <f aca="false">IF(COUNT('Business Case'!B11:G11)=0,"",H728+NPV(G728,I728:M728))</f>
        <v>-339622970.818496</v>
      </c>
      <c r="P728" s="54" t="n">
        <f aca="true">RAND()</f>
        <v>0.381042422256007</v>
      </c>
      <c r="Q728" s="54" t="n">
        <f aca="true">RAND()</f>
        <v>0.923323602365252</v>
      </c>
      <c r="R728" s="54" t="n">
        <f aca="true">RAND()</f>
        <v>0.230790777812467</v>
      </c>
      <c r="S728" s="54" t="n">
        <f aca="true">RAND()</f>
        <v>0.0450918407586815</v>
      </c>
      <c r="T728" s="54" t="n">
        <f aca="true">RAND()</f>
        <v>0.871954022917924</v>
      </c>
      <c r="U728" s="54" t="n">
        <f aca="true">RAND()</f>
        <v>0.691778754099164</v>
      </c>
    </row>
    <row r="729" customFormat="false" ht="15" hidden="false" customHeight="false" outlineLevel="0" collapsed="false">
      <c r="A729" s="50" t="n">
        <v>649</v>
      </c>
      <c r="B729" s="51" t="n">
        <f aca="false">1+IF($G$6=$E$6,$F$6,IF(P729&lt;($F$6-$E$6)/($G$6-$E$6),$E$6+SQRT(P729*($G$6-$E$6)*($F$6-$E$6)),$G$6-SQRT((1-P729)*($G$6-$E$6)*($G$6-$F$6))))</f>
        <v>0.936096343126598</v>
      </c>
      <c r="C729" s="51" t="n">
        <f aca="false">1+IF($G$7=$E$7,$F$7,IF(Q729&lt;($F$7-$E$7)/($G$7-$E$7),$E$7+SQRT(Q729*($G$7-$E$7)*($F$7-$E$7)),$G$7-SQRT((1-Q729)*($G$7-$E$7)*($G$7-$F$7))))</f>
        <v>0.969555749454039</v>
      </c>
      <c r="D729" s="51" t="n">
        <f aca="false">1+IF($G$8=$E$8,$F$8,IF(R729&lt;($F$8-$E$8)/($G$8-$E$8),$E$8+SQRT(R729*($G$8-$E$8)*($F$8-$E$8)),$G$8-SQRT((1-R729)*($G$8-$E$8)*($G$8-$F$8))))</f>
        <v>1.02562226344567</v>
      </c>
      <c r="E729" s="51" t="n">
        <f aca="false">1+IF($G$9=$E$9,$F$9,IF(S729&lt;($F$9-$E$9)/($G$9-$E$9),$E$9+SQRT(S729*($G$9-$E$9)*($F$9-$E$9)),$G$9-SQRT((1-S729)*($G$9-$E$9)*($G$9-$F$9))))</f>
        <v>1.00993763712971</v>
      </c>
      <c r="F729" s="51" t="n">
        <f aca="false">1+IF($G$10=$E$10,$F$10,IF(T729&lt;($F$10-$E$10)/($G$10-$E$10),$E$10+SQRT(T729*($G$10-$E$10)*($F$10-$E$10)),$G$10-SQRT((1-T729)*($G$10-$E$10)*($G$10-$F$10))))</f>
        <v>1.13062178871775</v>
      </c>
      <c r="G729" s="52" t="n">
        <f aca="false">IF($G$11=$E$11,$F$11,IF(U729&lt;($F$11-$E$11)/($G$11-$E$11),$E$11+SQRT(U729*($G$11-$E$11)*($F$11-$E$11)),$G$11-SQRT((1-U729)*($G$11-$E$11)*($G$11-$F$11))))</f>
        <v>0.106126790235277</v>
      </c>
      <c r="H729" s="53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-2261243577.4355</v>
      </c>
      <c r="I729" s="53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-69389600.3899804</v>
      </c>
      <c r="J729" s="53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164945969.236124</v>
      </c>
      <c r="K729" s="53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455812628.298115</v>
      </c>
      <c r="L729" s="53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565291057.603126</v>
      </c>
      <c r="M729" s="53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737807207.799493</v>
      </c>
      <c r="N729" s="53" t="n">
        <f aca="false">IF(COUNT('Business Case'!B11:G11)=0,"",H729+NPV(G729,I729:M729))</f>
        <v>-1029172680.47201</v>
      </c>
      <c r="P729" s="54" t="n">
        <f aca="true">RAND()</f>
        <v>0.0868630658075394</v>
      </c>
      <c r="Q729" s="54" t="n">
        <f aca="true">RAND()</f>
        <v>0.538224459731322</v>
      </c>
      <c r="R729" s="54" t="n">
        <f aca="true">RAND()</f>
        <v>0.63119682033697</v>
      </c>
      <c r="S729" s="54" t="n">
        <f aca="true">RAND()</f>
        <v>0.476867586858464</v>
      </c>
      <c r="T729" s="54" t="n">
        <f aca="true">RAND()</f>
        <v>0.809984568947341</v>
      </c>
      <c r="U729" s="54" t="n">
        <f aca="true">RAND()</f>
        <v>0.620046570353031</v>
      </c>
    </row>
    <row r="730" customFormat="false" ht="15" hidden="false" customHeight="false" outlineLevel="0" collapsed="false">
      <c r="A730" s="50" t="n">
        <v>650</v>
      </c>
      <c r="B730" s="51" t="n">
        <f aca="false">1+IF($G$6=$E$6,$F$6,IF(P730&lt;($F$6-$E$6)/($G$6-$E$6),$E$6+SQRT(P730*($G$6-$E$6)*($F$6-$E$6)),$G$6-SQRT((1-P730)*($G$6-$E$6)*($G$6-$F$6))))</f>
        <v>0.928309869692073</v>
      </c>
      <c r="C730" s="51" t="n">
        <f aca="false">1+IF($G$7=$E$7,$F$7,IF(Q730&lt;($F$7-$E$7)/($G$7-$E$7),$E$7+SQRT(Q730*($G$7-$E$7)*($F$7-$E$7)),$G$7-SQRT((1-Q730)*($G$7-$E$7)*($G$7-$F$7))))</f>
        <v>0.765546774953163</v>
      </c>
      <c r="D730" s="51" t="n">
        <f aca="false">1+IF($G$8=$E$8,$F$8,IF(R730&lt;($F$8-$E$8)/($G$8-$E$8),$E$8+SQRT(R730*($G$8-$E$8)*($F$8-$E$8)),$G$8-SQRT((1-R730)*($G$8-$E$8)*($G$8-$F$8))))</f>
        <v>0.958208848623096</v>
      </c>
      <c r="E730" s="51" t="n">
        <f aca="false">1+IF($G$9=$E$9,$F$9,IF(S730&lt;($F$9-$E$9)/($G$9-$E$9),$E$9+SQRT(S730*($G$9-$E$9)*($F$9-$E$9)),$G$9-SQRT((1-S730)*($G$9-$E$9)*($G$9-$F$9))))</f>
        <v>1.0162533610463</v>
      </c>
      <c r="F730" s="51" t="n">
        <f aca="false">1+IF($G$10=$E$10,$F$10,IF(T730&lt;($F$10-$E$10)/($G$10-$E$10),$E$10+SQRT(T730*($G$10-$E$10)*($F$10-$E$10)),$G$10-SQRT((1-T730)*($G$10-$E$10)*($G$10-$F$10))))</f>
        <v>0.996576552311121</v>
      </c>
      <c r="G730" s="52" t="n">
        <f aca="false">IF($G$11=$E$11,$F$11,IF(U730&lt;($F$11-$E$11)/($G$11-$E$11),$E$11+SQRT(U730*($G$11-$E$11)*($F$11-$E$11)),$G$11-SQRT((1-U730)*($G$11-$E$11)*($G$11-$F$11))))</f>
        <v>0.105672573352828</v>
      </c>
      <c r="H730" s="53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-1993153104.62224</v>
      </c>
      <c r="I730" s="53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-74445047.0737215</v>
      </c>
      <c r="J730" s="53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132119643.282947</v>
      </c>
      <c r="K730" s="53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388513161.255171</v>
      </c>
      <c r="L730" s="53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481928627.54639</v>
      </c>
      <c r="M730" s="53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617011759.827534</v>
      </c>
      <c r="N730" s="53" t="n">
        <f aca="false">IF(COUNT('Business Case'!B11:G11)=0,"",H730+NPV(G730,I730:M730))</f>
        <v>-969135991.550062</v>
      </c>
      <c r="P730" s="54" t="n">
        <f aca="true">RAND()</f>
        <v>0.0534299147988095</v>
      </c>
      <c r="Q730" s="54" t="n">
        <f aca="true">RAND()</f>
        <v>0.0318250348648935</v>
      </c>
      <c r="R730" s="54" t="n">
        <f aca="true">RAND()</f>
        <v>0.00898469276225309</v>
      </c>
      <c r="S730" s="54" t="n">
        <f aca="true">RAND()</f>
        <v>0.522982308495708</v>
      </c>
      <c r="T730" s="54" t="n">
        <f aca="true">RAND()</f>
        <v>0.144625015012706</v>
      </c>
      <c r="U730" s="54" t="n">
        <f aca="true">RAND()</f>
        <v>0.605450875150989</v>
      </c>
    </row>
    <row r="731" customFormat="false" ht="15" hidden="false" customHeight="false" outlineLevel="0" collapsed="false">
      <c r="A731" s="50" t="n">
        <v>651</v>
      </c>
      <c r="B731" s="51" t="n">
        <f aca="false">1+IF($G$6=$E$6,$F$6,IF(P731&lt;($F$6-$E$6)/($G$6-$E$6),$E$6+SQRT(P731*($G$6-$E$6)*($F$6-$E$6)),$G$6-SQRT((1-P731)*($G$6-$E$6)*($G$6-$F$6))))</f>
        <v>0.941761713531605</v>
      </c>
      <c r="C731" s="51" t="n">
        <f aca="false">1+IF($G$7=$E$7,$F$7,IF(Q731&lt;($F$7-$E$7)/($G$7-$E$7),$E$7+SQRT(Q731*($G$7-$E$7)*($F$7-$E$7)),$G$7-SQRT((1-Q731)*($G$7-$E$7)*($G$7-$F$7))))</f>
        <v>0.836732814576496</v>
      </c>
      <c r="D731" s="51" t="n">
        <f aca="false">1+IF($G$8=$E$8,$F$8,IF(R731&lt;($F$8-$E$8)/($G$8-$E$8),$E$8+SQRT(R731*($G$8-$E$8)*($F$8-$E$8)),$G$8-SQRT((1-R731)*($G$8-$E$8)*($G$8-$F$8))))</f>
        <v>1.01810402425572</v>
      </c>
      <c r="E731" s="51" t="n">
        <f aca="false">1+IF($G$9=$E$9,$F$9,IF(S731&lt;($F$9-$E$9)/($G$9-$E$9),$E$9+SQRT(S731*($G$9-$E$9)*($F$9-$E$9)),$G$9-SQRT((1-S731)*($G$9-$E$9)*($G$9-$F$9))))</f>
        <v>1.09338503433844</v>
      </c>
      <c r="F731" s="51" t="n">
        <f aca="false">1+IF($G$10=$E$10,$F$10,IF(T731&lt;($F$10-$E$10)/($G$10-$E$10),$E$10+SQRT(T731*($G$10-$E$10)*($F$10-$E$10)),$G$10-SQRT((1-T731)*($G$10-$E$10)*($G$10-$F$10))))</f>
        <v>1.12635965108911</v>
      </c>
      <c r="G731" s="52" t="n">
        <f aca="false">IF($G$11=$E$11,$F$11,IF(U731&lt;($F$11-$E$11)/($G$11-$E$11),$E$11+SQRT(U731*($G$11-$E$11)*($F$11-$E$11)),$G$11-SQRT((1-U731)*($G$11-$E$11)*($G$11-$F$11))))</f>
        <v>0.100280229694336</v>
      </c>
      <c r="H731" s="53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-2252719302.17822</v>
      </c>
      <c r="I731" s="53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-99629198.5365721</v>
      </c>
      <c r="J731" s="53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109706991.769649</v>
      </c>
      <c r="K731" s="53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375361164.630325</v>
      </c>
      <c r="L731" s="53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472373275.96637</v>
      </c>
      <c r="M731" s="53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622156872.753207</v>
      </c>
      <c r="N731" s="53" t="n">
        <f aca="false">IF(COUNT('Business Case'!B11:G11)=0,"",H731+NPV(G731,I731:M731))</f>
        <v>-1262720987.34958</v>
      </c>
      <c r="P731" s="54" t="n">
        <f aca="true">RAND()</f>
        <v>0.116269381139721</v>
      </c>
      <c r="Q731" s="54" t="n">
        <f aca="true">RAND()</f>
        <v>0.138487870977856</v>
      </c>
      <c r="R731" s="54" t="n">
        <f aca="true">RAND()</f>
        <v>0.55286994379285</v>
      </c>
      <c r="S731" s="54" t="n">
        <f aca="true">RAND()</f>
        <v>0.914526551017083</v>
      </c>
      <c r="T731" s="54" t="n">
        <f aca="true">RAND()</f>
        <v>0.796174188282573</v>
      </c>
      <c r="U731" s="54" t="n">
        <f aca="true">RAND()</f>
        <v>0.411156835319057</v>
      </c>
    </row>
    <row r="732" customFormat="false" ht="15" hidden="false" customHeight="false" outlineLevel="0" collapsed="false">
      <c r="A732" s="50" t="n">
        <v>652</v>
      </c>
      <c r="B732" s="51" t="n">
        <f aca="false">1+IF($G$6=$E$6,$F$6,IF(P732&lt;($F$6-$E$6)/($G$6-$E$6),$E$6+SQRT(P732*($G$6-$E$6)*($F$6-$E$6)),$G$6-SQRT((1-P732)*($G$6-$E$6)*($G$6-$F$6))))</f>
        <v>0.986592961747792</v>
      </c>
      <c r="C732" s="51" t="n">
        <f aca="false">1+IF($G$7=$E$7,$F$7,IF(Q732&lt;($F$7-$E$7)/($G$7-$E$7),$E$7+SQRT(Q732*($G$7-$E$7)*($F$7-$E$7)),$G$7-SQRT((1-Q732)*($G$7-$E$7)*($G$7-$F$7))))</f>
        <v>0.931017636908776</v>
      </c>
      <c r="D732" s="51" t="n">
        <f aca="false">1+IF($G$8=$E$8,$F$8,IF(R732&lt;($F$8-$E$8)/($G$8-$E$8),$E$8+SQRT(R732*($G$8-$E$8)*($F$8-$E$8)),$G$8-SQRT((1-R732)*($G$8-$E$8)*($G$8-$F$8))))</f>
        <v>1.02734925600918</v>
      </c>
      <c r="E732" s="51" t="n">
        <f aca="false">1+IF($G$9=$E$9,$F$9,IF(S732&lt;($F$9-$E$9)/($G$9-$E$9),$E$9+SQRT(S732*($G$9-$E$9)*($F$9-$E$9)),$G$9-SQRT((1-S732)*($G$9-$E$9)*($G$9-$F$9))))</f>
        <v>0.965083707867687</v>
      </c>
      <c r="F732" s="51" t="n">
        <f aca="false">1+IF($G$10=$E$10,$F$10,IF(T732&lt;($F$10-$E$10)/($G$10-$E$10),$E$10+SQRT(T732*($G$10-$E$10)*($F$10-$E$10)),$G$10-SQRT((1-T732)*($G$10-$E$10)*($G$10-$F$10))))</f>
        <v>1.08137515658093</v>
      </c>
      <c r="G732" s="52" t="n">
        <f aca="false">IF($G$11=$E$11,$F$11,IF(U732&lt;($F$11-$E$11)/($G$11-$E$11),$E$11+SQRT(U732*($G$11-$E$11)*($F$11-$E$11)),$G$11-SQRT((1-U732)*($G$11-$E$11)*($G$11-$F$11))))</f>
        <v>0.0878773647295607</v>
      </c>
      <c r="H732" s="53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-2162750313.16187</v>
      </c>
      <c r="I732" s="53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-30284013.4038159</v>
      </c>
      <c r="J732" s="53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232421269.72513</v>
      </c>
      <c r="K732" s="53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549195310.683123</v>
      </c>
      <c r="L732" s="53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668508323.470028</v>
      </c>
      <c r="M732" s="53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843103541.394934</v>
      </c>
      <c r="N732" s="53" t="n">
        <f aca="false">IF(COUNT('Business Case'!B11:G11)=0,"",H732+NPV(G732,I732:M732))</f>
        <v>-537011444.217727</v>
      </c>
      <c r="P732" s="54" t="n">
        <f aca="true">RAND()</f>
        <v>0.499889401616975</v>
      </c>
      <c r="Q732" s="54" t="n">
        <f aca="true">RAND()</f>
        <v>0.395327026391963</v>
      </c>
      <c r="R732" s="54" t="n">
        <f aca="true">RAND()</f>
        <v>0.648124626505334</v>
      </c>
      <c r="S732" s="54" t="n">
        <f aca="true">RAND()</f>
        <v>0.169435561192258</v>
      </c>
      <c r="T732" s="54" t="n">
        <f aca="true">RAND()</f>
        <v>0.62087549575861</v>
      </c>
      <c r="U732" s="54" t="n">
        <f aca="true">RAND()</f>
        <v>0.0620528750825265</v>
      </c>
    </row>
    <row r="733" customFormat="false" ht="15" hidden="false" customHeight="false" outlineLevel="0" collapsed="false">
      <c r="A733" s="50" t="n">
        <v>653</v>
      </c>
      <c r="B733" s="51" t="n">
        <f aca="false">1+IF($G$6=$E$6,$F$6,IF(P733&lt;($F$6-$E$6)/($G$6-$E$6),$E$6+SQRT(P733*($G$6-$E$6)*($F$6-$E$6)),$G$6-SQRT((1-P733)*($G$6-$E$6)*($G$6-$F$6))))</f>
        <v>1.02134668234511</v>
      </c>
      <c r="C733" s="51" t="n">
        <f aca="false">1+IF($G$7=$E$7,$F$7,IF(Q733&lt;($F$7-$E$7)/($G$7-$E$7),$E$7+SQRT(Q733*($G$7-$E$7)*($F$7-$E$7)),$G$7-SQRT((1-Q733)*($G$7-$E$7)*($G$7-$F$7))))</f>
        <v>1.08117674189703</v>
      </c>
      <c r="D733" s="51" t="n">
        <f aca="false">1+IF($G$8=$E$8,$F$8,IF(R733&lt;($F$8-$E$8)/($G$8-$E$8),$E$8+SQRT(R733*($G$8-$E$8)*($F$8-$E$8)),$G$8-SQRT((1-R733)*($G$8-$E$8)*($G$8-$F$8))))</f>
        <v>1.00640122332358</v>
      </c>
      <c r="E733" s="51" t="n">
        <f aca="false">1+IF($G$9=$E$9,$F$9,IF(S733&lt;($F$9-$E$9)/($G$9-$E$9),$E$9+SQRT(S733*($G$9-$E$9)*($F$9-$E$9)),$G$9-SQRT((1-S733)*($G$9-$E$9)*($G$9-$F$9))))</f>
        <v>1.02070152351469</v>
      </c>
      <c r="F733" s="51" t="n">
        <f aca="false">1+IF($G$10=$E$10,$F$10,IF(T733&lt;($F$10-$E$10)/($G$10-$E$10),$E$10+SQRT(T733*($G$10-$E$10)*($F$10-$E$10)),$G$10-SQRT((1-T733)*($G$10-$E$10)*($G$10-$F$10))))</f>
        <v>1.16600782506824</v>
      </c>
      <c r="G733" s="52" t="n">
        <f aca="false">IF($G$11=$E$11,$F$11,IF(U733&lt;($F$11-$E$11)/($G$11-$E$11),$E$11+SQRT(U733*($G$11-$E$11)*($F$11-$E$11)),$G$11-SQRT((1-U733)*($G$11-$E$11)*($G$11-$F$11))))</f>
        <v>0.0942085071118572</v>
      </c>
      <c r="H733" s="53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-2332015650.13649</v>
      </c>
      <c r="I733" s="53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28457292.6345744</v>
      </c>
      <c r="J733" s="53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375903769.890216</v>
      </c>
      <c r="K733" s="53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781650638.39927</v>
      </c>
      <c r="L733" s="53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935629227.79812</v>
      </c>
      <c r="M733" s="53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1145526261.18978</v>
      </c>
      <c r="N733" s="53" t="n">
        <f aca="false">IF(COUNT('Business Case'!B11:G11)=0,"",H733+NPV(G733,I733:M733))</f>
        <v>-12416519.3071909</v>
      </c>
      <c r="P733" s="54" t="n">
        <f aca="true">RAND()</f>
        <v>0.890531651649056</v>
      </c>
      <c r="Q733" s="54" t="n">
        <f aca="true">RAND()</f>
        <v>0.929827542875446</v>
      </c>
      <c r="R733" s="54" t="n">
        <f aca="true">RAND()</f>
        <v>0.415951266978488</v>
      </c>
      <c r="S733" s="54" t="n">
        <f aca="true">RAND()</f>
        <v>0.554184106095436</v>
      </c>
      <c r="T733" s="54" t="n">
        <f aca="true">RAND()</f>
        <v>0.905937527336444</v>
      </c>
      <c r="U733" s="54" t="n">
        <f aca="true">RAND()</f>
        <v>0.201881674347696</v>
      </c>
    </row>
    <row r="734" customFormat="false" ht="15" hidden="false" customHeight="false" outlineLevel="0" collapsed="false">
      <c r="A734" s="50" t="n">
        <v>654</v>
      </c>
      <c r="B734" s="51" t="n">
        <f aca="false">1+IF($G$6=$E$6,$F$6,IF(P734&lt;($F$6-$E$6)/($G$6-$E$6),$E$6+SQRT(P734*($G$6-$E$6)*($F$6-$E$6)),$G$6-SQRT((1-P734)*($G$6-$E$6)*($G$6-$F$6))))</f>
        <v>1.02041656940291</v>
      </c>
      <c r="C734" s="51" t="n">
        <f aca="false">1+IF($G$7=$E$7,$F$7,IF(Q734&lt;($F$7-$E$7)/($G$7-$E$7),$E$7+SQRT(Q734*($G$7-$E$7)*($F$7-$E$7)),$G$7-SQRT((1-Q734)*($G$7-$E$7)*($G$7-$F$7))))</f>
        <v>1.05636929975913</v>
      </c>
      <c r="D734" s="51" t="n">
        <f aca="false">1+IF($G$8=$E$8,$F$8,IF(R734&lt;($F$8-$E$8)/($G$8-$E$8),$E$8+SQRT(R734*($G$8-$E$8)*($F$8-$E$8)),$G$8-SQRT((1-R734)*($G$8-$E$8)*($G$8-$F$8))))</f>
        <v>1.05569864751687</v>
      </c>
      <c r="E734" s="51" t="n">
        <f aca="false">1+IF($G$9=$E$9,$F$9,IF(S734&lt;($F$9-$E$9)/($G$9-$E$9),$E$9+SQRT(S734*($G$9-$E$9)*($F$9-$E$9)),$G$9-SQRT((1-S734)*($G$9-$E$9)*($G$9-$F$9))))</f>
        <v>1.01403811293839</v>
      </c>
      <c r="F734" s="51" t="n">
        <f aca="false">1+IF($G$10=$E$10,$F$10,IF(T734&lt;($F$10-$E$10)/($G$10-$E$10),$E$10+SQRT(T734*($G$10-$E$10)*($F$10-$E$10)),$G$10-SQRT((1-T734)*($G$10-$E$10)*($G$10-$F$10))))</f>
        <v>1.12752077589761</v>
      </c>
      <c r="G734" s="52" t="n">
        <f aca="false">IF($G$11=$E$11,$F$11,IF(U734&lt;($F$11-$E$11)/($G$11-$E$11),$E$11+SQRT(U734*($G$11-$E$11)*($F$11-$E$11)),$G$11-SQRT((1-U734)*($G$11-$E$11)*($G$11-$F$11))))</f>
        <v>0.100318530118079</v>
      </c>
      <c r="H734" s="53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-2255041551.79523</v>
      </c>
      <c r="I734" s="53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-817834.335718781</v>
      </c>
      <c r="J734" s="53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311192869.018165</v>
      </c>
      <c r="K734" s="53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679579611.166931</v>
      </c>
      <c r="L734" s="53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820836672.578227</v>
      </c>
      <c r="M734" s="53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1025730887.5249</v>
      </c>
      <c r="N734" s="53" t="n">
        <f aca="false">IF(COUNT('Business Case'!B11:G11)=0,"",H734+NPV(G734,I734:M734))</f>
        <v>-292644174.427327</v>
      </c>
      <c r="P734" s="54" t="n">
        <f aca="true">RAND()</f>
        <v>0.883309417880924</v>
      </c>
      <c r="Q734" s="54" t="n">
        <f aca="true">RAND()</f>
        <v>0.870122844035629</v>
      </c>
      <c r="R734" s="54" t="n">
        <f aca="true">RAND()</f>
        <v>0.869159344544364</v>
      </c>
      <c r="S734" s="54" t="n">
        <f aca="true">RAND()</f>
        <v>0.507049740443887</v>
      </c>
      <c r="T734" s="54" t="n">
        <f aca="true">RAND()</f>
        <v>0.7999845288437</v>
      </c>
      <c r="U734" s="54" t="n">
        <f aca="true">RAND()</f>
        <v>0.412673563765733</v>
      </c>
    </row>
    <row r="735" customFormat="false" ht="15" hidden="false" customHeight="false" outlineLevel="0" collapsed="false">
      <c r="A735" s="50" t="n">
        <v>655</v>
      </c>
      <c r="B735" s="51" t="n">
        <f aca="false">1+IF($G$6=$E$6,$F$6,IF(P735&lt;($F$6-$E$6)/($G$6-$E$6),$E$6+SQRT(P735*($G$6-$E$6)*($F$6-$E$6)),$G$6-SQRT((1-P735)*($G$6-$E$6)*($G$6-$F$6))))</f>
        <v>0.99228046462666</v>
      </c>
      <c r="C735" s="51" t="n">
        <f aca="false">1+IF($G$7=$E$7,$F$7,IF(Q735&lt;($F$7-$E$7)/($G$7-$E$7),$E$7+SQRT(Q735*($G$7-$E$7)*($F$7-$E$7)),$G$7-SQRT((1-Q735)*($G$7-$E$7)*($G$7-$F$7))))</f>
        <v>1.00877218981541</v>
      </c>
      <c r="D735" s="51" t="n">
        <f aca="false">1+IF($G$8=$E$8,$F$8,IF(R735&lt;($F$8-$E$8)/($G$8-$E$8),$E$8+SQRT(R735*($G$8-$E$8)*($F$8-$E$8)),$G$8-SQRT((1-R735)*($G$8-$E$8)*($G$8-$F$8))))</f>
        <v>1.03281447258836</v>
      </c>
      <c r="E735" s="51" t="n">
        <f aca="false">1+IF($G$9=$E$9,$F$9,IF(S735&lt;($F$9-$E$9)/($G$9-$E$9),$E$9+SQRT(S735*($G$9-$E$9)*($F$9-$E$9)),$G$9-SQRT((1-S735)*($G$9-$E$9)*($G$9-$F$9))))</f>
        <v>1.13499792533508</v>
      </c>
      <c r="F735" s="51" t="n">
        <f aca="false">1+IF($G$10=$E$10,$F$10,IF(T735&lt;($F$10-$E$10)/($G$10-$E$10),$E$10+SQRT(T735*($G$10-$E$10)*($F$10-$E$10)),$G$10-SQRT((1-T735)*($G$10-$E$10)*($G$10-$F$10))))</f>
        <v>1.04783422672224</v>
      </c>
      <c r="G735" s="52" t="n">
        <f aca="false">IF($G$11=$E$11,$F$11,IF(U735&lt;($F$11-$E$11)/($G$11-$E$11),$E$11+SQRT(U735*($G$11-$E$11)*($F$11-$E$11)),$G$11-SQRT((1-U735)*($G$11-$E$11)*($G$11-$F$11))))</f>
        <v>0.0888474614890233</v>
      </c>
      <c r="H735" s="53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-2095668453.44449</v>
      </c>
      <c r="I735" s="53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-31548855.1453213</v>
      </c>
      <c r="J735" s="53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254973476.509325</v>
      </c>
      <c r="K735" s="53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593887519.500083</v>
      </c>
      <c r="L735" s="53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723989002.815028</v>
      </c>
      <c r="M735" s="53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914256219.680377</v>
      </c>
      <c r="N735" s="53" t="n">
        <f aca="false">IF(COUNT('Business Case'!B11:G11)=0,"",H735+NPV(G735,I735:M735))</f>
        <v>-337112075.141135</v>
      </c>
      <c r="P735" s="54" t="n">
        <f aca="true">RAND()</f>
        <v>0.567712276780815</v>
      </c>
      <c r="Q735" s="54" t="n">
        <f aca="true">RAND()</f>
        <v>0.70451415748836</v>
      </c>
      <c r="R735" s="54" t="n">
        <f aca="true">RAND()</f>
        <v>0.699073660427964</v>
      </c>
      <c r="S735" s="54" t="n">
        <f aca="true">RAND()</f>
        <v>0.993998340153281</v>
      </c>
      <c r="T735" s="54" t="n">
        <f aca="true">RAND()</f>
        <v>0.455053334866762</v>
      </c>
      <c r="U735" s="54" t="n">
        <f aca="true">RAND()</f>
        <v>0.0782775747997496</v>
      </c>
    </row>
    <row r="736" customFormat="false" ht="15" hidden="false" customHeight="false" outlineLevel="0" collapsed="false">
      <c r="A736" s="50" t="n">
        <v>656</v>
      </c>
      <c r="B736" s="51" t="n">
        <f aca="false">1+IF($G$6=$E$6,$F$6,IF(P736&lt;($F$6-$E$6)/($G$6-$E$6),$E$6+SQRT(P736*($G$6-$E$6)*($F$6-$E$6)),$G$6-SQRT((1-P736)*($G$6-$E$6)*($G$6-$F$6))))</f>
        <v>0.999930935387993</v>
      </c>
      <c r="C736" s="51" t="n">
        <f aca="false">1+IF($G$7=$E$7,$F$7,IF(Q736&lt;($F$7-$E$7)/($G$7-$E$7),$E$7+SQRT(Q736*($G$7-$E$7)*($F$7-$E$7)),$G$7-SQRT((1-Q736)*($G$7-$E$7)*($G$7-$F$7))))</f>
        <v>1.104741886486</v>
      </c>
      <c r="D736" s="51" t="n">
        <f aca="false">1+IF($G$8=$E$8,$F$8,IF(R736&lt;($F$8-$E$8)/($G$8-$E$8),$E$8+SQRT(R736*($G$8-$E$8)*($F$8-$E$8)),$G$8-SQRT((1-R736)*($G$8-$E$8)*($G$8-$F$8))))</f>
        <v>1.01569757675699</v>
      </c>
      <c r="E736" s="51" t="n">
        <f aca="false">1+IF($G$9=$E$9,$F$9,IF(S736&lt;($F$9-$E$9)/($G$9-$E$9),$E$9+SQRT(S736*($G$9-$E$9)*($F$9-$E$9)),$G$9-SQRT((1-S736)*($G$9-$E$9)*($G$9-$F$9))))</f>
        <v>0.99756192763495</v>
      </c>
      <c r="F736" s="51" t="n">
        <f aca="false">1+IF($G$10=$E$10,$F$10,IF(T736&lt;($F$10-$E$10)/($G$10-$E$10),$E$10+SQRT(T736*($G$10-$E$10)*($F$10-$E$10)),$G$10-SQRT((1-T736)*($G$10-$E$10)*($G$10-$F$10))))</f>
        <v>1.17901640509376</v>
      </c>
      <c r="G736" s="52" t="n">
        <f aca="false">IF($G$11=$E$11,$F$11,IF(U736&lt;($F$11-$E$11)/($G$11-$E$11),$E$11+SQRT(U736*($G$11-$E$11)*($F$11-$E$11)),$G$11-SQRT((1-U736)*($G$11-$E$11)*($G$11-$F$11))))</f>
        <v>0.101999623148405</v>
      </c>
      <c r="H736" s="53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-2358032810.18752</v>
      </c>
      <c r="I736" s="53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13362776.0142133</v>
      </c>
      <c r="J736" s="53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343746362.725071</v>
      </c>
      <c r="K736" s="53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733080769.690616</v>
      </c>
      <c r="L736" s="53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881385874.645954</v>
      </c>
      <c r="M736" s="53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1091360709.59707</v>
      </c>
      <c r="N736" s="53" t="n">
        <f aca="false">IF(COUNT('Business Case'!B11:G11)=0,"",H736+NPV(G736,I736:M736))</f>
        <v>-245903167.618287</v>
      </c>
      <c r="P736" s="54" t="n">
        <f aca="true">RAND()</f>
        <v>0.665746123167946</v>
      </c>
      <c r="Q736" s="54" t="n">
        <f aca="true">RAND()</f>
        <v>0.969654861646729</v>
      </c>
      <c r="R736" s="54" t="n">
        <f aca="true">RAND()</f>
        <v>0.526206762357135</v>
      </c>
      <c r="S736" s="54" t="n">
        <f aca="true">RAND()</f>
        <v>0.380733188953892</v>
      </c>
      <c r="T736" s="54" t="n">
        <f aca="true">RAND()</f>
        <v>0.932817723389159</v>
      </c>
      <c r="U736" s="54" t="n">
        <f aca="true">RAND()</f>
        <v>0.477319264112426</v>
      </c>
    </row>
    <row r="737" customFormat="false" ht="15" hidden="false" customHeight="false" outlineLevel="0" collapsed="false">
      <c r="A737" s="50" t="n">
        <v>657</v>
      </c>
      <c r="B737" s="51" t="n">
        <f aca="false">1+IF($G$6=$E$6,$F$6,IF(P737&lt;($F$6-$E$6)/($G$6-$E$6),$E$6+SQRT(P737*($G$6-$E$6)*($F$6-$E$6)),$G$6-SQRT((1-P737)*($G$6-$E$6)*($G$6-$F$6))))</f>
        <v>1.00768135429407</v>
      </c>
      <c r="C737" s="51" t="n">
        <f aca="false">1+IF($G$7=$E$7,$F$7,IF(Q737&lt;($F$7-$E$7)/($G$7-$E$7),$E$7+SQRT(Q737*($G$7-$E$7)*($F$7-$E$7)),$G$7-SQRT((1-Q737)*($G$7-$E$7)*($G$7-$F$7))))</f>
        <v>0.974601902774061</v>
      </c>
      <c r="D737" s="51" t="n">
        <f aca="false">1+IF($G$8=$E$8,$F$8,IF(R737&lt;($F$8-$E$8)/($G$8-$E$8),$E$8+SQRT(R737*($G$8-$E$8)*($F$8-$E$8)),$G$8-SQRT((1-R737)*($G$8-$E$8)*($G$8-$F$8))))</f>
        <v>1.01891157456321</v>
      </c>
      <c r="E737" s="51" t="n">
        <f aca="false">1+IF($G$9=$E$9,$F$9,IF(S737&lt;($F$9-$E$9)/($G$9-$E$9),$E$9+SQRT(S737*($G$9-$E$9)*($F$9-$E$9)),$G$9-SQRT((1-S737)*($G$9-$E$9)*($G$9-$F$9))))</f>
        <v>1.01749293999591</v>
      </c>
      <c r="F737" s="51" t="n">
        <f aca="false">1+IF($G$10=$E$10,$F$10,IF(T737&lt;($F$10-$E$10)/($G$10-$E$10),$E$10+SQRT(T737*($G$10-$E$10)*($F$10-$E$10)),$G$10-SQRT((1-T737)*($G$10-$E$10)*($G$10-$F$10))))</f>
        <v>1.14031533842273</v>
      </c>
      <c r="G737" s="52" t="n">
        <f aca="false">IF($G$11=$E$11,$F$11,IF(U737&lt;($F$11-$E$11)/($G$11-$E$11),$E$11+SQRT(U737*($G$11-$E$11)*($F$11-$E$11)),$G$11-SQRT((1-U737)*($G$11-$E$11)*($G$11-$F$11))))</f>
        <v>0.104118237466415</v>
      </c>
      <c r="H737" s="53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-2280630676.84547</v>
      </c>
      <c r="I737" s="53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-13583097.6048885</v>
      </c>
      <c r="J737" s="53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282464285.188286</v>
      </c>
      <c r="K737" s="53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635527434.902597</v>
      </c>
      <c r="L737" s="53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768150862.825903</v>
      </c>
      <c r="M737" s="53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954826181.283264</v>
      </c>
      <c r="N737" s="53" t="n">
        <f aca="false">IF(COUNT('Business Case'!B11:G11)=0,"",H737+NPV(G737,I737:M737))</f>
        <v>-490300501.069296</v>
      </c>
      <c r="P737" s="54" t="n">
        <f aca="true">RAND()</f>
        <v>0.761217630082134</v>
      </c>
      <c r="Q737" s="54" t="n">
        <f aca="true">RAND()</f>
        <v>0.55856448153433</v>
      </c>
      <c r="R737" s="54" t="n">
        <f aca="true">RAND()</f>
        <v>0.561644484012097</v>
      </c>
      <c r="S737" s="54" t="n">
        <f aca="true">RAND()</f>
        <v>0.53178344130858</v>
      </c>
      <c r="T737" s="54" t="n">
        <f aca="true">RAND()</f>
        <v>0.839590333529072</v>
      </c>
      <c r="U737" s="54" t="n">
        <f aca="true">RAND()</f>
        <v>0.553422912103421</v>
      </c>
    </row>
    <row r="738" customFormat="false" ht="15" hidden="false" customHeight="false" outlineLevel="0" collapsed="false">
      <c r="A738" s="50" t="n">
        <v>658</v>
      </c>
      <c r="B738" s="51" t="n">
        <f aca="false">1+IF($G$6=$E$6,$F$6,IF(P738&lt;($F$6-$E$6)/($G$6-$E$6),$E$6+SQRT(P738*($G$6-$E$6)*($F$6-$E$6)),$G$6-SQRT((1-P738)*($G$6-$E$6)*($G$6-$F$6))))</f>
        <v>0.957687340065275</v>
      </c>
      <c r="C738" s="51" t="n">
        <f aca="false">1+IF($G$7=$E$7,$F$7,IF(Q738&lt;($F$7-$E$7)/($G$7-$E$7),$E$7+SQRT(Q738*($G$7-$E$7)*($F$7-$E$7)),$G$7-SQRT((1-Q738)*($G$7-$E$7)*($G$7-$F$7))))</f>
        <v>0.94189594959263</v>
      </c>
      <c r="D738" s="51" t="n">
        <f aca="false">1+IF($G$8=$E$8,$F$8,IF(R738&lt;($F$8-$E$8)/($G$8-$E$8),$E$8+SQRT(R738*($G$8-$E$8)*($F$8-$E$8)),$G$8-SQRT((1-R738)*($G$8-$E$8)*($G$8-$F$8))))</f>
        <v>1.03965471247293</v>
      </c>
      <c r="E738" s="51" t="n">
        <f aca="false">1+IF($G$9=$E$9,$F$9,IF(S738&lt;($F$9-$E$9)/($G$9-$E$9),$E$9+SQRT(S738*($G$9-$E$9)*($F$9-$E$9)),$G$9-SQRT((1-S738)*($G$9-$E$9)*($G$9-$F$9))))</f>
        <v>0.97420106303143</v>
      </c>
      <c r="F738" s="51" t="n">
        <f aca="false">1+IF($G$10=$E$10,$F$10,IF(T738&lt;($F$10-$E$10)/($G$10-$E$10),$E$10+SQRT(T738*($G$10-$E$10)*($F$10-$E$10)),$G$10-SQRT((1-T738)*($G$10-$E$10)*($G$10-$F$10))))</f>
        <v>1.0431713974476</v>
      </c>
      <c r="G738" s="52" t="n">
        <f aca="false">IF($G$11=$E$11,$F$11,IF(U738&lt;($F$11-$E$11)/($G$11-$E$11),$E$11+SQRT(U738*($G$11-$E$11)*($F$11-$E$11)),$G$11-SQRT((1-U738)*($G$11-$E$11)*($G$11-$F$11))))</f>
        <v>0.111732796433744</v>
      </c>
      <c r="H738" s="53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-2086342794.8952</v>
      </c>
      <c r="I738" s="53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-52069076.5678199</v>
      </c>
      <c r="J738" s="53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185472226.062284</v>
      </c>
      <c r="K738" s="53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475172098.564769</v>
      </c>
      <c r="L738" s="53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585527098.301533</v>
      </c>
      <c r="M738" s="53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756987208.698548</v>
      </c>
      <c r="N738" s="53" t="n">
        <f aca="false">IF(COUNT('Business Case'!B11:G11)=0,"",H738+NPV(G738,I738:M738))</f>
        <v>-808243853.522565</v>
      </c>
      <c r="P738" s="54" t="n">
        <f aca="true">RAND()</f>
        <v>0.221855280253779</v>
      </c>
      <c r="Q738" s="54" t="n">
        <f aca="true">RAND()</f>
        <v>0.433434447624595</v>
      </c>
      <c r="R738" s="54" t="n">
        <f aca="true">RAND()</f>
        <v>0.757229751551674</v>
      </c>
      <c r="S738" s="54" t="n">
        <f aca="true">RAND()</f>
        <v>0.220231910199769</v>
      </c>
      <c r="T738" s="54" t="n">
        <f aca="true">RAND()</f>
        <v>0.429625722216274</v>
      </c>
      <c r="U738" s="54" t="n">
        <f aca="true">RAND()</f>
        <v>0.777539515912648</v>
      </c>
    </row>
    <row r="739" customFormat="false" ht="15" hidden="false" customHeight="false" outlineLevel="0" collapsed="false">
      <c r="A739" s="50" t="n">
        <v>659</v>
      </c>
      <c r="B739" s="51" t="n">
        <f aca="false">1+IF($G$6=$E$6,$F$6,IF(P739&lt;($F$6-$E$6)/($G$6-$E$6),$E$6+SQRT(P739*($G$6-$E$6)*($F$6-$E$6)),$G$6-SQRT((1-P739)*($G$6-$E$6)*($G$6-$F$6))))</f>
        <v>0.938663044452162</v>
      </c>
      <c r="C739" s="51" t="n">
        <f aca="false">1+IF($G$7=$E$7,$F$7,IF(Q739&lt;($F$7-$E$7)/($G$7-$E$7),$E$7+SQRT(Q739*($G$7-$E$7)*($F$7-$E$7)),$G$7-SQRT((1-Q739)*($G$7-$E$7)*($G$7-$F$7))))</f>
        <v>1.02022776311509</v>
      </c>
      <c r="D739" s="51" t="n">
        <f aca="false">1+IF($G$8=$E$8,$F$8,IF(R739&lt;($F$8-$E$8)/($G$8-$E$8),$E$8+SQRT(R739*($G$8-$E$8)*($F$8-$E$8)),$G$8-SQRT((1-R739)*($G$8-$E$8)*($G$8-$F$8))))</f>
        <v>1.00661192537427</v>
      </c>
      <c r="E739" s="51" t="n">
        <f aca="false">1+IF($G$9=$E$9,$F$9,IF(S739&lt;($F$9-$E$9)/($G$9-$E$9),$E$9+SQRT(S739*($G$9-$E$9)*($F$9-$E$9)),$G$9-SQRT((1-S739)*($G$9-$E$9)*($G$9-$F$9))))</f>
        <v>0.992907570535068</v>
      </c>
      <c r="F739" s="51" t="n">
        <f aca="false">1+IF($G$10=$E$10,$F$10,IF(T739&lt;($F$10-$E$10)/($G$10-$E$10),$E$10+SQRT(T739*($G$10-$E$10)*($F$10-$E$10)),$G$10-SQRT((1-T739)*($G$10-$E$10)*($G$10-$F$10))))</f>
        <v>1.01994319298206</v>
      </c>
      <c r="G739" s="52" t="n">
        <f aca="false">IF($G$11=$E$11,$F$11,IF(U739&lt;($F$11-$E$11)/($G$11-$E$11),$E$11+SQRT(U739*($G$11-$E$11)*($F$11-$E$11)),$G$11-SQRT((1-U739)*($G$11-$E$11)*($G$11-$F$11))))</f>
        <v>0.100771979357018</v>
      </c>
      <c r="H739" s="53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-2039886385.96411</v>
      </c>
      <c r="I739" s="53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-34174215.5121645</v>
      </c>
      <c r="J739" s="53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224481925.89259</v>
      </c>
      <c r="K739" s="53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534135226.946447</v>
      </c>
      <c r="L739" s="53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653450328.14045</v>
      </c>
      <c r="M739" s="53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835480458.798747</v>
      </c>
      <c r="N739" s="53" t="n">
        <f aca="false">IF(COUNT('Business Case'!B11:G11)=0,"",H739+NPV(G739,I739:M739))</f>
        <v>-523194186.552773</v>
      </c>
      <c r="P739" s="54" t="n">
        <f aca="true">RAND()</f>
        <v>0.0996554004206582</v>
      </c>
      <c r="Q739" s="54" t="n">
        <f aca="true">RAND()</f>
        <v>0.750506170872416</v>
      </c>
      <c r="R739" s="54" t="n">
        <f aca="true">RAND()</f>
        <v>0.418577834513297</v>
      </c>
      <c r="S739" s="54" t="n">
        <f aca="true">RAND()</f>
        <v>0.345272666509148</v>
      </c>
      <c r="T739" s="54" t="n">
        <f aca="true">RAND()</f>
        <v>0.294318207262783</v>
      </c>
      <c r="U739" s="54" t="n">
        <f aca="true">RAND()</f>
        <v>0.43048187286227</v>
      </c>
    </row>
    <row r="740" customFormat="false" ht="15" hidden="false" customHeight="false" outlineLevel="0" collapsed="false">
      <c r="A740" s="50" t="n">
        <v>660</v>
      </c>
      <c r="B740" s="51" t="n">
        <f aca="false">1+IF($G$6=$E$6,$F$6,IF(P740&lt;($F$6-$E$6)/($G$6-$E$6),$E$6+SQRT(P740*($G$6-$E$6)*($F$6-$E$6)),$G$6-SQRT((1-P740)*($G$6-$E$6)*($G$6-$F$6))))</f>
        <v>1.04222543026921</v>
      </c>
      <c r="C740" s="51" t="n">
        <f aca="false">1+IF($G$7=$E$7,$F$7,IF(Q740&lt;($F$7-$E$7)/($G$7-$E$7),$E$7+SQRT(Q740*($G$7-$E$7)*($F$7-$E$7)),$G$7-SQRT((1-Q740)*($G$7-$E$7)*($G$7-$F$7))))</f>
        <v>0.937175870014042</v>
      </c>
      <c r="D740" s="51" t="n">
        <f aca="false">1+IF($G$8=$E$8,$F$8,IF(R740&lt;($F$8-$E$8)/($G$8-$E$8),$E$8+SQRT(R740*($G$8-$E$8)*($F$8-$E$8)),$G$8-SQRT((1-R740)*($G$8-$E$8)*($G$8-$F$8))))</f>
        <v>1.05880183176556</v>
      </c>
      <c r="E740" s="51" t="n">
        <f aca="false">1+IF($G$9=$E$9,$F$9,IF(S740&lt;($F$9-$E$9)/($G$9-$E$9),$E$9+SQRT(S740*($G$9-$E$9)*($F$9-$E$9)),$G$9-SQRT((1-S740)*($G$9-$E$9)*($G$9-$F$9))))</f>
        <v>1.01040066303154</v>
      </c>
      <c r="F740" s="51" t="n">
        <f aca="false">1+IF($G$10=$E$10,$F$10,IF(T740&lt;($F$10-$E$10)/($G$10-$E$10),$E$10+SQRT(T740*($G$10-$E$10)*($F$10-$E$10)),$G$10-SQRT((1-T740)*($G$10-$E$10)*($G$10-$F$10))))</f>
        <v>1.08915338876669</v>
      </c>
      <c r="G740" s="52" t="n">
        <f aca="false">IF($G$11=$E$11,$F$11,IF(U740&lt;($F$11-$E$11)/($G$11-$E$11),$E$11+SQRT(U740*($G$11-$E$11)*($F$11-$E$11)),$G$11-SQRT((1-U740)*($G$11-$E$11)*($G$11-$F$11))))</f>
        <v>0.111853773584579</v>
      </c>
      <c r="H740" s="53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-2178306777.53338</v>
      </c>
      <c r="I740" s="53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-11171372.8961767</v>
      </c>
      <c r="J740" s="53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280886210.870394</v>
      </c>
      <c r="K740" s="53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627401464.075299</v>
      </c>
      <c r="L740" s="53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758510420.999485</v>
      </c>
      <c r="M740" s="53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944170780.510463</v>
      </c>
      <c r="N740" s="53" t="n">
        <f aca="false">IF(COUNT('Business Case'!B11:G11)=0,"",H740+NPV(G740,I740:M740))</f>
        <v>-452686262.022</v>
      </c>
      <c r="P740" s="54" t="n">
        <f aca="true">RAND()</f>
        <v>0.991940808733488</v>
      </c>
      <c r="Q740" s="54" t="n">
        <f aca="true">RAND()</f>
        <v>0.41668439494013</v>
      </c>
      <c r="R740" s="54" t="n">
        <f aca="true">RAND()</f>
        <v>0.886847395608453</v>
      </c>
      <c r="S740" s="54" t="n">
        <f aca="true">RAND()</f>
        <v>0.48032066981241</v>
      </c>
      <c r="T740" s="54" t="n">
        <f aca="true">RAND()</f>
        <v>0.655044902063463</v>
      </c>
      <c r="U740" s="54" t="n">
        <f aca="true">RAND()</f>
        <v>0.780476311253519</v>
      </c>
    </row>
    <row r="741" customFormat="false" ht="15" hidden="false" customHeight="false" outlineLevel="0" collapsed="false">
      <c r="A741" s="50" t="n">
        <v>661</v>
      </c>
      <c r="B741" s="51" t="n">
        <f aca="false">1+IF($G$6=$E$6,$F$6,IF(P741&lt;($F$6-$E$6)/($G$6-$E$6),$E$6+SQRT(P741*($G$6-$E$6)*($F$6-$E$6)),$G$6-SQRT((1-P741)*($G$6-$E$6)*($G$6-$F$6))))</f>
        <v>1.01332846781031</v>
      </c>
      <c r="C741" s="51" t="n">
        <f aca="false">1+IF($G$7=$E$7,$F$7,IF(Q741&lt;($F$7-$E$7)/($G$7-$E$7),$E$7+SQRT(Q741*($G$7-$E$7)*($F$7-$E$7)),$G$7-SQRT((1-Q741)*($G$7-$E$7)*($G$7-$F$7))))</f>
        <v>0.989799516789051</v>
      </c>
      <c r="D741" s="51" t="n">
        <f aca="false">1+IF($G$8=$E$8,$F$8,IF(R741&lt;($F$8-$E$8)/($G$8-$E$8),$E$8+SQRT(R741*($G$8-$E$8)*($F$8-$E$8)),$G$8-SQRT((1-R741)*($G$8-$E$8)*($G$8-$F$8))))</f>
        <v>1.00123083630148</v>
      </c>
      <c r="E741" s="51" t="n">
        <f aca="false">1+IF($G$9=$E$9,$F$9,IF(S741&lt;($F$9-$E$9)/($G$9-$E$9),$E$9+SQRT(S741*($G$9-$E$9)*($F$9-$E$9)),$G$9-SQRT((1-S741)*($G$9-$E$9)*($G$9-$F$9))))</f>
        <v>1.00482333616364</v>
      </c>
      <c r="F741" s="51" t="n">
        <f aca="false">1+IF($G$10=$E$10,$F$10,IF(T741&lt;($F$10-$E$10)/($G$10-$E$10),$E$10+SQRT(T741*($G$10-$E$10)*($F$10-$E$10)),$G$10-SQRT((1-T741)*($G$10-$E$10)*($G$10-$F$10))))</f>
        <v>1.00974947096142</v>
      </c>
      <c r="G741" s="52" t="n">
        <f aca="false">IF($G$11=$E$11,$F$11,IF(U741&lt;($F$11-$E$11)/($G$11-$E$11),$E$11+SQRT(U741*($G$11-$E$11)*($F$11-$E$11)),$G$11-SQRT((1-U741)*($G$11-$E$11)*($G$11-$F$11))))</f>
        <v>0.0893768633953775</v>
      </c>
      <c r="H741" s="53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-2019498941.92284</v>
      </c>
      <c r="I741" s="53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18344922.8301455</v>
      </c>
      <c r="J741" s="53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332545777.879393</v>
      </c>
      <c r="K741" s="53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697234106.476711</v>
      </c>
      <c r="L741" s="53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836631129.306787</v>
      </c>
      <c r="M741" s="53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1027279853.94859</v>
      </c>
      <c r="N741" s="53" t="n">
        <f aca="false">IF(COUNT('Business Case'!B11:G11)=0,"",H741+NPV(G741,I741:M741))</f>
        <v>80496416.5772951</v>
      </c>
      <c r="P741" s="54" t="n">
        <f aca="true">RAND()</f>
        <v>0.820693163581444</v>
      </c>
      <c r="Q741" s="54" t="n">
        <f aca="true">RAND()</f>
        <v>0.622101925416057</v>
      </c>
      <c r="R741" s="54" t="n">
        <f aca="true">RAND()</f>
        <v>0.349643486819707</v>
      </c>
      <c r="S741" s="54" t="n">
        <f aca="true">RAND()</f>
        <v>0.437966300729186</v>
      </c>
      <c r="T741" s="54" t="n">
        <f aca="true">RAND()</f>
        <v>0.230395777289093</v>
      </c>
      <c r="U741" s="54" t="n">
        <f aca="true">RAND()</f>
        <v>0.0879255671355706</v>
      </c>
    </row>
    <row r="742" customFormat="false" ht="15" hidden="false" customHeight="false" outlineLevel="0" collapsed="false">
      <c r="A742" s="50" t="n">
        <v>662</v>
      </c>
      <c r="B742" s="51" t="n">
        <f aca="false">1+IF($G$6=$E$6,$F$6,IF(P742&lt;($F$6-$E$6)/($G$6-$E$6),$E$6+SQRT(P742*($G$6-$E$6)*($F$6-$E$6)),$G$6-SQRT((1-P742)*($G$6-$E$6)*($G$6-$F$6))))</f>
        <v>0.979905227893163</v>
      </c>
      <c r="C742" s="51" t="n">
        <f aca="false">1+IF($G$7=$E$7,$F$7,IF(Q742&lt;($F$7-$E$7)/($G$7-$E$7),$E$7+SQRT(Q742*($G$7-$E$7)*($F$7-$E$7)),$G$7-SQRT((1-Q742)*($G$7-$E$7)*($G$7-$F$7))))</f>
        <v>0.982150972002966</v>
      </c>
      <c r="D742" s="51" t="n">
        <f aca="false">1+IF($G$8=$E$8,$F$8,IF(R742&lt;($F$8-$E$8)/($G$8-$E$8),$E$8+SQRT(R742*($G$8-$E$8)*($F$8-$E$8)),$G$8-SQRT((1-R742)*($G$8-$E$8)*($G$8-$F$8))))</f>
        <v>0.9699482776454</v>
      </c>
      <c r="E742" s="51" t="n">
        <f aca="false">1+IF($G$9=$E$9,$F$9,IF(S742&lt;($F$9-$E$9)/($G$9-$E$9),$E$9+SQRT(S742*($G$9-$E$9)*($F$9-$E$9)),$G$9-SQRT((1-S742)*($G$9-$E$9)*($G$9-$F$9))))</f>
        <v>0.991323265083833</v>
      </c>
      <c r="F742" s="51" t="n">
        <f aca="false">1+IF($G$10=$E$10,$F$10,IF(T742&lt;($F$10-$E$10)/($G$10-$E$10),$E$10+SQRT(T742*($G$10-$E$10)*($F$10-$E$10)),$G$10-SQRT((1-T742)*($G$10-$E$10)*($G$10-$F$10))))</f>
        <v>1.16547867975019</v>
      </c>
      <c r="G742" s="52" t="n">
        <f aca="false">IF($G$11=$E$11,$F$11,IF(U742&lt;($F$11-$E$11)/($G$11-$E$11),$E$11+SQRT(U742*($G$11-$E$11)*($F$11-$E$11)),$G$11-SQRT((1-U742)*($G$11-$E$11)*($G$11-$F$11))))</f>
        <v>0.0904289594337177</v>
      </c>
      <c r="H742" s="53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-2330957359.50037</v>
      </c>
      <c r="I742" s="53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-6791787.87400426</v>
      </c>
      <c r="J742" s="53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293822047.488799</v>
      </c>
      <c r="K742" s="53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652709816.839111</v>
      </c>
      <c r="L742" s="53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786175486.604624</v>
      </c>
      <c r="M742" s="53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969111305.483139</v>
      </c>
      <c r="N742" s="53" t="n">
        <f aca="false">IF(COUNT('Business Case'!B11:G11)=0,"",H742+NPV(G742,I742:M742))</f>
        <v>-401970524.080446</v>
      </c>
      <c r="P742" s="54" t="n">
        <f aca="true">RAND()</f>
        <v>0.425656362977222</v>
      </c>
      <c r="Q742" s="54" t="n">
        <f aca="true">RAND()</f>
        <v>0.589697562979396</v>
      </c>
      <c r="R742" s="54" t="n">
        <f aca="true">RAND()</f>
        <v>0.0530578374690591</v>
      </c>
      <c r="S742" s="54" t="n">
        <f aca="true">RAND()</f>
        <v>0.333597549822882</v>
      </c>
      <c r="T742" s="54" t="n">
        <f aca="true">RAND()</f>
        <v>0.904748618976379</v>
      </c>
      <c r="U742" s="54" t="n">
        <f aca="true">RAND()</f>
        <v>0.108763194870129</v>
      </c>
    </row>
    <row r="743" customFormat="false" ht="15" hidden="false" customHeight="false" outlineLevel="0" collapsed="false">
      <c r="A743" s="50" t="n">
        <v>663</v>
      </c>
      <c r="B743" s="51" t="n">
        <f aca="false">1+IF($G$6=$E$6,$F$6,IF(P743&lt;($F$6-$E$6)/($G$6-$E$6),$E$6+SQRT(P743*($G$6-$E$6)*($F$6-$E$6)),$G$6-SQRT((1-P743)*($G$6-$E$6)*($G$6-$F$6))))</f>
        <v>0.982024683462145</v>
      </c>
      <c r="C743" s="51" t="n">
        <f aca="false">1+IF($G$7=$E$7,$F$7,IF(Q743&lt;($F$7-$E$7)/($G$7-$E$7),$E$7+SQRT(Q743*($G$7-$E$7)*($F$7-$E$7)),$G$7-SQRT((1-Q743)*($G$7-$E$7)*($G$7-$F$7))))</f>
        <v>0.924358660170225</v>
      </c>
      <c r="D743" s="51" t="n">
        <f aca="false">1+IF($G$8=$E$8,$F$8,IF(R743&lt;($F$8-$E$8)/($G$8-$E$8),$E$8+SQRT(R743*($G$8-$E$8)*($F$8-$E$8)),$G$8-SQRT((1-R743)*($G$8-$E$8)*($G$8-$F$8))))</f>
        <v>1.0679740169234</v>
      </c>
      <c r="E743" s="51" t="n">
        <f aca="false">1+IF($G$9=$E$9,$F$9,IF(S743&lt;($F$9-$E$9)/($G$9-$E$9),$E$9+SQRT(S743*($G$9-$E$9)*($F$9-$E$9)),$G$9-SQRT((1-S743)*($G$9-$E$9)*($G$9-$F$9))))</f>
        <v>0.993658118561005</v>
      </c>
      <c r="F743" s="51" t="n">
        <f aca="false">1+IF($G$10=$E$10,$F$10,IF(T743&lt;($F$10-$E$10)/($G$10-$E$10),$E$10+SQRT(T743*($G$10-$E$10)*($F$10-$E$10)),$G$10-SQRT((1-T743)*($G$10-$E$10)*($G$10-$F$10))))</f>
        <v>0.968565504709131</v>
      </c>
      <c r="G743" s="52" t="n">
        <f aca="false">IF($G$11=$E$11,$F$11,IF(U743&lt;($F$11-$E$11)/($G$11-$E$11),$E$11+SQRT(U743*($G$11-$E$11)*($F$11-$E$11)),$G$11-SQRT((1-U743)*($G$11-$E$11)*($G$11-$F$11))))</f>
        <v>0.0947279796287488</v>
      </c>
      <c r="H743" s="53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-1937131009.41826</v>
      </c>
      <c r="I743" s="53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-47068074.4879358</v>
      </c>
      <c r="J743" s="53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191075984.145387</v>
      </c>
      <c r="K743" s="53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477648318.014167</v>
      </c>
      <c r="L743" s="53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588401269.685921</v>
      </c>
      <c r="M743" s="53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760945063.052814</v>
      </c>
      <c r="N743" s="53" t="n">
        <f aca="false">IF(COUNT('Business Case'!B11:G11)=0,"",H743+NPV(G743,I743:M743))</f>
        <v>-562955673.59678</v>
      </c>
      <c r="P743" s="54" t="n">
        <f aca="true">RAND()</f>
        <v>0.448536579804338</v>
      </c>
      <c r="Q743" s="54" t="n">
        <f aca="true">RAND()</f>
        <v>0.372865247358361</v>
      </c>
      <c r="R743" s="54" t="n">
        <f aca="true">RAND()</f>
        <v>0.93162242719851</v>
      </c>
      <c r="S743" s="54" t="n">
        <f aca="true">RAND()</f>
        <v>0.35087372689549</v>
      </c>
      <c r="T743" s="54" t="n">
        <f aca="true">RAND()</f>
        <v>0.0229785310069848</v>
      </c>
      <c r="U743" s="54" t="n">
        <f aca="true">RAND()</f>
        <v>0.21691338394484</v>
      </c>
    </row>
    <row r="744" customFormat="false" ht="15" hidden="false" customHeight="false" outlineLevel="0" collapsed="false">
      <c r="A744" s="50" t="n">
        <v>664</v>
      </c>
      <c r="B744" s="51" t="n">
        <f aca="false">1+IF($G$6=$E$6,$F$6,IF(P744&lt;($F$6-$E$6)/($G$6-$E$6),$E$6+SQRT(P744*($G$6-$E$6)*($F$6-$E$6)),$G$6-SQRT((1-P744)*($G$6-$E$6)*($G$6-$F$6))))</f>
        <v>1.0447624552433</v>
      </c>
      <c r="C744" s="51" t="n">
        <f aca="false">1+IF($G$7=$E$7,$F$7,IF(Q744&lt;($F$7-$E$7)/($G$7-$E$7),$E$7+SQRT(Q744*($G$7-$E$7)*($F$7-$E$7)),$G$7-SQRT((1-Q744)*($G$7-$E$7)*($G$7-$F$7))))</f>
        <v>0.892206187354947</v>
      </c>
      <c r="D744" s="51" t="n">
        <f aca="false">1+IF($G$8=$E$8,$F$8,IF(R744&lt;($F$8-$E$8)/($G$8-$E$8),$E$8+SQRT(R744*($G$8-$E$8)*($F$8-$E$8)),$G$8-SQRT((1-R744)*($G$8-$E$8)*($G$8-$F$8))))</f>
        <v>1.01263006418682</v>
      </c>
      <c r="E744" s="51" t="n">
        <f aca="false">1+IF($G$9=$E$9,$F$9,IF(S744&lt;($F$9-$E$9)/($G$9-$E$9),$E$9+SQRT(S744*($G$9-$E$9)*($F$9-$E$9)),$G$9-SQRT((1-S744)*($G$9-$E$9)*($G$9-$F$9))))</f>
        <v>0.977071068568747</v>
      </c>
      <c r="F744" s="51" t="n">
        <f aca="false">1+IF($G$10=$E$10,$F$10,IF(T744&lt;($F$10-$E$10)/($G$10-$E$10),$E$10+SQRT(T744*($G$10-$E$10)*($F$10-$E$10)),$G$10-SQRT((1-T744)*($G$10-$E$10)*($G$10-$F$10))))</f>
        <v>1.07451696131855</v>
      </c>
      <c r="G744" s="52" t="n">
        <f aca="false">IF($G$11=$E$11,$F$11,IF(U744&lt;($F$11-$E$11)/($G$11-$E$11),$E$11+SQRT(U744*($G$11-$E$11)*($F$11-$E$11)),$G$11-SQRT((1-U744)*($G$11-$E$11)*($G$11-$F$11))))</f>
        <v>0.0998043093135433</v>
      </c>
      <c r="H744" s="53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-2149033922.63709</v>
      </c>
      <c r="I744" s="53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6272316.23101683</v>
      </c>
      <c r="J744" s="53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307258154.978042</v>
      </c>
      <c r="K744" s="53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661969841.790995</v>
      </c>
      <c r="L744" s="53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794513334.995788</v>
      </c>
      <c r="M744" s="53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971695176.58594</v>
      </c>
      <c r="N744" s="53" t="n">
        <f aca="false">IF(COUNT('Business Case'!B11:G11)=0,"",H744+NPV(G744,I744:M744))</f>
        <v>-244761949.343068</v>
      </c>
      <c r="P744" s="54" t="n">
        <f aca="true">RAND()</f>
        <v>0.996342416656208</v>
      </c>
      <c r="Q744" s="54" t="n">
        <f aca="true">RAND()</f>
        <v>0.27365347005574</v>
      </c>
      <c r="R744" s="54" t="n">
        <f aca="true">RAND()</f>
        <v>0.491099621066662</v>
      </c>
      <c r="S744" s="54" t="n">
        <f aca="true">RAND()</f>
        <v>0.237597984413141</v>
      </c>
      <c r="T744" s="54" t="n">
        <f aca="true">RAND()</f>
        <v>0.589409375134983</v>
      </c>
      <c r="U744" s="54" t="n">
        <f aca="true">RAND()</f>
        <v>0.392210667386496</v>
      </c>
    </row>
    <row r="745" customFormat="false" ht="15" hidden="false" customHeight="false" outlineLevel="0" collapsed="false">
      <c r="A745" s="50" t="n">
        <v>665</v>
      </c>
      <c r="B745" s="51" t="n">
        <f aca="false">1+IF($G$6=$E$6,$F$6,IF(P745&lt;($F$6-$E$6)/($G$6-$E$6),$E$6+SQRT(P745*($G$6-$E$6)*($F$6-$E$6)),$G$6-SQRT((1-P745)*($G$6-$E$6)*($G$6-$F$6))))</f>
        <v>0.999045634338695</v>
      </c>
      <c r="C745" s="51" t="n">
        <f aca="false">1+IF($G$7=$E$7,$F$7,IF(Q745&lt;($F$7-$E$7)/($G$7-$E$7),$E$7+SQRT(Q745*($G$7-$E$7)*($F$7-$E$7)),$G$7-SQRT((1-Q745)*($G$7-$E$7)*($G$7-$F$7))))</f>
        <v>0.909685097211316</v>
      </c>
      <c r="D745" s="51" t="n">
        <f aca="false">1+IF($G$8=$E$8,$F$8,IF(R745&lt;($F$8-$E$8)/($G$8-$E$8),$E$8+SQRT(R745*($G$8-$E$8)*($F$8-$E$8)),$G$8-SQRT((1-R745)*($G$8-$E$8)*($G$8-$F$8))))</f>
        <v>1.01813351837914</v>
      </c>
      <c r="E745" s="51" t="n">
        <f aca="false">1+IF($G$9=$E$9,$F$9,IF(S745&lt;($F$9-$E$9)/($G$9-$E$9),$E$9+SQRT(S745*($G$9-$E$9)*($F$9-$E$9)),$G$9-SQRT((1-S745)*($G$9-$E$9)*($G$9-$F$9))))</f>
        <v>0.984563112643223</v>
      </c>
      <c r="F745" s="51" t="n">
        <f aca="false">1+IF($G$10=$E$10,$F$10,IF(T745&lt;($F$10-$E$10)/($G$10-$E$10),$E$10+SQRT(T745*($G$10-$E$10)*($F$10-$E$10)),$G$10-SQRT((1-T745)*($G$10-$E$10)*($G$10-$F$10))))</f>
        <v>1.02898391186852</v>
      </c>
      <c r="G745" s="52" t="n">
        <f aca="false">IF($G$11=$E$11,$F$11,IF(U745&lt;($F$11-$E$11)/($G$11-$E$11),$E$11+SQRT(U745*($G$11-$E$11)*($F$11-$E$11)),$G$11-SQRT((1-U745)*($G$11-$E$11)*($G$11-$F$11))))</f>
        <v>0.117905742493268</v>
      </c>
      <c r="H745" s="53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-2057967823.73703</v>
      </c>
      <c r="I745" s="53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-19760359.3223155</v>
      </c>
      <c r="J745" s="53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250495616.551669</v>
      </c>
      <c r="K745" s="53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572200788.019079</v>
      </c>
      <c r="L745" s="53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693694826.238128</v>
      </c>
      <c r="M745" s="53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866442747.340595</v>
      </c>
      <c r="N745" s="53" t="n">
        <f aca="false">IF(COUNT('Business Case'!B11:G11)=0,"",H745+NPV(G745,I745:M745))</f>
        <v>-525193317.019295</v>
      </c>
      <c r="P745" s="54" t="n">
        <f aca="true">RAND()</f>
        <v>0.654002512103633</v>
      </c>
      <c r="Q745" s="54" t="n">
        <f aca="true">RAND()</f>
        <v>0.325687703648288</v>
      </c>
      <c r="R745" s="54" t="n">
        <f aca="true">RAND()</f>
        <v>0.553191945801402</v>
      </c>
      <c r="S745" s="54" t="n">
        <f aca="true">RAND()</f>
        <v>0.286036800796417</v>
      </c>
      <c r="T745" s="54" t="n">
        <f aca="true">RAND()</f>
        <v>0.34869185049408</v>
      </c>
      <c r="U745" s="54" t="n">
        <f aca="true">RAND()</f>
        <v>0.902485956907238</v>
      </c>
    </row>
    <row r="746" customFormat="false" ht="15" hidden="false" customHeight="false" outlineLevel="0" collapsed="false">
      <c r="A746" s="50" t="n">
        <v>666</v>
      </c>
      <c r="B746" s="51" t="n">
        <f aca="false">1+IF($G$6=$E$6,$F$6,IF(P746&lt;($F$6-$E$6)/($G$6-$E$6),$E$6+SQRT(P746*($G$6-$E$6)*($F$6-$E$6)),$G$6-SQRT((1-P746)*($G$6-$E$6)*($G$6-$F$6))))</f>
        <v>0.923848057903392</v>
      </c>
      <c r="C746" s="51" t="n">
        <f aca="false">1+IF($G$7=$E$7,$F$7,IF(Q746&lt;($F$7-$E$7)/($G$7-$E$7),$E$7+SQRT(Q746*($G$7-$E$7)*($F$7-$E$7)),$G$7-SQRT((1-Q746)*($G$7-$E$7)*($G$7-$F$7))))</f>
        <v>0.993291509957291</v>
      </c>
      <c r="D746" s="51" t="n">
        <f aca="false">1+IF($G$8=$E$8,$F$8,IF(R746&lt;($F$8-$E$8)/($G$8-$E$8),$E$8+SQRT(R746*($G$8-$E$8)*($F$8-$E$8)),$G$8-SQRT((1-R746)*($G$8-$E$8)*($G$8-$F$8))))</f>
        <v>0.985285681326731</v>
      </c>
      <c r="E746" s="51" t="n">
        <f aca="false">1+IF($G$9=$E$9,$F$9,IF(S746&lt;($F$9-$E$9)/($G$9-$E$9),$E$9+SQRT(S746*($G$9-$E$9)*($F$9-$E$9)),$G$9-SQRT((1-S746)*($G$9-$E$9)*($G$9-$F$9))))</f>
        <v>0.950744659126811</v>
      </c>
      <c r="F746" s="51" t="n">
        <f aca="false">1+IF($G$10=$E$10,$F$10,IF(T746&lt;($F$10-$E$10)/($G$10-$E$10),$E$10+SQRT(T746*($G$10-$E$10)*($F$10-$E$10)),$G$10-SQRT((1-T746)*($G$10-$E$10)*($G$10-$F$10))))</f>
        <v>1.07800329834282</v>
      </c>
      <c r="G746" s="52" t="n">
        <f aca="false">IF($G$11=$E$11,$F$11,IF(U746&lt;($F$11-$E$11)/($G$11-$E$11),$E$11+SQRT(U746*($G$11-$E$11)*($F$11-$E$11)),$G$11-SQRT((1-U746)*($G$11-$E$11)*($G$11-$F$11))))</f>
        <v>0.0988900370898076</v>
      </c>
      <c r="H746" s="53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-2156006596.68563</v>
      </c>
      <c r="I746" s="53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-39949211.6321397</v>
      </c>
      <c r="J746" s="53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210668795.51376</v>
      </c>
      <c r="K746" s="53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515186967.576801</v>
      </c>
      <c r="L746" s="53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630440302.236052</v>
      </c>
      <c r="M746" s="53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804867296.427779</v>
      </c>
      <c r="N746" s="53" t="n">
        <f aca="false">IF(COUNT('Business Case'!B11:G11)=0,"",H746+NPV(G746,I746:M746))</f>
        <v>-695030775.601237</v>
      </c>
      <c r="P746" s="54" t="n">
        <f aca="true">RAND()</f>
        <v>0.037915324384237</v>
      </c>
      <c r="Q746" s="54" t="n">
        <f aca="true">RAND()</f>
        <v>0.637184517133539</v>
      </c>
      <c r="R746" s="54" t="n">
        <f aca="true">RAND()</f>
        <v>0.166010574225549</v>
      </c>
      <c r="S746" s="54" t="n">
        <f aca="true">RAND()</f>
        <v>0.103000817195848</v>
      </c>
      <c r="T746" s="54" t="n">
        <f aca="true">RAND()</f>
        <v>0.605561794920664</v>
      </c>
      <c r="U746" s="54" t="n">
        <f aca="true">RAND()</f>
        <v>0.356833501254306</v>
      </c>
    </row>
    <row r="747" customFormat="false" ht="15" hidden="false" customHeight="false" outlineLevel="0" collapsed="false">
      <c r="A747" s="50" t="n">
        <v>667</v>
      </c>
      <c r="B747" s="51" t="n">
        <f aca="false">1+IF($G$6=$E$6,$F$6,IF(P747&lt;($F$6-$E$6)/($G$6-$E$6),$E$6+SQRT(P747*($G$6-$E$6)*($F$6-$E$6)),$G$6-SQRT((1-P747)*($G$6-$E$6)*($G$6-$F$6))))</f>
        <v>1.0368004286133</v>
      </c>
      <c r="C747" s="51" t="n">
        <f aca="false">1+IF($G$7=$E$7,$F$7,IF(Q747&lt;($F$7-$E$7)/($G$7-$E$7),$E$7+SQRT(Q747*($G$7-$E$7)*($F$7-$E$7)),$G$7-SQRT((1-Q747)*($G$7-$E$7)*($G$7-$F$7))))</f>
        <v>0.997627353449238</v>
      </c>
      <c r="D747" s="51" t="n">
        <f aca="false">1+IF($G$8=$E$8,$F$8,IF(R747&lt;($F$8-$E$8)/($G$8-$E$8),$E$8+SQRT(R747*($G$8-$E$8)*($F$8-$E$8)),$G$8-SQRT((1-R747)*($G$8-$E$8)*($G$8-$F$8))))</f>
        <v>1.0159248309545</v>
      </c>
      <c r="E747" s="51" t="n">
        <f aca="false">1+IF($G$9=$E$9,$F$9,IF(S747&lt;($F$9-$E$9)/($G$9-$E$9),$E$9+SQRT(S747*($G$9-$E$9)*($F$9-$E$9)),$G$9-SQRT((1-S747)*($G$9-$E$9)*($G$9-$F$9))))</f>
        <v>0.96181037758153</v>
      </c>
      <c r="F747" s="51" t="n">
        <f aca="false">1+IF($G$10=$E$10,$F$10,IF(T747&lt;($F$10-$E$10)/($G$10-$E$10),$E$10+SQRT(T747*($G$10-$E$10)*($F$10-$E$10)),$G$10-SQRT((1-T747)*($G$10-$E$10)*($G$10-$F$10))))</f>
        <v>1.07776525334308</v>
      </c>
      <c r="G747" s="52" t="n">
        <f aca="false">IF($G$11=$E$11,$F$11,IF(U747&lt;($F$11-$E$11)/($G$11-$E$11),$E$11+SQRT(U747*($G$11-$E$11)*($F$11-$E$11)),$G$11-SQRT((1-U747)*($G$11-$E$11)*($G$11-$F$11))))</f>
        <v>0.105273104762258</v>
      </c>
      <c r="H747" s="53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-2155530506.68615</v>
      </c>
      <c r="I747" s="53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30194852.7944545</v>
      </c>
      <c r="J747" s="53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358555876.458417</v>
      </c>
      <c r="K747" s="53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740805162.789533</v>
      </c>
      <c r="L747" s="53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886005643.906258</v>
      </c>
      <c r="M747" s="53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1082613079.99765</v>
      </c>
      <c r="N747" s="53" t="n">
        <f aca="false">IF(COUNT('Business Case'!B11:G11)=0,"",H747+NPV(G747,I747:M747))</f>
        <v>-36033119.2662516</v>
      </c>
      <c r="P747" s="54" t="n">
        <f aca="true">RAND()</f>
        <v>0.976769508694308</v>
      </c>
      <c r="Q747" s="54" t="n">
        <f aca="true">RAND()</f>
        <v>0.656163270527388</v>
      </c>
      <c r="R747" s="54" t="n">
        <f aca="true">RAND()</f>
        <v>0.528757729998048</v>
      </c>
      <c r="S747" s="54" t="n">
        <f aca="true">RAND()</f>
        <v>0.152820911070853</v>
      </c>
      <c r="T747" s="54" t="n">
        <f aca="true">RAND()</f>
        <v>0.604469227253672</v>
      </c>
      <c r="U747" s="54" t="n">
        <f aca="true">RAND()</f>
        <v>0.592387101267819</v>
      </c>
    </row>
    <row r="748" customFormat="false" ht="15" hidden="false" customHeight="false" outlineLevel="0" collapsed="false">
      <c r="A748" s="50" t="n">
        <v>668</v>
      </c>
      <c r="B748" s="51" t="n">
        <f aca="false">1+IF($G$6=$E$6,$F$6,IF(P748&lt;($F$6-$E$6)/($G$6-$E$6),$E$6+SQRT(P748*($G$6-$E$6)*($F$6-$E$6)),$G$6-SQRT((1-P748)*($G$6-$E$6)*($G$6-$F$6))))</f>
        <v>1.01381312020983</v>
      </c>
      <c r="C748" s="51" t="n">
        <f aca="false">1+IF($G$7=$E$7,$F$7,IF(Q748&lt;($F$7-$E$7)/($G$7-$E$7),$E$7+SQRT(Q748*($G$7-$E$7)*($F$7-$E$7)),$G$7-SQRT((1-Q748)*($G$7-$E$7)*($G$7-$F$7))))</f>
        <v>0.857532307313633</v>
      </c>
      <c r="D748" s="51" t="n">
        <f aca="false">1+IF($G$8=$E$8,$F$8,IF(R748&lt;($F$8-$E$8)/($G$8-$E$8),$E$8+SQRT(R748*($G$8-$E$8)*($F$8-$E$8)),$G$8-SQRT((1-R748)*($G$8-$E$8)*($G$8-$F$8))))</f>
        <v>0.983524873419805</v>
      </c>
      <c r="E748" s="51" t="n">
        <f aca="false">1+IF($G$9=$E$9,$F$9,IF(S748&lt;($F$9-$E$9)/($G$9-$E$9),$E$9+SQRT(S748*($G$9-$E$9)*($F$9-$E$9)),$G$9-SQRT((1-S748)*($G$9-$E$9)*($G$9-$F$9))))</f>
        <v>1.05723977760369</v>
      </c>
      <c r="F748" s="51" t="n">
        <f aca="false">1+IF($G$10=$E$10,$F$10,IF(T748&lt;($F$10-$E$10)/($G$10-$E$10),$E$10+SQRT(T748*($G$10-$E$10)*($F$10-$E$10)),$G$10-SQRT((1-T748)*($G$10-$E$10)*($G$10-$F$10))))</f>
        <v>0.989024743964338</v>
      </c>
      <c r="G748" s="52" t="n">
        <f aca="false">IF($G$11=$E$11,$F$11,IF(U748&lt;($F$11-$E$11)/($G$11-$E$11),$E$11+SQRT(U748*($G$11-$E$11)*($F$11-$E$11)),$G$11-SQRT((1-U748)*($G$11-$E$11)*($G$11-$F$11))))</f>
        <v>0.0984147735120353</v>
      </c>
      <c r="H748" s="53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-1978049487.92868</v>
      </c>
      <c r="I748" s="53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-13983286.4029882</v>
      </c>
      <c r="J748" s="53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266343927.781272</v>
      </c>
      <c r="K748" s="53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596122379.16375</v>
      </c>
      <c r="L748" s="53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719610470.43555</v>
      </c>
      <c r="M748" s="53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884861746.425973</v>
      </c>
      <c r="N748" s="53" t="n">
        <f aca="false">IF(COUNT('Business Case'!B11:G11)=0,"",H748+NPV(G748,I748:M748))</f>
        <v>-272454895.203016</v>
      </c>
      <c r="P748" s="54" t="n">
        <f aca="true">RAND()</f>
        <v>0.825401297473596</v>
      </c>
      <c r="Q748" s="54" t="n">
        <f aca="true">RAND()</f>
        <v>0.183825391463384</v>
      </c>
      <c r="R748" s="54" t="n">
        <f aca="true">RAND()</f>
        <v>0.149855618375189</v>
      </c>
      <c r="S748" s="54" t="n">
        <f aca="true">RAND()</f>
        <v>0.770547763759659</v>
      </c>
      <c r="T748" s="54" t="n">
        <f aca="true">RAND()</f>
        <v>0.101528709432143</v>
      </c>
      <c r="U748" s="54" t="n">
        <f aca="true">RAND()</f>
        <v>0.339103883499558</v>
      </c>
    </row>
    <row r="749" customFormat="false" ht="15" hidden="false" customHeight="false" outlineLevel="0" collapsed="false">
      <c r="A749" s="50" t="n">
        <v>669</v>
      </c>
      <c r="B749" s="51" t="n">
        <f aca="false">1+IF($G$6=$E$6,$F$6,IF(P749&lt;($F$6-$E$6)/($G$6-$E$6),$E$6+SQRT(P749*($G$6-$E$6)*($F$6-$E$6)),$G$6-SQRT((1-P749)*($G$6-$E$6)*($G$6-$F$6))))</f>
        <v>1.02336263695489</v>
      </c>
      <c r="C749" s="51" t="n">
        <f aca="false">1+IF($G$7=$E$7,$F$7,IF(Q749&lt;($F$7-$E$7)/($G$7-$E$7),$E$7+SQRT(Q749*($G$7-$E$7)*($F$7-$E$7)),$G$7-SQRT((1-Q749)*($G$7-$E$7)*($G$7-$F$7))))</f>
        <v>0.990133933236308</v>
      </c>
      <c r="D749" s="51" t="n">
        <f aca="false">1+IF($G$8=$E$8,$F$8,IF(R749&lt;($F$8-$E$8)/($G$8-$E$8),$E$8+SQRT(R749*($G$8-$E$8)*($F$8-$E$8)),$G$8-SQRT((1-R749)*($G$8-$E$8)*($G$8-$F$8))))</f>
        <v>0.964575349367817</v>
      </c>
      <c r="E749" s="51" t="n">
        <f aca="false">1+IF($G$9=$E$9,$F$9,IF(S749&lt;($F$9-$E$9)/($G$9-$E$9),$E$9+SQRT(S749*($G$9-$E$9)*($F$9-$E$9)),$G$9-SQRT((1-S749)*($G$9-$E$9)*($G$9-$F$9))))</f>
        <v>0.912950756036636</v>
      </c>
      <c r="F749" s="51" t="n">
        <f aca="false">1+IF($G$10=$E$10,$F$10,IF(T749&lt;($F$10-$E$10)/($G$10-$E$10),$E$10+SQRT(T749*($G$10-$E$10)*($F$10-$E$10)),$G$10-SQRT((1-T749)*($G$10-$E$10)*($G$10-$F$10))))</f>
        <v>1.00169035120639</v>
      </c>
      <c r="G749" s="52" t="n">
        <f aca="false">IF($G$11=$E$11,$F$11,IF(U749&lt;($F$11-$E$11)/($G$11-$E$11),$E$11+SQRT(U749*($G$11-$E$11)*($F$11-$E$11)),$G$11-SQRT((1-U749)*($G$11-$E$11)*($G$11-$F$11))))</f>
        <v>0.112497991374405</v>
      </c>
      <c r="H749" s="53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-2003380702.41278</v>
      </c>
      <c r="I749" s="53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58505829.9815357</v>
      </c>
      <c r="J749" s="53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399530005.808935</v>
      </c>
      <c r="K749" s="53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790638699.196654</v>
      </c>
      <c r="L749" s="53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939331899.95033</v>
      </c>
      <c r="M749" s="53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1131933515.07865</v>
      </c>
      <c r="N749" s="53" t="n">
        <f aca="false">IF(COUNT('Business Case'!B11:G11)=0,"",H749+NPV(G749,I749:M749))</f>
        <v>223712326.829364</v>
      </c>
      <c r="P749" s="54" t="n">
        <f aca="true">RAND()</f>
        <v>0.905393452000379</v>
      </c>
      <c r="Q749" s="54" t="n">
        <f aca="true">RAND()</f>
        <v>0.623538512704968</v>
      </c>
      <c r="R749" s="54" t="n">
        <f aca="true">RAND()</f>
        <v>0.0283254412258555</v>
      </c>
      <c r="S749" s="54" t="n">
        <f aca="true">RAND()</f>
        <v>0.00670888327681824</v>
      </c>
      <c r="T749" s="54" t="n">
        <f aca="true">RAND()</f>
        <v>0.177897577546594</v>
      </c>
      <c r="U749" s="54" t="n">
        <f aca="true">RAND()</f>
        <v>0.795786462713062</v>
      </c>
    </row>
    <row r="750" customFormat="false" ht="15" hidden="false" customHeight="false" outlineLevel="0" collapsed="false">
      <c r="A750" s="50" t="n">
        <v>670</v>
      </c>
      <c r="B750" s="51" t="n">
        <f aca="false">1+IF($G$6=$E$6,$F$6,IF(P750&lt;($F$6-$E$6)/($G$6-$E$6),$E$6+SQRT(P750*($G$6-$E$6)*($F$6-$E$6)),$G$6-SQRT((1-P750)*($G$6-$E$6)*($G$6-$F$6))))</f>
        <v>1.03019176914872</v>
      </c>
      <c r="C750" s="51" t="n">
        <f aca="false">1+IF($G$7=$E$7,$F$7,IF(Q750&lt;($F$7-$E$7)/($G$7-$E$7),$E$7+SQRT(Q750*($G$7-$E$7)*($F$7-$E$7)),$G$7-SQRT((1-Q750)*($G$7-$E$7)*($G$7-$F$7))))</f>
        <v>1.01402005186644</v>
      </c>
      <c r="D750" s="51" t="n">
        <f aca="false">1+IF($G$8=$E$8,$F$8,IF(R750&lt;($F$8-$E$8)/($G$8-$E$8),$E$8+SQRT(R750*($G$8-$E$8)*($F$8-$E$8)),$G$8-SQRT((1-R750)*($G$8-$E$8)*($G$8-$F$8))))</f>
        <v>0.979615317869045</v>
      </c>
      <c r="E750" s="51" t="n">
        <f aca="false">1+IF($G$9=$E$9,$F$9,IF(S750&lt;($F$9-$E$9)/($G$9-$E$9),$E$9+SQRT(S750*($G$9-$E$9)*($F$9-$E$9)),$G$9-SQRT((1-S750)*($G$9-$E$9)*($G$9-$F$9))))</f>
        <v>1.05474765137346</v>
      </c>
      <c r="F750" s="51" t="n">
        <f aca="false">1+IF($G$10=$E$10,$F$10,IF(T750&lt;($F$10-$E$10)/($G$10-$E$10),$E$10+SQRT(T750*($G$10-$E$10)*($F$10-$E$10)),$G$10-SQRT((1-T750)*($G$10-$E$10)*($G$10-$F$10))))</f>
        <v>1.06013991707378</v>
      </c>
      <c r="G750" s="52" t="n">
        <f aca="false">IF($G$11=$E$11,$F$11,IF(U750&lt;($F$11-$E$11)/($G$11-$E$11),$E$11+SQRT(U750*($G$11-$E$11)*($F$11-$E$11)),$G$11-SQRT((1-U750)*($G$11-$E$11)*($G$11-$F$11))))</f>
        <v>0.0922457068171951</v>
      </c>
      <c r="H750" s="53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-2120279834.14756</v>
      </c>
      <c r="I750" s="53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36962863.235125</v>
      </c>
      <c r="J750" s="53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384078718.366742</v>
      </c>
      <c r="K750" s="53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784201569.352048</v>
      </c>
      <c r="L750" s="53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936009443.838459</v>
      </c>
      <c r="M750" s="53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1134573685.77242</v>
      </c>
      <c r="N750" s="53" t="n">
        <f aca="false">IF(COUNT('Business Case'!B11:G11)=0,"",H750+NPV(G750,I750:M750))</f>
        <v>224826473.670634</v>
      </c>
      <c r="P750" s="54" t="n">
        <f aca="true">RAND()</f>
        <v>0.947684532072314</v>
      </c>
      <c r="Q750" s="54" t="n">
        <f aca="true">RAND()</f>
        <v>0.726065980823625</v>
      </c>
      <c r="R750" s="54" t="n">
        <f aca="true">RAND()</f>
        <v>0.116942273664611</v>
      </c>
      <c r="S750" s="54" t="n">
        <f aca="true">RAND()</f>
        <v>0.75805306883009</v>
      </c>
      <c r="T750" s="54" t="n">
        <f aca="true">RAND()</f>
        <v>0.519375318816651</v>
      </c>
      <c r="U750" s="54" t="n">
        <f aca="true">RAND()</f>
        <v>0.149957335452699</v>
      </c>
    </row>
    <row r="751" customFormat="false" ht="15" hidden="false" customHeight="false" outlineLevel="0" collapsed="false">
      <c r="A751" s="50" t="n">
        <v>671</v>
      </c>
      <c r="B751" s="51" t="n">
        <f aca="false">1+IF($G$6=$E$6,$F$6,IF(P751&lt;($F$6-$E$6)/($G$6-$E$6),$E$6+SQRT(P751*($G$6-$E$6)*($F$6-$E$6)),$G$6-SQRT((1-P751)*($G$6-$E$6)*($G$6-$F$6))))</f>
        <v>1.02145650377651</v>
      </c>
      <c r="C751" s="51" t="n">
        <f aca="false">1+IF($G$7=$E$7,$F$7,IF(Q751&lt;($F$7-$E$7)/($G$7-$E$7),$E$7+SQRT(Q751*($G$7-$E$7)*($F$7-$E$7)),$G$7-SQRT((1-Q751)*($G$7-$E$7)*($G$7-$F$7))))</f>
        <v>0.994300133302527</v>
      </c>
      <c r="D751" s="51" t="n">
        <f aca="false">1+IF($G$8=$E$8,$F$8,IF(R751&lt;($F$8-$E$8)/($G$8-$E$8),$E$8+SQRT(R751*($G$8-$E$8)*($F$8-$E$8)),$G$8-SQRT((1-R751)*($G$8-$E$8)*($G$8-$F$8))))</f>
        <v>1.02985233296207</v>
      </c>
      <c r="E751" s="51" t="n">
        <f aca="false">1+IF($G$9=$E$9,$F$9,IF(S751&lt;($F$9-$E$9)/($G$9-$E$9),$E$9+SQRT(S751*($G$9-$E$9)*($F$9-$E$9)),$G$9-SQRT((1-S751)*($G$9-$E$9)*($G$9-$F$9))))</f>
        <v>1.0219768241792</v>
      </c>
      <c r="F751" s="51" t="n">
        <f aca="false">1+IF($G$10=$E$10,$F$10,IF(T751&lt;($F$10-$E$10)/($G$10-$E$10),$E$10+SQRT(T751*($G$10-$E$10)*($F$10-$E$10)),$G$10-SQRT((1-T751)*($G$10-$E$10)*($G$10-$F$10))))</f>
        <v>1.09431869549381</v>
      </c>
      <c r="G751" s="52" t="n">
        <f aca="false">IF($G$11=$E$11,$F$11,IF(U751&lt;($F$11-$E$11)/($G$11-$E$11),$E$11+SQRT(U751*($G$11-$E$11)*($F$11-$E$11)),$G$11-SQRT((1-U751)*($G$11-$E$11)*($G$11-$F$11))))</f>
        <v>0.0995525127590356</v>
      </c>
      <c r="H751" s="53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-2188637390.98761</v>
      </c>
      <c r="I751" s="53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273165.231812671</v>
      </c>
      <c r="J751" s="53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307953788.48635</v>
      </c>
      <c r="K751" s="53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670350346.515577</v>
      </c>
      <c r="L751" s="53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808010876.983799</v>
      </c>
      <c r="M751" s="53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1001062651.92569</v>
      </c>
      <c r="N751" s="53" t="n">
        <f aca="false">IF(COUNT('Business Case'!B11:G11)=0,"",H751+NPV(G751,I751:M751))</f>
        <v>-253786943.180517</v>
      </c>
      <c r="P751" s="54" t="n">
        <f aca="true">RAND()</f>
        <v>0.891369176445286</v>
      </c>
      <c r="Q751" s="54" t="n">
        <f aca="true">RAND()</f>
        <v>0.641574581199148</v>
      </c>
      <c r="R751" s="54" t="n">
        <f aca="true">RAND()</f>
        <v>0.671953653942379</v>
      </c>
      <c r="S751" s="54" t="n">
        <f aca="true">RAND()</f>
        <v>0.562935105406818</v>
      </c>
      <c r="T751" s="54" t="n">
        <f aca="true">RAND()</f>
        <v>0.676844419029992</v>
      </c>
      <c r="U751" s="54" t="n">
        <f aca="true">RAND()</f>
        <v>0.382300755192249</v>
      </c>
    </row>
    <row r="752" customFormat="false" ht="15" hidden="false" customHeight="false" outlineLevel="0" collapsed="false">
      <c r="A752" s="50" t="n">
        <v>672</v>
      </c>
      <c r="B752" s="51" t="n">
        <f aca="false">1+IF($G$6=$E$6,$F$6,IF(P752&lt;($F$6-$E$6)/($G$6-$E$6),$E$6+SQRT(P752*($G$6-$E$6)*($F$6-$E$6)),$G$6-SQRT((1-P752)*($G$6-$E$6)*($G$6-$F$6))))</f>
        <v>1.02522881152398</v>
      </c>
      <c r="C752" s="51" t="n">
        <f aca="false">1+IF($G$7=$E$7,$F$7,IF(Q752&lt;($F$7-$E$7)/($G$7-$E$7),$E$7+SQRT(Q752*($G$7-$E$7)*($F$7-$E$7)),$G$7-SQRT((1-Q752)*($G$7-$E$7)*($G$7-$F$7))))</f>
        <v>0.948562513664707</v>
      </c>
      <c r="D752" s="51" t="n">
        <f aca="false">1+IF($G$8=$E$8,$F$8,IF(R752&lt;($F$8-$E$8)/($G$8-$E$8),$E$8+SQRT(R752*($G$8-$E$8)*($F$8-$E$8)),$G$8-SQRT((1-R752)*($G$8-$E$8)*($G$8-$F$8))))</f>
        <v>1.0318794195504</v>
      </c>
      <c r="E752" s="51" t="n">
        <f aca="false">1+IF($G$9=$E$9,$F$9,IF(S752&lt;($F$9-$E$9)/($G$9-$E$9),$E$9+SQRT(S752*($G$9-$E$9)*($F$9-$E$9)),$G$9-SQRT((1-S752)*($G$9-$E$9)*($G$9-$F$9))))</f>
        <v>1.0287250583093</v>
      </c>
      <c r="F752" s="51" t="n">
        <f aca="false">1+IF($G$10=$E$10,$F$10,IF(T752&lt;($F$10-$E$10)/($G$10-$E$10),$E$10+SQRT(T752*($G$10-$E$10)*($F$10-$E$10)),$G$10-SQRT((1-T752)*($G$10-$E$10)*($G$10-$F$10))))</f>
        <v>1.15630149793584</v>
      </c>
      <c r="G752" s="52" t="n">
        <f aca="false">IF($G$11=$E$11,$F$11,IF(U752&lt;($F$11-$E$11)/($G$11-$E$11),$E$11+SQRT(U752*($G$11-$E$11)*($F$11-$E$11)),$G$11-SQRT((1-U752)*($G$11-$E$11)*($G$11-$F$11))))</f>
        <v>0.0890306761658532</v>
      </c>
      <c r="H752" s="53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-2312602995.87169</v>
      </c>
      <c r="I752" s="53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-16855018.6099874</v>
      </c>
      <c r="J752" s="53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278618885.05034</v>
      </c>
      <c r="K752" s="53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631907863.60746</v>
      </c>
      <c r="L752" s="53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764008544.284334</v>
      </c>
      <c r="M752" s="53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948860131.296544</v>
      </c>
      <c r="N752" s="53" t="n">
        <f aca="false">IF(COUNT('Business Case'!B11:G11)=0,"",H752+NPV(G752,I752:M752))</f>
        <v>-441285688.740192</v>
      </c>
      <c r="P752" s="54" t="n">
        <f aca="true">RAND()</f>
        <v>0.91818509619806</v>
      </c>
      <c r="Q752" s="54" t="n">
        <f aca="true">RAND()</f>
        <v>0.457654245920872</v>
      </c>
      <c r="R752" s="54" t="n">
        <f aca="true">RAND()</f>
        <v>0.690639101280618</v>
      </c>
      <c r="S752" s="54" t="n">
        <f aca="true">RAND()</f>
        <v>0.607797027144467</v>
      </c>
      <c r="T752" s="54" t="n">
        <f aca="true">RAND()</f>
        <v>0.882941209479109</v>
      </c>
      <c r="U752" s="54" t="n">
        <f aca="true">RAND()</f>
        <v>0.0815531120125091</v>
      </c>
    </row>
    <row r="753" customFormat="false" ht="15" hidden="false" customHeight="false" outlineLevel="0" collapsed="false">
      <c r="A753" s="50" t="n">
        <v>673</v>
      </c>
      <c r="B753" s="51" t="n">
        <f aca="false">1+IF($G$6=$E$6,$F$6,IF(P753&lt;($F$6-$E$6)/($G$6-$E$6),$E$6+SQRT(P753*($G$6-$E$6)*($F$6-$E$6)),$G$6-SQRT((1-P753)*($G$6-$E$6)*($G$6-$F$6))))</f>
        <v>0.975191680766448</v>
      </c>
      <c r="C753" s="51" t="n">
        <f aca="false">1+IF($G$7=$E$7,$F$7,IF(Q753&lt;($F$7-$E$7)/($G$7-$E$7),$E$7+SQRT(Q753*($G$7-$E$7)*($F$7-$E$7)),$G$7-SQRT((1-Q753)*($G$7-$E$7)*($G$7-$F$7))))</f>
        <v>0.872292652454296</v>
      </c>
      <c r="D753" s="51" t="n">
        <f aca="false">1+IF($G$8=$E$8,$F$8,IF(R753&lt;($F$8-$E$8)/($G$8-$E$8),$E$8+SQRT(R753*($G$8-$E$8)*($F$8-$E$8)),$G$8-SQRT((1-R753)*($G$8-$E$8)*($G$8-$F$8))))</f>
        <v>1.01729614178263</v>
      </c>
      <c r="E753" s="51" t="n">
        <f aca="false">1+IF($G$9=$E$9,$F$9,IF(S753&lt;($F$9-$E$9)/($G$9-$E$9),$E$9+SQRT(S753*($G$9-$E$9)*($F$9-$E$9)),$G$9-SQRT((1-S753)*($G$9-$E$9)*($G$9-$F$9))))</f>
        <v>0.958572441912287</v>
      </c>
      <c r="F753" s="51" t="n">
        <f aca="false">1+IF($G$10=$E$10,$F$10,IF(T753&lt;($F$10-$E$10)/($G$10-$E$10),$E$10+SQRT(T753*($G$10-$E$10)*($F$10-$E$10)),$G$10-SQRT((1-T753)*($G$10-$E$10)*($G$10-$F$10))))</f>
        <v>1.0720831354492</v>
      </c>
      <c r="G753" s="52" t="n">
        <f aca="false">IF($G$11=$E$11,$F$11,IF(U753&lt;($F$11-$E$11)/($G$11-$E$11),$E$11+SQRT(U753*($G$11-$E$11)*($F$11-$E$11)),$G$11-SQRT((1-U753)*($G$11-$E$11)*($G$11-$F$11))))</f>
        <v>0.10928015515874</v>
      </c>
      <c r="H753" s="53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-2144166270.8984</v>
      </c>
      <c r="I753" s="53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-45137010.7776995</v>
      </c>
      <c r="J753" s="53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197341120.79248</v>
      </c>
      <c r="K753" s="53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493423409.135119</v>
      </c>
      <c r="L753" s="53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603648004.700534</v>
      </c>
      <c r="M753" s="53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765340039.098318</v>
      </c>
      <c r="N753" s="53" t="n">
        <f aca="false">IF(COUNT('Business Case'!B11:G11)=0,"",H753+NPV(G753,I753:M753))</f>
        <v>-808649955.5933</v>
      </c>
      <c r="P753" s="54" t="n">
        <f aca="true">RAND()</f>
        <v>0.376919257098891</v>
      </c>
      <c r="Q753" s="54" t="n">
        <f aca="true">RAND()</f>
        <v>0.219887096961014</v>
      </c>
      <c r="R753" s="54" t="n">
        <f aca="true">RAND()</f>
        <v>0.544004789064108</v>
      </c>
      <c r="S753" s="54" t="n">
        <f aca="true">RAND()</f>
        <v>0.137229238062729</v>
      </c>
      <c r="T753" s="54" t="n">
        <f aca="true">RAND()</f>
        <v>0.577941190778829</v>
      </c>
      <c r="U753" s="54" t="n">
        <f aca="true">RAND()</f>
        <v>0.713792019836073</v>
      </c>
    </row>
    <row r="754" customFormat="false" ht="15" hidden="false" customHeight="false" outlineLevel="0" collapsed="false">
      <c r="A754" s="50" t="n">
        <v>674</v>
      </c>
      <c r="B754" s="51" t="n">
        <f aca="false">1+IF($G$6=$E$6,$F$6,IF(P754&lt;($F$6-$E$6)/($G$6-$E$6),$E$6+SQRT(P754*($G$6-$E$6)*($F$6-$E$6)),$G$6-SQRT((1-P754)*($G$6-$E$6)*($G$6-$F$6))))</f>
        <v>0.99842440988258</v>
      </c>
      <c r="C754" s="51" t="n">
        <f aca="false">1+IF($G$7=$E$7,$F$7,IF(Q754&lt;($F$7-$E$7)/($G$7-$E$7),$E$7+SQRT(Q754*($G$7-$E$7)*($F$7-$E$7)),$G$7-SQRT((1-Q754)*($G$7-$E$7)*($G$7-$F$7))))</f>
        <v>0.945066962591945</v>
      </c>
      <c r="D754" s="51" t="n">
        <f aca="false">1+IF($G$8=$E$8,$F$8,IF(R754&lt;($F$8-$E$8)/($G$8-$E$8),$E$8+SQRT(R754*($G$8-$E$8)*($F$8-$E$8)),$G$8-SQRT((1-R754)*($G$8-$E$8)*($G$8-$F$8))))</f>
        <v>1.0674576600878</v>
      </c>
      <c r="E754" s="51" t="n">
        <f aca="false">1+IF($G$9=$E$9,$F$9,IF(S754&lt;($F$9-$E$9)/($G$9-$E$9),$E$9+SQRT(S754*($G$9-$E$9)*($F$9-$E$9)),$G$9-SQRT((1-S754)*($G$9-$E$9)*($G$9-$F$9))))</f>
        <v>0.99227616602491</v>
      </c>
      <c r="F754" s="51" t="n">
        <f aca="false">1+IF($G$10=$E$10,$F$10,IF(T754&lt;($F$10-$E$10)/($G$10-$E$10),$E$10+SQRT(T754*($G$10-$E$10)*($F$10-$E$10)),$G$10-SQRT((1-T754)*($G$10-$E$10)*($G$10-$F$10))))</f>
        <v>1.00359280315348</v>
      </c>
      <c r="G754" s="52" t="n">
        <f aca="false">IF($G$11=$E$11,$F$11,IF(U754&lt;($F$11-$E$11)/($G$11-$E$11),$E$11+SQRT(U754*($G$11-$E$11)*($F$11-$E$11)),$G$11-SQRT((1-U754)*($G$11-$E$11)*($G$11-$F$11))))</f>
        <v>0.103472421849995</v>
      </c>
      <c r="H754" s="53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-2007185606.30695</v>
      </c>
      <c r="I754" s="53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-33952379.3733901</v>
      </c>
      <c r="J754" s="53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222471271.979522</v>
      </c>
      <c r="K754" s="53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529074563.490107</v>
      </c>
      <c r="L754" s="53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647159167.009219</v>
      </c>
      <c r="M754" s="53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826514458.883997</v>
      </c>
      <c r="N754" s="53" t="n">
        <f aca="false">IF(COUNT('Business Case'!B11:G11)=0,"",H754+NPV(G754,I754:M754))</f>
        <v>-519831084.819722</v>
      </c>
      <c r="P754" s="54" t="n">
        <f aca="true">RAND()</f>
        <v>0.64582429738228</v>
      </c>
      <c r="Q754" s="54" t="n">
        <f aca="true">RAND()</f>
        <v>0.444872712252163</v>
      </c>
      <c r="R754" s="54" t="n">
        <f aca="true">RAND()</f>
        <v>0.929399740869268</v>
      </c>
      <c r="S754" s="54" t="n">
        <f aca="true">RAND()</f>
        <v>0.340595632650272</v>
      </c>
      <c r="T754" s="54" t="n">
        <f aca="true">RAND()</f>
        <v>0.19044657789652</v>
      </c>
      <c r="U754" s="54" t="n">
        <f aca="true">RAND()</f>
        <v>0.530858398330258</v>
      </c>
    </row>
    <row r="755" customFormat="false" ht="15" hidden="false" customHeight="false" outlineLevel="0" collapsed="false">
      <c r="A755" s="50" t="n">
        <v>675</v>
      </c>
      <c r="B755" s="51" t="n">
        <f aca="false">1+IF($G$6=$E$6,$F$6,IF(P755&lt;($F$6-$E$6)/($G$6-$E$6),$E$6+SQRT(P755*($G$6-$E$6)*($F$6-$E$6)),$G$6-SQRT((1-P755)*($G$6-$E$6)*($G$6-$F$6))))</f>
        <v>1.00960430295629</v>
      </c>
      <c r="C755" s="51" t="n">
        <f aca="false">1+IF($G$7=$E$7,$F$7,IF(Q755&lt;($F$7-$E$7)/($G$7-$E$7),$E$7+SQRT(Q755*($G$7-$E$7)*($F$7-$E$7)),$G$7-SQRT((1-Q755)*($G$7-$E$7)*($G$7-$F$7))))</f>
        <v>0.831318535922839</v>
      </c>
      <c r="D755" s="51" t="n">
        <f aca="false">1+IF($G$8=$E$8,$F$8,IF(R755&lt;($F$8-$E$8)/($G$8-$E$8),$E$8+SQRT(R755*($G$8-$E$8)*($F$8-$E$8)),$G$8-SQRT((1-R755)*($G$8-$E$8)*($G$8-$F$8))))</f>
        <v>0.996442229282118</v>
      </c>
      <c r="E755" s="51" t="n">
        <f aca="false">1+IF($G$9=$E$9,$F$9,IF(S755&lt;($F$9-$E$9)/($G$9-$E$9),$E$9+SQRT(S755*($G$9-$E$9)*($F$9-$E$9)),$G$9-SQRT((1-S755)*($G$9-$E$9)*($G$9-$F$9))))</f>
        <v>1.02749508753328</v>
      </c>
      <c r="F755" s="51" t="n">
        <f aca="false">1+IF($G$10=$E$10,$F$10,IF(T755&lt;($F$10-$E$10)/($G$10-$E$10),$E$10+SQRT(T755*($G$10-$E$10)*($F$10-$E$10)),$G$10-SQRT((1-T755)*($G$10-$E$10)*($G$10-$F$10))))</f>
        <v>1.04871750560107</v>
      </c>
      <c r="G755" s="52" t="n">
        <f aca="false">IF($G$11=$E$11,$F$11,IF(U755&lt;($F$11-$E$11)/($G$11-$E$11),$E$11+SQRT(U755*($G$11-$E$11)*($F$11-$E$11)),$G$11-SQRT((1-U755)*($G$11-$E$11)*($G$11-$F$11))))</f>
        <v>0.115852018140911</v>
      </c>
      <c r="H755" s="53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-2097435011.20215</v>
      </c>
      <c r="I755" s="53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-31096117.871064</v>
      </c>
      <c r="J755" s="53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232298771.913594</v>
      </c>
      <c r="K755" s="53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548129536.978306</v>
      </c>
      <c r="L755" s="53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664934137.338781</v>
      </c>
      <c r="M755" s="53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824468808.049515</v>
      </c>
      <c r="N755" s="53" t="n">
        <f aca="false">IF(COUNT('Business Case'!B11:G11)=0,"",H755+NPV(G755,I755:M755))</f>
        <v>-638739061.120316</v>
      </c>
      <c r="P755" s="54" t="n">
        <f aca="true">RAND()</f>
        <v>0.782425021380407</v>
      </c>
      <c r="Q755" s="54" t="n">
        <f aca="true">RAND()</f>
        <v>0.127737465754947</v>
      </c>
      <c r="R755" s="54" t="n">
        <f aca="true">RAND()</f>
        <v>0.287584088092377</v>
      </c>
      <c r="S755" s="54" t="n">
        <f aca="true">RAND()</f>
        <v>0.599801237907262</v>
      </c>
      <c r="T755" s="54" t="n">
        <f aca="true">RAND()</f>
        <v>0.459804765980612</v>
      </c>
      <c r="U755" s="54" t="n">
        <f aca="true">RAND()</f>
        <v>0.866556406209932</v>
      </c>
    </row>
    <row r="756" customFormat="false" ht="15" hidden="false" customHeight="false" outlineLevel="0" collapsed="false">
      <c r="A756" s="50" t="n">
        <v>676</v>
      </c>
      <c r="B756" s="51" t="n">
        <f aca="false">1+IF($G$6=$E$6,$F$6,IF(P756&lt;($F$6-$E$6)/($G$6-$E$6),$E$6+SQRT(P756*($G$6-$E$6)*($F$6-$E$6)),$G$6-SQRT((1-P756)*($G$6-$E$6)*($G$6-$F$6))))</f>
        <v>0.988657458228323</v>
      </c>
      <c r="C756" s="51" t="n">
        <f aca="false">1+IF($G$7=$E$7,$F$7,IF(Q756&lt;($F$7-$E$7)/($G$7-$E$7),$E$7+SQRT(Q756*($G$7-$E$7)*($F$7-$E$7)),$G$7-SQRT((1-Q756)*($G$7-$E$7)*($G$7-$F$7))))</f>
        <v>0.984975469454457</v>
      </c>
      <c r="D756" s="51" t="n">
        <f aca="false">1+IF($G$8=$E$8,$F$8,IF(R756&lt;($F$8-$E$8)/($G$8-$E$8),$E$8+SQRT(R756*($G$8-$E$8)*($F$8-$E$8)),$G$8-SQRT((1-R756)*($G$8-$E$8)*($G$8-$F$8))))</f>
        <v>0.957591629703339</v>
      </c>
      <c r="E756" s="51" t="n">
        <f aca="false">1+IF($G$9=$E$9,$F$9,IF(S756&lt;($F$9-$E$9)/($G$9-$E$9),$E$9+SQRT(S756*($G$9-$E$9)*($F$9-$E$9)),$G$9-SQRT((1-S756)*($G$9-$E$9)*($G$9-$F$9))))</f>
        <v>1.09693412662408</v>
      </c>
      <c r="F756" s="51" t="n">
        <f aca="false">1+IF($G$10=$E$10,$F$10,IF(T756&lt;($F$10-$E$10)/($G$10-$E$10),$E$10+SQRT(T756*($G$10-$E$10)*($F$10-$E$10)),$G$10-SQRT((1-T756)*($G$10-$E$10)*($G$10-$F$10))))</f>
        <v>1.04608057654372</v>
      </c>
      <c r="G756" s="52" t="n">
        <f aca="false">IF($G$11=$E$11,$F$11,IF(U756&lt;($F$11-$E$11)/($G$11-$E$11),$E$11+SQRT(U756*($G$11-$E$11)*($F$11-$E$11)),$G$11-SQRT((1-U756)*($G$11-$E$11)*($G$11-$F$11))))</f>
        <v>0.106150807520548</v>
      </c>
      <c r="H756" s="53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-2092161153.08744</v>
      </c>
      <c r="I756" s="53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3695869.45508644</v>
      </c>
      <c r="J756" s="53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318465794.725942</v>
      </c>
      <c r="K756" s="53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685539748.823983</v>
      </c>
      <c r="L756" s="53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824117700.817903</v>
      </c>
      <c r="M756" s="53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1009218240.45456</v>
      </c>
      <c r="N756" s="53" t="n">
        <f aca="false">IF(COUNT('Business Case'!B11:G11)=0,"",H756+NPV(G756,I756:M756))</f>
        <v>-162149004.79234</v>
      </c>
      <c r="P756" s="54" t="n">
        <f aca="true">RAND()</f>
        <v>0.524009659967117</v>
      </c>
      <c r="Q756" s="54" t="n">
        <f aca="true">RAND()</f>
        <v>0.60156309770954</v>
      </c>
      <c r="R756" s="54" t="n">
        <f aca="true">RAND()</f>
        <v>0.00768437887368168</v>
      </c>
      <c r="S756" s="54" t="n">
        <f aca="true">RAND()</f>
        <v>0.924907015542681</v>
      </c>
      <c r="T756" s="54" t="n">
        <f aca="true">RAND()</f>
        <v>0.445558249830105</v>
      </c>
      <c r="U756" s="54" t="n">
        <f aca="true">RAND()</f>
        <v>0.620810678718697</v>
      </c>
    </row>
    <row r="757" customFormat="false" ht="15" hidden="false" customHeight="false" outlineLevel="0" collapsed="false">
      <c r="A757" s="50" t="n">
        <v>677</v>
      </c>
      <c r="B757" s="51" t="n">
        <f aca="false">1+IF($G$6=$E$6,$F$6,IF(P757&lt;($F$6-$E$6)/($G$6-$E$6),$E$6+SQRT(P757*($G$6-$E$6)*($F$6-$E$6)),$G$6-SQRT((1-P757)*($G$6-$E$6)*($G$6-$F$6))))</f>
        <v>0.944727413793837</v>
      </c>
      <c r="C757" s="51" t="n">
        <f aca="false">1+IF($G$7=$E$7,$F$7,IF(Q757&lt;($F$7-$E$7)/($G$7-$E$7),$E$7+SQRT(Q757*($G$7-$E$7)*($F$7-$E$7)),$G$7-SQRT((1-Q757)*($G$7-$E$7)*($G$7-$F$7))))</f>
        <v>0.841296306967643</v>
      </c>
      <c r="D757" s="51" t="n">
        <f aca="false">1+IF($G$8=$E$8,$F$8,IF(R757&lt;($F$8-$E$8)/($G$8-$E$8),$E$8+SQRT(R757*($G$8-$E$8)*($F$8-$E$8)),$G$8-SQRT((1-R757)*($G$8-$E$8)*($G$8-$F$8))))</f>
        <v>0.988782565787716</v>
      </c>
      <c r="E757" s="51" t="n">
        <f aca="false">1+IF($G$9=$E$9,$F$9,IF(S757&lt;($F$9-$E$9)/($G$9-$E$9),$E$9+SQRT(S757*($G$9-$E$9)*($F$9-$E$9)),$G$9-SQRT((1-S757)*($G$9-$E$9)*($G$9-$F$9))))</f>
        <v>0.922361907498322</v>
      </c>
      <c r="F757" s="51" t="n">
        <f aca="false">1+IF($G$10=$E$10,$F$10,IF(T757&lt;($F$10-$E$10)/($G$10-$E$10),$E$10+SQRT(T757*($G$10-$E$10)*($F$10-$E$10)),$G$10-SQRT((1-T757)*($G$10-$E$10)*($G$10-$F$10))))</f>
        <v>0.971089205699456</v>
      </c>
      <c r="G757" s="52" t="n">
        <f aca="false">IF($G$11=$E$11,$F$11,IF(U757&lt;($F$11-$E$11)/($G$11-$E$11),$E$11+SQRT(U757*($G$11-$E$11)*($F$11-$E$11)),$G$11-SQRT((1-U757)*($G$11-$E$11)*($G$11-$F$11))))</f>
        <v>0.104666741107501</v>
      </c>
      <c r="H757" s="53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-1942178411.39891</v>
      </c>
      <c r="I757" s="53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-44321422.5650033</v>
      </c>
      <c r="J757" s="53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180828146.961134</v>
      </c>
      <c r="K757" s="53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454532176.772244</v>
      </c>
      <c r="L757" s="53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557050172.130912</v>
      </c>
      <c r="M757" s="53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708124935.805668</v>
      </c>
      <c r="N757" s="53" t="n">
        <f aca="false">IF(COUNT('Business Case'!B11:G11)=0,"",H757+NPV(G757,I757:M757))</f>
        <v>-692364111.960307</v>
      </c>
      <c r="P757" s="54" t="n">
        <f aca="true">RAND()</f>
        <v>0.133369436312343</v>
      </c>
      <c r="Q757" s="54" t="n">
        <f aca="true">RAND()</f>
        <v>0.147886269353293</v>
      </c>
      <c r="R757" s="54" t="n">
        <f aca="true">RAND()</f>
        <v>0.200544987877131</v>
      </c>
      <c r="S757" s="54" t="n">
        <f aca="true">RAND()</f>
        <v>0.0200021962785398</v>
      </c>
      <c r="T757" s="54" t="n">
        <f aca="true">RAND()</f>
        <v>0.0296503064689301</v>
      </c>
      <c r="U757" s="54" t="n">
        <f aca="true">RAND()</f>
        <v>0.572150662590414</v>
      </c>
    </row>
    <row r="758" customFormat="false" ht="15" hidden="false" customHeight="false" outlineLevel="0" collapsed="false">
      <c r="A758" s="50" t="n">
        <v>678</v>
      </c>
      <c r="B758" s="51" t="n">
        <f aca="false">1+IF($G$6=$E$6,$F$6,IF(P758&lt;($F$6-$E$6)/($G$6-$E$6),$E$6+SQRT(P758*($G$6-$E$6)*($F$6-$E$6)),$G$6-SQRT((1-P758)*($G$6-$E$6)*($G$6-$F$6))))</f>
        <v>0.976298942088092</v>
      </c>
      <c r="C758" s="51" t="n">
        <f aca="false">1+IF($G$7=$E$7,$F$7,IF(Q758&lt;($F$7-$E$7)/($G$7-$E$7),$E$7+SQRT(Q758*($G$7-$E$7)*($F$7-$E$7)),$G$7-SQRT((1-Q758)*($G$7-$E$7)*($G$7-$F$7))))</f>
        <v>0.749350264571507</v>
      </c>
      <c r="D758" s="51" t="n">
        <f aca="false">1+IF($G$8=$E$8,$F$8,IF(R758&lt;($F$8-$E$8)/($G$8-$E$8),$E$8+SQRT(R758*($G$8-$E$8)*($F$8-$E$8)),$G$8-SQRT((1-R758)*($G$8-$E$8)*($G$8-$F$8))))</f>
        <v>1.01802045036382</v>
      </c>
      <c r="E758" s="51" t="n">
        <f aca="false">1+IF($G$9=$E$9,$F$9,IF(S758&lt;($F$9-$E$9)/($G$9-$E$9),$E$9+SQRT(S758*($G$9-$E$9)*($F$9-$E$9)),$G$9-SQRT((1-S758)*($G$9-$E$9)*($G$9-$F$9))))</f>
        <v>1.01488484390055</v>
      </c>
      <c r="F758" s="51" t="n">
        <f aca="false">1+IF($G$10=$E$10,$F$10,IF(T758&lt;($F$10-$E$10)/($G$10-$E$10),$E$10+SQRT(T758*($G$10-$E$10)*($F$10-$E$10)),$G$10-SQRT((1-T758)*($G$10-$E$10)*($G$10-$F$10))))</f>
        <v>1.10362987485983</v>
      </c>
      <c r="G758" s="52" t="n">
        <f aca="false">IF($G$11=$E$11,$F$11,IF(U758&lt;($F$11-$E$11)/($G$11-$E$11),$E$11+SQRT(U758*($G$11-$E$11)*($F$11-$E$11)),$G$11-SQRT((1-U758)*($G$11-$E$11)*($G$11-$F$11))))</f>
        <v>0.0997337945063665</v>
      </c>
      <c r="H758" s="53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-2207259749.71967</v>
      </c>
      <c r="I758" s="53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-83900618.0472907</v>
      </c>
      <c r="J758" s="53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124803995.08361</v>
      </c>
      <c r="K758" s="53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388690101.957502</v>
      </c>
      <c r="L758" s="53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483542052.260836</v>
      </c>
      <c r="M758" s="53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622602654.855853</v>
      </c>
      <c r="N758" s="53" t="n">
        <f aca="false">IF(COUNT('Business Case'!B11:G11)=0,"",H758+NPV(G758,I758:M758))</f>
        <v>-1170476007.59624</v>
      </c>
      <c r="P758" s="54" t="n">
        <f aca="true">RAND()</f>
        <v>0.388101904250806</v>
      </c>
      <c r="Q758" s="54" t="n">
        <f aca="true">RAND()</f>
        <v>0.0180403600983534</v>
      </c>
      <c r="R758" s="54" t="n">
        <f aca="true">RAND()</f>
        <v>0.551956896096576</v>
      </c>
      <c r="S758" s="54" t="n">
        <f aca="true">RAND()</f>
        <v>0.513170522459211</v>
      </c>
      <c r="T758" s="54" t="n">
        <f aca="true">RAND()</f>
        <v>0.714343819552698</v>
      </c>
      <c r="U758" s="54" t="n">
        <f aca="true">RAND()</f>
        <v>0.389422645619499</v>
      </c>
    </row>
    <row r="759" customFormat="false" ht="15" hidden="false" customHeight="false" outlineLevel="0" collapsed="false">
      <c r="A759" s="50" t="n">
        <v>679</v>
      </c>
      <c r="B759" s="51" t="n">
        <f aca="false">1+IF($G$6=$E$6,$F$6,IF(P759&lt;($F$6-$E$6)/($G$6-$E$6),$E$6+SQRT(P759*($G$6-$E$6)*($F$6-$E$6)),$G$6-SQRT((1-P759)*($G$6-$E$6)*($G$6-$F$6))))</f>
        <v>1.0104650421098</v>
      </c>
      <c r="C759" s="51" t="n">
        <f aca="false">1+IF($G$7=$E$7,$F$7,IF(Q759&lt;($F$7-$E$7)/($G$7-$E$7),$E$7+SQRT(Q759*($G$7-$E$7)*($F$7-$E$7)),$G$7-SQRT((1-Q759)*($G$7-$E$7)*($G$7-$F$7))))</f>
        <v>1.05427090843638</v>
      </c>
      <c r="D759" s="51" t="n">
        <f aca="false">1+IF($G$8=$E$8,$F$8,IF(R759&lt;($F$8-$E$8)/($G$8-$E$8),$E$8+SQRT(R759*($G$8-$E$8)*($F$8-$E$8)),$G$8-SQRT((1-R759)*($G$8-$E$8)*($G$8-$F$8))))</f>
        <v>1.08116937114548</v>
      </c>
      <c r="E759" s="51" t="n">
        <f aca="false">1+IF($G$9=$E$9,$F$9,IF(S759&lt;($F$9-$E$9)/($G$9-$E$9),$E$9+SQRT(S759*($G$9-$E$9)*($F$9-$E$9)),$G$9-SQRT((1-S759)*($G$9-$E$9)*($G$9-$F$9))))</f>
        <v>1.13531453761056</v>
      </c>
      <c r="F759" s="51" t="n">
        <f aca="false">1+IF($G$10=$E$10,$F$10,IF(T759&lt;($F$10-$E$10)/($G$10-$E$10),$E$10+SQRT(T759*($G$10-$E$10)*($F$10-$E$10)),$G$10-SQRT((1-T759)*($G$10-$E$10)*($G$10-$F$10))))</f>
        <v>1.08093637235179</v>
      </c>
      <c r="G759" s="52" t="n">
        <f aca="false">IF($G$11=$E$11,$F$11,IF(U759&lt;($F$11-$E$11)/($G$11-$E$11),$E$11+SQRT(U759*($G$11-$E$11)*($F$11-$E$11)),$G$11-SQRT((1-U759)*($G$11-$E$11)*($G$11-$F$11))))</f>
        <v>0.0982754205809747</v>
      </c>
      <c r="H759" s="53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-2161872744.70359</v>
      </c>
      <c r="I759" s="53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-35709789.19222</v>
      </c>
      <c r="J759" s="53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253341140.16549</v>
      </c>
      <c r="K759" s="53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596438888.140789</v>
      </c>
      <c r="L759" s="53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729606100.637712</v>
      </c>
      <c r="M759" s="53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932099065.54832</v>
      </c>
      <c r="N759" s="53" t="n">
        <f aca="false">IF(COUNT('Business Case'!B11:G11)=0,"",H759+NPV(G759,I759:M759))</f>
        <v>-449341915.74879</v>
      </c>
      <c r="P759" s="54" t="n">
        <f aca="true">RAND()</f>
        <v>0.791598280615979</v>
      </c>
      <c r="Q759" s="54" t="n">
        <f aca="true">RAND()</f>
        <v>0.864236163383758</v>
      </c>
      <c r="R759" s="54" t="n">
        <f aca="true">RAND()</f>
        <v>0.976360494462896</v>
      </c>
      <c r="S759" s="54" t="n">
        <f aca="true">RAND()</f>
        <v>0.994248991850885</v>
      </c>
      <c r="T759" s="54" t="n">
        <f aca="true">RAND()</f>
        <v>0.61889986408572</v>
      </c>
      <c r="U759" s="54" t="n">
        <f aca="true">RAND()</f>
        <v>0.333990997411514</v>
      </c>
    </row>
    <row r="760" customFormat="false" ht="15" hidden="false" customHeight="false" outlineLevel="0" collapsed="false">
      <c r="A760" s="50" t="n">
        <v>680</v>
      </c>
      <c r="B760" s="51" t="n">
        <f aca="false">1+IF($G$6=$E$6,$F$6,IF(P760&lt;($F$6-$E$6)/($G$6-$E$6),$E$6+SQRT(P760*($G$6-$E$6)*($F$6-$E$6)),$G$6-SQRT((1-P760)*($G$6-$E$6)*($G$6-$F$6))))</f>
        <v>0.923261990446003</v>
      </c>
      <c r="C760" s="51" t="n">
        <f aca="false">1+IF($G$7=$E$7,$F$7,IF(Q760&lt;($F$7-$E$7)/($G$7-$E$7),$E$7+SQRT(Q760*($G$7-$E$7)*($F$7-$E$7)),$G$7-SQRT((1-Q760)*($G$7-$E$7)*($G$7-$F$7))))</f>
        <v>0.97093708020349</v>
      </c>
      <c r="D760" s="51" t="n">
        <f aca="false">1+IF($G$8=$E$8,$F$8,IF(R760&lt;($F$8-$E$8)/($G$8-$E$8),$E$8+SQRT(R760*($G$8-$E$8)*($F$8-$E$8)),$G$8-SQRT((1-R760)*($G$8-$E$8)*($G$8-$F$8))))</f>
        <v>0.991909985845787</v>
      </c>
      <c r="E760" s="51" t="n">
        <f aca="false">1+IF($G$9=$E$9,$F$9,IF(S760&lt;($F$9-$E$9)/($G$9-$E$9),$E$9+SQRT(S760*($G$9-$E$9)*($F$9-$E$9)),$G$9-SQRT((1-S760)*($G$9-$E$9)*($G$9-$F$9))))</f>
        <v>1.13527271272112</v>
      </c>
      <c r="F760" s="51" t="n">
        <f aca="false">1+IF($G$10=$E$10,$F$10,IF(T760&lt;($F$10-$E$10)/($G$10-$E$10),$E$10+SQRT(T760*($G$10-$E$10)*($F$10-$E$10)),$G$10-SQRT((1-T760)*($G$10-$E$10)*($G$10-$F$10))))</f>
        <v>1.12488479660459</v>
      </c>
      <c r="G760" s="52" t="n">
        <f aca="false">IF($G$11=$E$11,$F$11,IF(U760&lt;($F$11-$E$11)/($G$11-$E$11),$E$11+SQRT(U760*($G$11-$E$11)*($F$11-$E$11)),$G$11-SQRT((1-U760)*($G$11-$E$11)*($G$11-$F$11))))</f>
        <v>0.103281971423409</v>
      </c>
      <c r="H760" s="53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-2249769593.20918</v>
      </c>
      <c r="I760" s="53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-79176046.1319388</v>
      </c>
      <c r="J760" s="53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162043062.12318</v>
      </c>
      <c r="K760" s="53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459506410.208529</v>
      </c>
      <c r="L760" s="53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570893376.278672</v>
      </c>
      <c r="M760" s="53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741286657.863409</v>
      </c>
      <c r="N760" s="53" t="n">
        <f aca="false">IF(COUNT('Business Case'!B11:G11)=0,"",H760+NPV(G760,I760:M760))</f>
        <v>-1007463169.70255</v>
      </c>
      <c r="P760" s="54" t="n">
        <f aca="true">RAND()</f>
        <v>0.0360746799673287</v>
      </c>
      <c r="Q760" s="54" t="n">
        <f aca="true">RAND()</f>
        <v>0.543754825401425</v>
      </c>
      <c r="R760" s="54" t="n">
        <f aca="true">RAND()</f>
        <v>0.234192921812536</v>
      </c>
      <c r="S760" s="54" t="n">
        <f aca="true">RAND()</f>
        <v>0.994216186917475</v>
      </c>
      <c r="T760" s="54" t="n">
        <f aca="true">RAND()</f>
        <v>0.791282478391003</v>
      </c>
      <c r="U760" s="54" t="n">
        <f aca="true">RAND()</f>
        <v>0.524097965986989</v>
      </c>
    </row>
    <row r="761" customFormat="false" ht="15" hidden="false" customHeight="false" outlineLevel="0" collapsed="false">
      <c r="A761" s="50" t="n">
        <v>681</v>
      </c>
      <c r="B761" s="51" t="n">
        <f aca="false">1+IF($G$6=$E$6,$F$6,IF(P761&lt;($F$6-$E$6)/($G$6-$E$6),$E$6+SQRT(P761*($G$6-$E$6)*($F$6-$E$6)),$G$6-SQRT((1-P761)*($G$6-$E$6)*($G$6-$F$6))))</f>
        <v>0.967331510420252</v>
      </c>
      <c r="C761" s="51" t="n">
        <f aca="false">1+IF($G$7=$E$7,$F$7,IF(Q761&lt;($F$7-$E$7)/($G$7-$E$7),$E$7+SQRT(Q761*($G$7-$E$7)*($F$7-$E$7)),$G$7-SQRT((1-Q761)*($G$7-$E$7)*($G$7-$F$7))))</f>
        <v>0.949923953497047</v>
      </c>
      <c r="D761" s="51" t="n">
        <f aca="false">1+IF($G$8=$E$8,$F$8,IF(R761&lt;($F$8-$E$8)/($G$8-$E$8),$E$8+SQRT(R761*($G$8-$E$8)*($F$8-$E$8)),$G$8-SQRT((1-R761)*($G$8-$E$8)*($G$8-$F$8))))</f>
        <v>0.988565932412854</v>
      </c>
      <c r="E761" s="51" t="n">
        <f aca="false">1+IF($G$9=$E$9,$F$9,IF(S761&lt;($F$9-$E$9)/($G$9-$E$9),$E$9+SQRT(S761*($G$9-$E$9)*($F$9-$E$9)),$G$9-SQRT((1-S761)*($G$9-$E$9)*($G$9-$F$9))))</f>
        <v>1.06498450423615</v>
      </c>
      <c r="F761" s="51" t="n">
        <f aca="false">1+IF($G$10=$E$10,$F$10,IF(T761&lt;($F$10-$E$10)/($G$10-$E$10),$E$10+SQRT(T761*($G$10-$E$10)*($F$10-$E$10)),$G$10-SQRT((1-T761)*($G$10-$E$10)*($G$10-$F$10))))</f>
        <v>1.10774014789122</v>
      </c>
      <c r="G761" s="52" t="n">
        <f aca="false">IF($G$11=$E$11,$F$11,IF(U761&lt;($F$11-$E$11)/($G$11-$E$11),$E$11+SQRT(U761*($G$11-$E$11)*($F$11-$E$11)),$G$11-SQRT((1-U761)*($G$11-$E$11)*($G$11-$F$11))))</f>
        <v>0.105632051151449</v>
      </c>
      <c r="H761" s="53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-2215480295.78243</v>
      </c>
      <c r="I761" s="53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-37936799.5303458</v>
      </c>
      <c r="J761" s="53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233976540.992651</v>
      </c>
      <c r="K761" s="53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561276888.910209</v>
      </c>
      <c r="L761" s="53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683671554.925768</v>
      </c>
      <c r="M761" s="53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858334427.052514</v>
      </c>
      <c r="N761" s="53" t="n">
        <f aca="false">IF(COUNT('Business Case'!B11:G11)=0,"",H761+NPV(G761,I761:M761))</f>
        <v>-666068422.434755</v>
      </c>
      <c r="P761" s="54" t="n">
        <f aca="true">RAND()</f>
        <v>0.302235486364836</v>
      </c>
      <c r="Q761" s="54" t="n">
        <f aca="true">RAND()</f>
        <v>0.462681352085884</v>
      </c>
      <c r="R761" s="54" t="n">
        <f aca="true">RAND()</f>
        <v>0.198310819049706</v>
      </c>
      <c r="S761" s="54" t="n">
        <f aca="true">RAND()</f>
        <v>0.807263079467393</v>
      </c>
      <c r="T761" s="54" t="n">
        <f aca="true">RAND()</f>
        <v>0.73016179303983</v>
      </c>
      <c r="U761" s="54" t="n">
        <f aca="true">RAND()</f>
        <v>0.60413537927626</v>
      </c>
    </row>
    <row r="762" customFormat="false" ht="15" hidden="false" customHeight="false" outlineLevel="0" collapsed="false">
      <c r="A762" s="50" t="n">
        <v>682</v>
      </c>
      <c r="B762" s="51" t="n">
        <f aca="false">1+IF($G$6=$E$6,$F$6,IF(P762&lt;($F$6-$E$6)/($G$6-$E$6),$E$6+SQRT(P762*($G$6-$E$6)*($F$6-$E$6)),$G$6-SQRT((1-P762)*($G$6-$E$6)*($G$6-$F$6))))</f>
        <v>0.999102921877963</v>
      </c>
      <c r="C762" s="51" t="n">
        <f aca="false">1+IF($G$7=$E$7,$F$7,IF(Q762&lt;($F$7-$E$7)/($G$7-$E$7),$E$7+SQRT(Q762*($G$7-$E$7)*($F$7-$E$7)),$G$7-SQRT((1-Q762)*($G$7-$E$7)*($G$7-$F$7))))</f>
        <v>0.954704120041364</v>
      </c>
      <c r="D762" s="51" t="n">
        <f aca="false">1+IF($G$8=$E$8,$F$8,IF(R762&lt;($F$8-$E$8)/($G$8-$E$8),$E$8+SQRT(R762*($G$8-$E$8)*($F$8-$E$8)),$G$8-SQRT((1-R762)*($G$8-$E$8)*($G$8-$F$8))))</f>
        <v>1.01207282845905</v>
      </c>
      <c r="E762" s="51" t="n">
        <f aca="false">1+IF($G$9=$E$9,$F$9,IF(S762&lt;($F$9-$E$9)/($G$9-$E$9),$E$9+SQRT(S762*($G$9-$E$9)*($F$9-$E$9)),$G$9-SQRT((1-S762)*($G$9-$E$9)*($G$9-$F$9))))</f>
        <v>1.03237859874751</v>
      </c>
      <c r="F762" s="51" t="n">
        <f aca="false">1+IF($G$10=$E$10,$F$10,IF(T762&lt;($F$10-$E$10)/($G$10-$E$10),$E$10+SQRT(T762*($G$10-$E$10)*($F$10-$E$10)),$G$10-SQRT((1-T762)*($G$10-$E$10)*($G$10-$F$10))))</f>
        <v>1.10848524430271</v>
      </c>
      <c r="G762" s="52" t="n">
        <f aca="false">IF($G$11=$E$11,$F$11,IF(U762&lt;($F$11-$E$11)/($G$11-$E$11),$E$11+SQRT(U762*($G$11-$E$11)*($F$11-$E$11)),$G$11-SQRT((1-U762)*($G$11-$E$11)*($G$11-$F$11))))</f>
        <v>0.119129621004016</v>
      </c>
      <c r="H762" s="53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-2216970488.60541</v>
      </c>
      <c r="I762" s="53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-20462813.4623138</v>
      </c>
      <c r="J762" s="53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266174597.764238</v>
      </c>
      <c r="K762" s="53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608236271.205925</v>
      </c>
      <c r="L762" s="53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736747050.625909</v>
      </c>
      <c r="M762" s="53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918054416.853806</v>
      </c>
      <c r="N762" s="53" t="n">
        <f aca="false">IF(COUNT('Business Case'!B11:G11)=0,"",H762+NPV(G762,I762:M762))</f>
        <v>-596158725.457728</v>
      </c>
      <c r="P762" s="54" t="n">
        <f aca="true">RAND()</f>
        <v>0.654759274983303</v>
      </c>
      <c r="Q762" s="54" t="n">
        <f aca="true">RAND()</f>
        <v>0.480549546415152</v>
      </c>
      <c r="R762" s="54" t="n">
        <f aca="true">RAND()</f>
        <v>0.484587500320546</v>
      </c>
      <c r="S762" s="54" t="n">
        <f aca="true">RAND()</f>
        <v>0.631072159130681</v>
      </c>
      <c r="T762" s="54" t="n">
        <f aca="true">RAND()</f>
        <v>0.732980985599136</v>
      </c>
      <c r="U762" s="54" t="n">
        <f aca="true">RAND()</f>
        <v>0.921223240322451</v>
      </c>
    </row>
    <row r="763" customFormat="false" ht="15" hidden="false" customHeight="false" outlineLevel="0" collapsed="false">
      <c r="A763" s="50" t="n">
        <v>683</v>
      </c>
      <c r="B763" s="51" t="n">
        <f aca="false">1+IF($G$6=$E$6,$F$6,IF(P763&lt;($F$6-$E$6)/($G$6-$E$6),$E$6+SQRT(P763*($G$6-$E$6)*($F$6-$E$6)),$G$6-SQRT((1-P763)*($G$6-$E$6)*($G$6-$F$6))))</f>
        <v>1.00278500945337</v>
      </c>
      <c r="C763" s="51" t="n">
        <f aca="false">1+IF($G$7=$E$7,$F$7,IF(Q763&lt;($F$7-$E$7)/($G$7-$E$7),$E$7+SQRT(Q763*($G$7-$E$7)*($F$7-$E$7)),$G$7-SQRT((1-Q763)*($G$7-$E$7)*($G$7-$F$7))))</f>
        <v>0.905150901806882</v>
      </c>
      <c r="D763" s="51" t="n">
        <f aca="false">1+IF($G$8=$E$8,$F$8,IF(R763&lt;($F$8-$E$8)/($G$8-$E$8),$E$8+SQRT(R763*($G$8-$E$8)*($F$8-$E$8)),$G$8-SQRT((1-R763)*($G$8-$E$8)*($G$8-$F$8))))</f>
        <v>1.0031306761901</v>
      </c>
      <c r="E763" s="51" t="n">
        <f aca="false">1+IF($G$9=$E$9,$F$9,IF(S763&lt;($F$9-$E$9)/($G$9-$E$9),$E$9+SQRT(S763*($G$9-$E$9)*($F$9-$E$9)),$G$9-SQRT((1-S763)*($G$9-$E$9)*($G$9-$F$9))))</f>
        <v>1.03185025456972</v>
      </c>
      <c r="F763" s="51" t="n">
        <f aca="false">1+IF($G$10=$E$10,$F$10,IF(T763&lt;($F$10-$E$10)/($G$10-$E$10),$E$10+SQRT(T763*($G$10-$E$10)*($F$10-$E$10)),$G$10-SQRT((1-T763)*($G$10-$E$10)*($G$10-$F$10))))</f>
        <v>0.991604354617522</v>
      </c>
      <c r="G763" s="52" t="n">
        <f aca="false">IF($G$11=$E$11,$F$11,IF(U763&lt;($F$11-$E$11)/($G$11-$E$11),$E$11+SQRT(U763*($G$11-$E$11)*($F$11-$E$11)),$G$11-SQRT((1-U763)*($G$11-$E$11)*($G$11-$F$11))))</f>
        <v>0.117877401306546</v>
      </c>
      <c r="H763" s="53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-1983208709.23504</v>
      </c>
      <c r="I763" s="53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-14310220.2048972</v>
      </c>
      <c r="J763" s="53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264322805.063379</v>
      </c>
      <c r="K763" s="53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592536048.062533</v>
      </c>
      <c r="L763" s="53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716782859.026363</v>
      </c>
      <c r="M763" s="53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889313106.33559</v>
      </c>
      <c r="N763" s="53" t="n">
        <f aca="false">IF(COUNT('Business Case'!B11:G11)=0,"",H763+NPV(G763,I763:M763))</f>
        <v>-391902698.539509</v>
      </c>
      <c r="P763" s="54" t="n">
        <f aca="true">RAND()</f>
        <v>0.702765955690897</v>
      </c>
      <c r="Q763" s="54" t="n">
        <f aca="true">RAND()</f>
        <v>0.311754759349459</v>
      </c>
      <c r="R763" s="54" t="n">
        <f aca="true">RAND()</f>
        <v>0.374422273640913</v>
      </c>
      <c r="S763" s="54" t="n">
        <f aca="true">RAND()</f>
        <v>0.627750337460278</v>
      </c>
      <c r="T763" s="54" t="n">
        <f aca="true">RAND()</f>
        <v>0.115394821542703</v>
      </c>
      <c r="U763" s="54" t="n">
        <f aca="true">RAND()</f>
        <v>0.902028400611639</v>
      </c>
    </row>
    <row r="764" customFormat="false" ht="15" hidden="false" customHeight="false" outlineLevel="0" collapsed="false">
      <c r="A764" s="50" t="n">
        <v>684</v>
      </c>
      <c r="B764" s="51" t="n">
        <f aca="false">1+IF($G$6=$E$6,$F$6,IF(P764&lt;($F$6-$E$6)/($G$6-$E$6),$E$6+SQRT(P764*($G$6-$E$6)*($F$6-$E$6)),$G$6-SQRT((1-P764)*($G$6-$E$6)*($G$6-$F$6))))</f>
        <v>0.979135630001902</v>
      </c>
      <c r="C764" s="51" t="n">
        <f aca="false">1+IF($G$7=$E$7,$F$7,IF(Q764&lt;($F$7-$E$7)/($G$7-$E$7),$E$7+SQRT(Q764*($G$7-$E$7)*($F$7-$E$7)),$G$7-SQRT((1-Q764)*($G$7-$E$7)*($G$7-$F$7))))</f>
        <v>1.00134771219173</v>
      </c>
      <c r="D764" s="51" t="n">
        <f aca="false">1+IF($G$8=$E$8,$F$8,IF(R764&lt;($F$8-$E$8)/($G$8-$E$8),$E$8+SQRT(R764*($G$8-$E$8)*($F$8-$E$8)),$G$8-SQRT((1-R764)*($G$8-$E$8)*($G$8-$F$8))))</f>
        <v>1.02065630612514</v>
      </c>
      <c r="E764" s="51" t="n">
        <f aca="false">1+IF($G$9=$E$9,$F$9,IF(S764&lt;($F$9-$E$9)/($G$9-$E$9),$E$9+SQRT(S764*($G$9-$E$9)*($F$9-$E$9)),$G$9-SQRT((1-S764)*($G$9-$E$9)*($G$9-$F$9))))</f>
        <v>1.00884357935052</v>
      </c>
      <c r="F764" s="51" t="n">
        <f aca="false">1+IF($G$10=$E$10,$F$10,IF(T764&lt;($F$10-$E$10)/($G$10-$E$10),$E$10+SQRT(T764*($G$10-$E$10)*($F$10-$E$10)),$G$10-SQRT((1-T764)*($G$10-$E$10)*($G$10-$F$10))))</f>
        <v>1.06543053724246</v>
      </c>
      <c r="G764" s="52" t="n">
        <f aca="false">IF($G$11=$E$11,$F$11,IF(U764&lt;($F$11-$E$11)/($G$11-$E$11),$E$11+SQRT(U764*($G$11-$E$11)*($F$11-$E$11)),$G$11-SQRT((1-U764)*($G$11-$E$11)*($G$11-$F$11))))</f>
        <v>0.117155109827336</v>
      </c>
      <c r="H764" s="53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-2130861074.48491</v>
      </c>
      <c r="I764" s="53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-20962537.3063549</v>
      </c>
      <c r="J764" s="53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258902334.856941</v>
      </c>
      <c r="K764" s="53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592038733.88236</v>
      </c>
      <c r="L764" s="53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719211557.111299</v>
      </c>
      <c r="M764" s="53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905576485.904425</v>
      </c>
      <c r="N764" s="53" t="n">
        <f aca="false">IF(COUNT('Business Case'!B11:G11)=0,"",H764+NPV(G764,I764:M764))</f>
        <v>-535378249.360982</v>
      </c>
      <c r="P764" s="54" t="n">
        <f aca="true">RAND()</f>
        <v>0.417496529053192</v>
      </c>
      <c r="Q764" s="54" t="n">
        <f aca="true">RAND()</f>
        <v>0.672629590064684</v>
      </c>
      <c r="R764" s="54" t="n">
        <f aca="true">RAND()</f>
        <v>0.580305216152841</v>
      </c>
      <c r="S764" s="54" t="n">
        <f aca="true">RAND()</f>
        <v>0.468663064251356</v>
      </c>
      <c r="T764" s="54" t="n">
        <f aca="true">RAND()</f>
        <v>0.545788178898561</v>
      </c>
      <c r="U764" s="54" t="n">
        <f aca="true">RAND()</f>
        <v>0.89000586430146</v>
      </c>
    </row>
    <row r="765" customFormat="false" ht="15" hidden="false" customHeight="false" outlineLevel="0" collapsed="false">
      <c r="A765" s="50" t="n">
        <v>685</v>
      </c>
      <c r="B765" s="51" t="n">
        <f aca="false">1+IF($G$6=$E$6,$F$6,IF(P765&lt;($F$6-$E$6)/($G$6-$E$6),$E$6+SQRT(P765*($G$6-$E$6)*($F$6-$E$6)),$G$6-SQRT((1-P765)*($G$6-$E$6)*($G$6-$F$6))))</f>
        <v>0.956007995292204</v>
      </c>
      <c r="C765" s="51" t="n">
        <f aca="false">1+IF($G$7=$E$7,$F$7,IF(Q765&lt;($F$7-$E$7)/($G$7-$E$7),$E$7+SQRT(Q765*($G$7-$E$7)*($F$7-$E$7)),$G$7-SQRT((1-Q765)*($G$7-$E$7)*($G$7-$F$7))))</f>
        <v>0.91949403637827</v>
      </c>
      <c r="D765" s="51" t="n">
        <f aca="false">1+IF($G$8=$E$8,$F$8,IF(R765&lt;($F$8-$E$8)/($G$8-$E$8),$E$8+SQRT(R765*($G$8-$E$8)*($F$8-$E$8)),$G$8-SQRT((1-R765)*($G$8-$E$8)*($G$8-$F$8))))</f>
        <v>1.07029771783064</v>
      </c>
      <c r="E765" s="51" t="n">
        <f aca="false">1+IF($G$9=$E$9,$F$9,IF(S765&lt;($F$9-$E$9)/($G$9-$E$9),$E$9+SQRT(S765*($G$9-$E$9)*($F$9-$E$9)),$G$9-SQRT((1-S765)*($G$9-$E$9)*($G$9-$F$9))))</f>
        <v>0.955886839881328</v>
      </c>
      <c r="F765" s="51" t="n">
        <f aca="false">1+IF($G$10=$E$10,$F$10,IF(T765&lt;($F$10-$E$10)/($G$10-$E$10),$E$10+SQRT(T765*($G$10-$E$10)*($F$10-$E$10)),$G$10-SQRT((1-T765)*($G$10-$E$10)*($G$10-$F$10))))</f>
        <v>1.10059167769583</v>
      </c>
      <c r="G765" s="52" t="n">
        <f aca="false">IF($G$11=$E$11,$F$11,IF(U765&lt;($F$11-$E$11)/($G$11-$E$11),$E$11+SQRT(U765*($G$11-$E$11)*($F$11-$E$11)),$G$11-SQRT((1-U765)*($G$11-$E$11)*($G$11-$F$11))))</f>
        <v>0.11519356632301</v>
      </c>
      <c r="H765" s="53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-2201183355.39166</v>
      </c>
      <c r="I765" s="53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-75352900.5982634</v>
      </c>
      <c r="J765" s="53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140850098.040975</v>
      </c>
      <c r="K765" s="53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412082680.565005</v>
      </c>
      <c r="L765" s="53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514530095.335947</v>
      </c>
      <c r="M765" s="53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681618712.404193</v>
      </c>
      <c r="N765" s="53" t="n">
        <f aca="false">IF(COUNT('Business Case'!B11:G11)=0,"",H765+NPV(G765,I765:M765))</f>
        <v>-1130533998.23956</v>
      </c>
      <c r="P765" s="54" t="n">
        <f aca="true">RAND()</f>
        <v>0.209126369110104</v>
      </c>
      <c r="Q765" s="54" t="n">
        <f aca="true">RAND()</f>
        <v>0.356871348189816</v>
      </c>
      <c r="R765" s="54" t="n">
        <f aca="true">RAND()</f>
        <v>0.941184962262126</v>
      </c>
      <c r="S765" s="54" t="n">
        <f aca="true">RAND()</f>
        <v>0.124933554876845</v>
      </c>
      <c r="T765" s="54" t="n">
        <f aca="true">RAND()</f>
        <v>0.702362043016701</v>
      </c>
      <c r="U765" s="54" t="n">
        <f aca="true">RAND()</f>
        <v>0.853846347845936</v>
      </c>
    </row>
    <row r="766" customFormat="false" ht="15" hidden="false" customHeight="false" outlineLevel="0" collapsed="false">
      <c r="A766" s="50" t="n">
        <v>686</v>
      </c>
      <c r="B766" s="51" t="n">
        <f aca="false">1+IF($G$6=$E$6,$F$6,IF(P766&lt;($F$6-$E$6)/($G$6-$E$6),$E$6+SQRT(P766*($G$6-$E$6)*($F$6-$E$6)),$G$6-SQRT((1-P766)*($G$6-$E$6)*($G$6-$F$6))))</f>
        <v>0.990745305820263</v>
      </c>
      <c r="C766" s="51" t="n">
        <f aca="false">1+IF($G$7=$E$7,$F$7,IF(Q766&lt;($F$7-$E$7)/($G$7-$E$7),$E$7+SQRT(Q766*($G$7-$E$7)*($F$7-$E$7)),$G$7-SQRT((1-Q766)*($G$7-$E$7)*($G$7-$F$7))))</f>
        <v>0.796061561871694</v>
      </c>
      <c r="D766" s="51" t="n">
        <f aca="false">1+IF($G$8=$E$8,$F$8,IF(R766&lt;($F$8-$E$8)/($G$8-$E$8),$E$8+SQRT(R766*($G$8-$E$8)*($F$8-$E$8)),$G$8-SQRT((1-R766)*($G$8-$E$8)*($G$8-$F$8))))</f>
        <v>1.00015704041534</v>
      </c>
      <c r="E766" s="51" t="n">
        <f aca="false">1+IF($G$9=$E$9,$F$9,IF(S766&lt;($F$9-$E$9)/($G$9-$E$9),$E$9+SQRT(S766*($G$9-$E$9)*($F$9-$E$9)),$G$9-SQRT((1-S766)*($G$9-$E$9)*($G$9-$F$9))))</f>
        <v>0.949106097700026</v>
      </c>
      <c r="F766" s="51" t="n">
        <f aca="false">1+IF($G$10=$E$10,$F$10,IF(T766&lt;($F$10-$E$10)/($G$10-$E$10),$E$10+SQRT(T766*($G$10-$E$10)*($F$10-$E$10)),$G$10-SQRT((1-T766)*($G$10-$E$10)*($G$10-$F$10))))</f>
        <v>1.10554911491713</v>
      </c>
      <c r="G766" s="52" t="n">
        <f aca="false">IF($G$11=$E$11,$F$11,IF(U766&lt;($F$11-$E$11)/($G$11-$E$11),$E$11+SQRT(U766*($G$11-$E$11)*($F$11-$E$11)),$G$11-SQRT((1-U766)*($G$11-$E$11)*($G$11-$F$11))))</f>
        <v>0.115755859400024</v>
      </c>
      <c r="H766" s="53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-2211098229.83426</v>
      </c>
      <c r="I766" s="53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-47990159.3339241</v>
      </c>
      <c r="J766" s="53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190423390.125471</v>
      </c>
      <c r="K766" s="53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484114395.330722</v>
      </c>
      <c r="L766" s="53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590842851.956295</v>
      </c>
      <c r="M766" s="53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740757856.054723</v>
      </c>
      <c r="N766" s="53" t="n">
        <f aca="false">IF(COUNT('Business Case'!B11:G11)=0,"",H766+NPV(G766,I766:M766))</f>
        <v>-942999509.377942</v>
      </c>
      <c r="P766" s="54" t="n">
        <f aca="true">RAND()</f>
        <v>0.548980701894201</v>
      </c>
      <c r="Q766" s="54" t="n">
        <f aca="true">RAND()</f>
        <v>0.068354249401699</v>
      </c>
      <c r="R766" s="54" t="n">
        <f aca="true">RAND()</f>
        <v>0.335425561425069</v>
      </c>
      <c r="S766" s="54" t="n">
        <f aca="true">RAND()</f>
        <v>0.0964563532529793</v>
      </c>
      <c r="T766" s="54" t="n">
        <f aca="true">RAND()</f>
        <v>0.721785890650332</v>
      </c>
      <c r="U766" s="54" t="n">
        <f aca="true">RAND()</f>
        <v>0.864736305712071</v>
      </c>
    </row>
    <row r="767" customFormat="false" ht="15" hidden="false" customHeight="false" outlineLevel="0" collapsed="false">
      <c r="A767" s="50" t="n">
        <v>687</v>
      </c>
      <c r="B767" s="51" t="n">
        <f aca="false">1+IF($G$6=$E$6,$F$6,IF(P767&lt;($F$6-$E$6)/($G$6-$E$6),$E$6+SQRT(P767*($G$6-$E$6)*($F$6-$E$6)),$G$6-SQRT((1-P767)*($G$6-$E$6)*($G$6-$F$6))))</f>
        <v>1.01364465041682</v>
      </c>
      <c r="C767" s="51" t="n">
        <f aca="false">1+IF($G$7=$E$7,$F$7,IF(Q767&lt;($F$7-$E$7)/($G$7-$E$7),$E$7+SQRT(Q767*($G$7-$E$7)*($F$7-$E$7)),$G$7-SQRT((1-Q767)*($G$7-$E$7)*($G$7-$F$7))))</f>
        <v>0.880910646701267</v>
      </c>
      <c r="D767" s="51" t="n">
        <f aca="false">1+IF($G$8=$E$8,$F$8,IF(R767&lt;($F$8-$E$8)/($G$8-$E$8),$E$8+SQRT(R767*($G$8-$E$8)*($F$8-$E$8)),$G$8-SQRT((1-R767)*($G$8-$E$8)*($G$8-$F$8))))</f>
        <v>1.05482111550415</v>
      </c>
      <c r="E767" s="51" t="n">
        <f aca="false">1+IF($G$9=$E$9,$F$9,IF(S767&lt;($F$9-$E$9)/($G$9-$E$9),$E$9+SQRT(S767*($G$9-$E$9)*($F$9-$E$9)),$G$9-SQRT((1-S767)*($G$9-$E$9)*($G$9-$F$9))))</f>
        <v>0.973138350810923</v>
      </c>
      <c r="F767" s="51" t="n">
        <f aca="false">1+IF($G$10=$E$10,$F$10,IF(T767&lt;($F$10-$E$10)/($G$10-$E$10),$E$10+SQRT(T767*($G$10-$E$10)*($F$10-$E$10)),$G$10-SQRT((1-T767)*($G$10-$E$10)*($G$10-$F$10))))</f>
        <v>0.992335193113744</v>
      </c>
      <c r="G767" s="52" t="n">
        <f aca="false">IF($G$11=$E$11,$F$11,IF(U767&lt;($F$11-$E$11)/($G$11-$E$11),$E$11+SQRT(U767*($G$11-$E$11)*($F$11-$E$11)),$G$11-SQRT((1-U767)*($G$11-$E$11)*($G$11-$F$11))))</f>
        <v>0.117923744705468</v>
      </c>
      <c r="H767" s="53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-1984670386.22749</v>
      </c>
      <c r="I767" s="53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-28206720.428768</v>
      </c>
      <c r="J767" s="53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227489862.036074</v>
      </c>
      <c r="K767" s="53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532803204.156603</v>
      </c>
      <c r="L767" s="53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648895071.709499</v>
      </c>
      <c r="M767" s="53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818623275.398214</v>
      </c>
      <c r="N767" s="53" t="n">
        <f aca="false">IF(COUNT('Business Case'!B11:G11)=0,"",H767+NPV(G767,I767:M767))</f>
        <v>-562223110.363821</v>
      </c>
      <c r="P767" s="54" t="n">
        <f aca="true">RAND()</f>
        <v>0.82377180755801</v>
      </c>
      <c r="Q767" s="54" t="n">
        <f aca="true">RAND()</f>
        <v>0.242434533999042</v>
      </c>
      <c r="R767" s="54" t="n">
        <f aca="true">RAND()</f>
        <v>0.863924559714049</v>
      </c>
      <c r="S767" s="54" t="n">
        <f aca="true">RAND()</f>
        <v>0.213968734373663</v>
      </c>
      <c r="T767" s="54" t="n">
        <f aca="true">RAND()</f>
        <v>0.119484571731868</v>
      </c>
      <c r="U767" s="54" t="n">
        <f aca="true">RAND()</f>
        <v>0.90277603870753</v>
      </c>
    </row>
    <row r="768" customFormat="false" ht="15" hidden="false" customHeight="false" outlineLevel="0" collapsed="false">
      <c r="A768" s="50" t="n">
        <v>688</v>
      </c>
      <c r="B768" s="51" t="n">
        <f aca="false">1+IF($G$6=$E$6,$F$6,IF(P768&lt;($F$6-$E$6)/($G$6-$E$6),$E$6+SQRT(P768*($G$6-$E$6)*($F$6-$E$6)),$G$6-SQRT((1-P768)*($G$6-$E$6)*($G$6-$F$6))))</f>
        <v>0.956932714621112</v>
      </c>
      <c r="C768" s="51" t="n">
        <f aca="false">1+IF($G$7=$E$7,$F$7,IF(Q768&lt;($F$7-$E$7)/($G$7-$E$7),$E$7+SQRT(Q768*($G$7-$E$7)*($F$7-$E$7)),$G$7-SQRT((1-Q768)*($G$7-$E$7)*($G$7-$F$7))))</f>
        <v>0.881159215413246</v>
      </c>
      <c r="D768" s="51" t="n">
        <f aca="false">1+IF($G$8=$E$8,$F$8,IF(R768&lt;($F$8-$E$8)/($G$8-$E$8),$E$8+SQRT(R768*($G$8-$E$8)*($F$8-$E$8)),$G$8-SQRT((1-R768)*($G$8-$E$8)*($G$8-$F$8))))</f>
        <v>1.05637951986336</v>
      </c>
      <c r="E768" s="51" t="n">
        <f aca="false">1+IF($G$9=$E$9,$F$9,IF(S768&lt;($F$9-$E$9)/($G$9-$E$9),$E$9+SQRT(S768*($G$9-$E$9)*($F$9-$E$9)),$G$9-SQRT((1-S768)*($G$9-$E$9)*($G$9-$F$9))))</f>
        <v>0.976942237202296</v>
      </c>
      <c r="F768" s="51" t="n">
        <f aca="false">1+IF($G$10=$E$10,$F$10,IF(T768&lt;($F$10-$E$10)/($G$10-$E$10),$E$10+SQRT(T768*($G$10-$E$10)*($F$10-$E$10)),$G$10-SQRT((1-T768)*($G$10-$E$10)*($G$10-$F$10))))</f>
        <v>0.982017160500922</v>
      </c>
      <c r="G768" s="52" t="n">
        <f aca="false">IF($G$11=$E$11,$F$11,IF(U768&lt;($F$11-$E$11)/($G$11-$E$11),$E$11+SQRT(U768*($G$11-$E$11)*($F$11-$E$11)),$G$11-SQRT((1-U768)*($G$11-$E$11)*($G$11-$F$11))))</f>
        <v>0.128291129881137</v>
      </c>
      <c r="H768" s="53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-1964034321.00184</v>
      </c>
      <c r="I768" s="53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-66700016.0208866</v>
      </c>
      <c r="J768" s="53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147434880.68666</v>
      </c>
      <c r="K768" s="53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410670635.419253</v>
      </c>
      <c r="L768" s="53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511190274.687218</v>
      </c>
      <c r="M768" s="53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671467646.697193</v>
      </c>
      <c r="N768" s="53" t="n">
        <f aca="false">IF(COUNT('Business Case'!B11:G11)=0,"",H768+NPV(G768,I768:M768))</f>
        <v>-938786329.805757</v>
      </c>
      <c r="P768" s="54" t="n">
        <f aca="true">RAND()</f>
        <v>0.216088932941928</v>
      </c>
      <c r="Q768" s="54" t="n">
        <f aca="true">RAND()</f>
        <v>0.243101195030688</v>
      </c>
      <c r="R768" s="54" t="n">
        <f aca="true">RAND()</f>
        <v>0.873150247509959</v>
      </c>
      <c r="S768" s="54" t="n">
        <f aca="true">RAND()</f>
        <v>0.236804314627773</v>
      </c>
      <c r="T768" s="54" t="n">
        <f aca="true">RAND()</f>
        <v>0.0683399044361186</v>
      </c>
      <c r="U768" s="54" t="n">
        <f aca="true">RAND()</f>
        <v>0.998053175277904</v>
      </c>
    </row>
    <row r="769" customFormat="false" ht="15" hidden="false" customHeight="false" outlineLevel="0" collapsed="false">
      <c r="A769" s="50" t="n">
        <v>689</v>
      </c>
      <c r="B769" s="51" t="n">
        <f aca="false">1+IF($G$6=$E$6,$F$6,IF(P769&lt;($F$6-$E$6)/($G$6-$E$6),$E$6+SQRT(P769*($G$6-$E$6)*($F$6-$E$6)),$G$6-SQRT((1-P769)*($G$6-$E$6)*($G$6-$F$6))))</f>
        <v>1.00553744426407</v>
      </c>
      <c r="C769" s="51" t="n">
        <f aca="false">1+IF($G$7=$E$7,$F$7,IF(Q769&lt;($F$7-$E$7)/($G$7-$E$7),$E$7+SQRT(Q769*($G$7-$E$7)*($F$7-$E$7)),$G$7-SQRT((1-Q769)*($G$7-$E$7)*($G$7-$F$7))))</f>
        <v>1.02256601117275</v>
      </c>
      <c r="D769" s="51" t="n">
        <f aca="false">1+IF($G$8=$E$8,$F$8,IF(R769&lt;($F$8-$E$8)/($G$8-$E$8),$E$8+SQRT(R769*($G$8-$E$8)*($F$8-$E$8)),$G$8-SQRT((1-R769)*($G$8-$E$8)*($G$8-$F$8))))</f>
        <v>0.989005431452781</v>
      </c>
      <c r="E769" s="51" t="n">
        <f aca="false">1+IF($G$9=$E$9,$F$9,IF(S769&lt;($F$9-$E$9)/($G$9-$E$9),$E$9+SQRT(S769*($G$9-$E$9)*($F$9-$E$9)),$G$9-SQRT((1-S769)*($G$9-$E$9)*($G$9-$F$9))))</f>
        <v>1.00469286566348</v>
      </c>
      <c r="F769" s="51" t="n">
        <f aca="false">1+IF($G$10=$E$10,$F$10,IF(T769&lt;($F$10-$E$10)/($G$10-$E$10),$E$10+SQRT(T769*($G$10-$E$10)*($F$10-$E$10)),$G$10-SQRT((1-T769)*($G$10-$E$10)*($G$10-$F$10))))</f>
        <v>1.17336422539516</v>
      </c>
      <c r="G769" s="52" t="n">
        <f aca="false">IF($G$11=$E$11,$F$11,IF(U769&lt;($F$11-$E$11)/($G$11-$E$11),$E$11+SQRT(U769*($G$11-$E$11)*($F$11-$E$11)),$G$11-SQRT((1-U769)*($G$11-$E$11)*($G$11-$F$11))))</f>
        <v>0.109012944390534</v>
      </c>
      <c r="H769" s="53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-2346728450.79032</v>
      </c>
      <c r="I769" s="53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10969350.3473156</v>
      </c>
      <c r="J769" s="53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335445809.685568</v>
      </c>
      <c r="K769" s="53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718590480.293579</v>
      </c>
      <c r="L769" s="53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862284874.04238</v>
      </c>
      <c r="M769" s="53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1057730530.87399</v>
      </c>
      <c r="N769" s="53" t="n">
        <f aca="false">IF(COUNT('Business Case'!B11:G11)=0,"",H769+NPV(G769,I769:M769))</f>
        <v>-336717179.147933</v>
      </c>
      <c r="P769" s="54" t="n">
        <f aca="true">RAND()</f>
        <v>0.736410818323874</v>
      </c>
      <c r="Q769" s="54" t="n">
        <f aca="true">RAND()</f>
        <v>0.759415977652982</v>
      </c>
      <c r="R769" s="54" t="n">
        <f aca="true">RAND()</f>
        <v>0.20285649104235</v>
      </c>
      <c r="S769" s="54" t="n">
        <f aca="true">RAND()</f>
        <v>0.436955645624213</v>
      </c>
      <c r="T769" s="54" t="n">
        <f aca="true">RAND()</f>
        <v>0.921692774009546</v>
      </c>
      <c r="U769" s="54" t="n">
        <f aca="true">RAND()</f>
        <v>0.706362331230128</v>
      </c>
    </row>
    <row r="770" customFormat="false" ht="15" hidden="false" customHeight="false" outlineLevel="0" collapsed="false">
      <c r="A770" s="50" t="n">
        <v>690</v>
      </c>
      <c r="B770" s="51" t="n">
        <f aca="false">1+IF($G$6=$E$6,$F$6,IF(P770&lt;($F$6-$E$6)/($G$6-$E$6),$E$6+SQRT(P770*($G$6-$E$6)*($F$6-$E$6)),$G$6-SQRT((1-P770)*($G$6-$E$6)*($G$6-$F$6))))</f>
        <v>0.981583751650885</v>
      </c>
      <c r="C770" s="51" t="n">
        <f aca="false">1+IF($G$7=$E$7,$F$7,IF(Q770&lt;($F$7-$E$7)/($G$7-$E$7),$E$7+SQRT(Q770*($G$7-$E$7)*($F$7-$E$7)),$G$7-SQRT((1-Q770)*($G$7-$E$7)*($G$7-$F$7))))</f>
        <v>0.744063558511233</v>
      </c>
      <c r="D770" s="51" t="n">
        <f aca="false">1+IF($G$8=$E$8,$F$8,IF(R770&lt;($F$8-$E$8)/($G$8-$E$8),$E$8+SQRT(R770*($G$8-$E$8)*($F$8-$E$8)),$G$8-SQRT((1-R770)*($G$8-$E$8)*($G$8-$F$8))))</f>
        <v>1.0547270574273</v>
      </c>
      <c r="E770" s="51" t="n">
        <f aca="false">1+IF($G$9=$E$9,$F$9,IF(S770&lt;($F$9-$E$9)/($G$9-$E$9),$E$9+SQRT(S770*($G$9-$E$9)*($F$9-$E$9)),$G$9-SQRT((1-S770)*($G$9-$E$9)*($G$9-$F$9))))</f>
        <v>0.966157446908779</v>
      </c>
      <c r="F770" s="51" t="n">
        <f aca="false">1+IF($G$10=$E$10,$F$10,IF(T770&lt;($F$10-$E$10)/($G$10-$E$10),$E$10+SQRT(T770*($G$10-$E$10)*($F$10-$E$10)),$G$10-SQRT((1-T770)*($G$10-$E$10)*($G$10-$F$10))))</f>
        <v>1.02842522517575</v>
      </c>
      <c r="G770" s="52" t="n">
        <f aca="false">IF($G$11=$E$11,$F$11,IF(U770&lt;($F$11-$E$11)/($G$11-$E$11),$E$11+SQRT(U770*($G$11-$E$11)*($F$11-$E$11)),$G$11-SQRT((1-U770)*($G$11-$E$11)*($G$11-$F$11))))</f>
        <v>0.101702921522961</v>
      </c>
      <c r="H770" s="53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-2056850450.35151</v>
      </c>
      <c r="I770" s="53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-81620620.1738474</v>
      </c>
      <c r="J770" s="53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114850769.768401</v>
      </c>
      <c r="K770" s="53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362743420.969437</v>
      </c>
      <c r="L770" s="53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453475150.048914</v>
      </c>
      <c r="M770" s="53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592302111.758584</v>
      </c>
      <c r="N770" s="53" t="n">
        <f aca="false">IF(COUNT('Business Case'!B11:G11)=0,"",H770+NPV(G770,I770:M770))</f>
        <v>-1092280401.06541</v>
      </c>
      <c r="P770" s="54" t="n">
        <f aca="true">RAND()</f>
        <v>0.443727235562219</v>
      </c>
      <c r="Q770" s="54" t="n">
        <f aca="true">RAND()</f>
        <v>0.0143822013975768</v>
      </c>
      <c r="R770" s="54" t="n">
        <f aca="true">RAND()</f>
        <v>0.863357378053946</v>
      </c>
      <c r="S770" s="54" t="n">
        <f aca="true">RAND()</f>
        <v>0.175072311259517</v>
      </c>
      <c r="T770" s="54" t="n">
        <f aca="true">RAND()</f>
        <v>0.345394922154466</v>
      </c>
      <c r="U770" s="54" t="n">
        <f aca="true">RAND()</f>
        <v>0.466183566442861</v>
      </c>
    </row>
    <row r="771" customFormat="false" ht="15" hidden="false" customHeight="false" outlineLevel="0" collapsed="false">
      <c r="A771" s="50" t="n">
        <v>691</v>
      </c>
      <c r="B771" s="51" t="n">
        <f aca="false">1+IF($G$6=$E$6,$F$6,IF(P771&lt;($F$6-$E$6)/($G$6-$E$6),$E$6+SQRT(P771*($G$6-$E$6)*($F$6-$E$6)),$G$6-SQRT((1-P771)*($G$6-$E$6)*($G$6-$F$6))))</f>
        <v>0.969690509996642</v>
      </c>
      <c r="C771" s="51" t="n">
        <f aca="false">1+IF($G$7=$E$7,$F$7,IF(Q771&lt;($F$7-$E$7)/($G$7-$E$7),$E$7+SQRT(Q771*($G$7-$E$7)*($F$7-$E$7)),$G$7-SQRT((1-Q771)*($G$7-$E$7)*($G$7-$F$7))))</f>
        <v>1.10626665817266</v>
      </c>
      <c r="D771" s="51" t="n">
        <f aca="false">1+IF($G$8=$E$8,$F$8,IF(R771&lt;($F$8-$E$8)/($G$8-$E$8),$E$8+SQRT(R771*($G$8-$E$8)*($F$8-$E$8)),$G$8-SQRT((1-R771)*($G$8-$E$8)*($G$8-$F$8))))</f>
        <v>0.96226293472956</v>
      </c>
      <c r="E771" s="51" t="n">
        <f aca="false">1+IF($G$9=$E$9,$F$9,IF(S771&lt;($F$9-$E$9)/($G$9-$E$9),$E$9+SQRT(S771*($G$9-$E$9)*($F$9-$E$9)),$G$9-SQRT((1-S771)*($G$9-$E$9)*($G$9-$F$9))))</f>
        <v>1.02445345661254</v>
      </c>
      <c r="F771" s="51" t="n">
        <f aca="false">1+IF($G$10=$E$10,$F$10,IF(T771&lt;($F$10-$E$10)/($G$10-$E$10),$E$10+SQRT(T771*($G$10-$E$10)*($F$10-$E$10)),$G$10-SQRT((1-T771)*($G$10-$E$10)*($G$10-$F$10))))</f>
        <v>1.11600309477693</v>
      </c>
      <c r="G771" s="52" t="n">
        <f aca="false">IF($G$11=$E$11,$F$11,IF(U771&lt;($F$11-$E$11)/($G$11-$E$11),$E$11+SQRT(U771*($G$11-$E$11)*($F$11-$E$11)),$G$11-SQRT((1-U771)*($G$11-$E$11)*($G$11-$F$11))))</f>
        <v>0.121887108612654</v>
      </c>
      <c r="H771" s="53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-2232006189.55386</v>
      </c>
      <c r="I771" s="53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20811238.7307005</v>
      </c>
      <c r="J771" s="53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354510717.222302</v>
      </c>
      <c r="K771" s="53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744010350.452751</v>
      </c>
      <c r="L771" s="53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892317275.785222</v>
      </c>
      <c r="M771" s="53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1096222987.87921</v>
      </c>
      <c r="N771" s="53" t="n">
        <f aca="false">IF(COUNT('Business Case'!B11:G11)=0,"",H771+NPV(G771,I771:M771))</f>
        <v>-224797882.972796</v>
      </c>
      <c r="P771" s="54" t="n">
        <f aca="true">RAND()</f>
        <v>0.32378447890614</v>
      </c>
      <c r="Q771" s="54" t="n">
        <f aca="true">RAND()</f>
        <v>0.97166510833501</v>
      </c>
      <c r="R771" s="54" t="n">
        <f aca="true">RAND()</f>
        <v>0.0200506090908594</v>
      </c>
      <c r="S771" s="54" t="n">
        <f aca="true">RAND()</f>
        <v>0.579681745158947</v>
      </c>
      <c r="T771" s="54" t="n">
        <f aca="true">RAND()</f>
        <v>0.760597725208533</v>
      </c>
      <c r="U771" s="54" t="n">
        <f aca="true">RAND()</f>
        <v>0.956120662224753</v>
      </c>
    </row>
    <row r="772" customFormat="false" ht="15" hidden="false" customHeight="false" outlineLevel="0" collapsed="false">
      <c r="A772" s="50" t="n">
        <v>692</v>
      </c>
      <c r="B772" s="51" t="n">
        <f aca="false">1+IF($G$6=$E$6,$F$6,IF(P772&lt;($F$6-$E$6)/($G$6-$E$6),$E$6+SQRT(P772*($G$6-$E$6)*($F$6-$E$6)),$G$6-SQRT((1-P772)*($G$6-$E$6)*($G$6-$F$6))))</f>
        <v>1.03327950652805</v>
      </c>
      <c r="C772" s="51" t="n">
        <f aca="false">1+IF($G$7=$E$7,$F$7,IF(Q772&lt;($F$7-$E$7)/($G$7-$E$7),$E$7+SQRT(Q772*($G$7-$E$7)*($F$7-$E$7)),$G$7-SQRT((1-Q772)*($G$7-$E$7)*($G$7-$F$7))))</f>
        <v>0.894423902159595</v>
      </c>
      <c r="D772" s="51" t="n">
        <f aca="false">1+IF($G$8=$E$8,$F$8,IF(R772&lt;($F$8-$E$8)/($G$8-$E$8),$E$8+SQRT(R772*($G$8-$E$8)*($F$8-$E$8)),$G$8-SQRT((1-R772)*($G$8-$E$8)*($G$8-$F$8))))</f>
        <v>1.00710150641323</v>
      </c>
      <c r="E772" s="51" t="n">
        <f aca="false">1+IF($G$9=$E$9,$F$9,IF(S772&lt;($F$9-$E$9)/($G$9-$E$9),$E$9+SQRT(S772*($G$9-$E$9)*($F$9-$E$9)),$G$9-SQRT((1-S772)*($G$9-$E$9)*($G$9-$F$9))))</f>
        <v>0.965524009944469</v>
      </c>
      <c r="F772" s="51" t="n">
        <f aca="false">1+IF($G$10=$E$10,$F$10,IF(T772&lt;($F$10-$E$10)/($G$10-$E$10),$E$10+SQRT(T772*($G$10-$E$10)*($F$10-$E$10)),$G$10-SQRT((1-T772)*($G$10-$E$10)*($G$10-$F$10))))</f>
        <v>1.07081219116494</v>
      </c>
      <c r="G772" s="52" t="n">
        <f aca="false">IF($G$11=$E$11,$F$11,IF(U772&lt;($F$11-$E$11)/($G$11-$E$11),$E$11+SQRT(U772*($G$11-$E$11)*($F$11-$E$11)),$G$11-SQRT((1-U772)*($G$11-$E$11)*($G$11-$F$11))))</f>
        <v>0.119682125372281</v>
      </c>
      <c r="H772" s="53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-2141624382.32989</v>
      </c>
      <c r="I772" s="53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3564247.53493488</v>
      </c>
      <c r="J772" s="53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299417232.207366</v>
      </c>
      <c r="K772" s="53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648810826.438045</v>
      </c>
      <c r="L772" s="53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779368490.533454</v>
      </c>
      <c r="M772" s="53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955038504.492083</v>
      </c>
      <c r="N772" s="53" t="n">
        <f aca="false">IF(COUNT('Business Case'!B11:G11)=0,"",H772+NPV(G772,I772:M772))</f>
        <v>-398858181.723541</v>
      </c>
      <c r="P772" s="54" t="n">
        <f aca="true">RAND()</f>
        <v>0.962723346407274</v>
      </c>
      <c r="Q772" s="54" t="n">
        <f aca="true">RAND()</f>
        <v>0.280004842451584</v>
      </c>
      <c r="R772" s="54" t="n">
        <f aca="true">RAND()</f>
        <v>0.424657992620606</v>
      </c>
      <c r="S772" s="54" t="n">
        <f aca="true">RAND()</f>
        <v>0.171735835168115</v>
      </c>
      <c r="T772" s="54" t="n">
        <f aca="true">RAND()</f>
        <v>0.571889722198547</v>
      </c>
      <c r="U772" s="54" t="n">
        <f aca="true">RAND()</f>
        <v>0.929027642111112</v>
      </c>
    </row>
    <row r="773" customFormat="false" ht="15" hidden="false" customHeight="false" outlineLevel="0" collapsed="false">
      <c r="A773" s="50" t="n">
        <v>693</v>
      </c>
      <c r="B773" s="51" t="n">
        <f aca="false">1+IF($G$6=$E$6,$F$6,IF(P773&lt;($F$6-$E$6)/($G$6-$E$6),$E$6+SQRT(P773*($G$6-$E$6)*($F$6-$E$6)),$G$6-SQRT((1-P773)*($G$6-$E$6)*($G$6-$F$6))))</f>
        <v>1.01287657742817</v>
      </c>
      <c r="C773" s="51" t="n">
        <f aca="false">1+IF($G$7=$E$7,$F$7,IF(Q773&lt;($F$7-$E$7)/($G$7-$E$7),$E$7+SQRT(Q773*($G$7-$E$7)*($F$7-$E$7)),$G$7-SQRT((1-Q773)*($G$7-$E$7)*($G$7-$F$7))))</f>
        <v>0.91596635716032</v>
      </c>
      <c r="D773" s="51" t="n">
        <f aca="false">1+IF($G$8=$E$8,$F$8,IF(R773&lt;($F$8-$E$8)/($G$8-$E$8),$E$8+SQRT(R773*($G$8-$E$8)*($F$8-$E$8)),$G$8-SQRT((1-R773)*($G$8-$E$8)*($G$8-$F$8))))</f>
        <v>1.06588920016966</v>
      </c>
      <c r="E773" s="51" t="n">
        <f aca="false">1+IF($G$9=$E$9,$F$9,IF(S773&lt;($F$9-$E$9)/($G$9-$E$9),$E$9+SQRT(S773*($G$9-$E$9)*($F$9-$E$9)),$G$9-SQRT((1-S773)*($G$9-$E$9)*($G$9-$F$9))))</f>
        <v>1.0666142643718</v>
      </c>
      <c r="F773" s="51" t="n">
        <f aca="false">1+IF($G$10=$E$10,$F$10,IF(T773&lt;($F$10-$E$10)/($G$10-$E$10),$E$10+SQRT(T773*($G$10-$E$10)*($F$10-$E$10)),$G$10-SQRT((1-T773)*($G$10-$E$10)*($G$10-$F$10))))</f>
        <v>1.01554902014015</v>
      </c>
      <c r="G773" s="52" t="n">
        <f aca="false">IF($G$11=$E$11,$F$11,IF(U773&lt;($F$11-$E$11)/($G$11-$E$11),$E$11+SQRT(U773*($G$11-$E$11)*($F$11-$E$11)),$G$11-SQRT((1-U773)*($G$11-$E$11)*($G$11-$F$11))))</f>
        <v>0.112805494388397</v>
      </c>
      <c r="H773" s="53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-2031098040.2803</v>
      </c>
      <c r="I773" s="53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-41216665.6451587</v>
      </c>
      <c r="J773" s="53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218889242.560101</v>
      </c>
      <c r="K773" s="53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529772601.772369</v>
      </c>
      <c r="L773" s="53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648537986.802611</v>
      </c>
      <c r="M773" s="53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824886772.759301</v>
      </c>
      <c r="N773" s="53" t="n">
        <f aca="false">IF(COUNT('Business Case'!B11:G11)=0,"",H773+NPV(G773,I773:M773))</f>
        <v>-600622442.171505</v>
      </c>
      <c r="P773" s="54" t="n">
        <f aca="true">RAND()</f>
        <v>0.816246866207113</v>
      </c>
      <c r="Q773" s="54" t="n">
        <f aca="true">RAND()</f>
        <v>0.345492351297028</v>
      </c>
      <c r="R773" s="54" t="n">
        <f aca="true">RAND()</f>
        <v>0.922430222328975</v>
      </c>
      <c r="S773" s="54" t="n">
        <f aca="true">RAND()</f>
        <v>0.814581842499847</v>
      </c>
      <c r="T773" s="54" t="n">
        <f aca="true">RAND()</f>
        <v>0.267103173903405</v>
      </c>
      <c r="U773" s="54" t="n">
        <f aca="true">RAND()</f>
        <v>0.80289931784837</v>
      </c>
    </row>
    <row r="774" customFormat="false" ht="15" hidden="false" customHeight="false" outlineLevel="0" collapsed="false">
      <c r="A774" s="50" t="n">
        <v>694</v>
      </c>
      <c r="B774" s="51" t="n">
        <f aca="false">1+IF($G$6=$E$6,$F$6,IF(P774&lt;($F$6-$E$6)/($G$6-$E$6),$E$6+SQRT(P774*($G$6-$E$6)*($F$6-$E$6)),$G$6-SQRT((1-P774)*($G$6-$E$6)*($G$6-$F$6))))</f>
        <v>0.976497629163067</v>
      </c>
      <c r="C774" s="51" t="n">
        <f aca="false">1+IF($G$7=$E$7,$F$7,IF(Q774&lt;($F$7-$E$7)/($G$7-$E$7),$E$7+SQRT(Q774*($G$7-$E$7)*($F$7-$E$7)),$G$7-SQRT((1-Q774)*($G$7-$E$7)*($G$7-$F$7))))</f>
        <v>1.06034577092888</v>
      </c>
      <c r="D774" s="51" t="n">
        <f aca="false">1+IF($G$8=$E$8,$F$8,IF(R774&lt;($F$8-$E$8)/($G$8-$E$8),$E$8+SQRT(R774*($G$8-$E$8)*($F$8-$E$8)),$G$8-SQRT((1-R774)*($G$8-$E$8)*($G$8-$F$8))))</f>
        <v>1.01063134355554</v>
      </c>
      <c r="E774" s="51" t="n">
        <f aca="false">1+IF($G$9=$E$9,$F$9,IF(S774&lt;($F$9-$E$9)/($G$9-$E$9),$E$9+SQRT(S774*($G$9-$E$9)*($F$9-$E$9)),$G$9-SQRT((1-S774)*($G$9-$E$9)*($G$9-$F$9))))</f>
        <v>1.00718233304816</v>
      </c>
      <c r="F774" s="51" t="n">
        <f aca="false">1+IF($G$10=$E$10,$F$10,IF(T774&lt;($F$10-$E$10)/($G$10-$E$10),$E$10+SQRT(T774*($G$10-$E$10)*($F$10-$E$10)),$G$10-SQRT((1-T774)*($G$10-$E$10)*($G$10-$F$10))))</f>
        <v>0.976821342604864</v>
      </c>
      <c r="G774" s="52" t="n">
        <f aca="false">IF($G$11=$E$11,$F$11,IF(U774&lt;($F$11-$E$11)/($G$11-$E$11),$E$11+SQRT(U774*($G$11-$E$11)*($F$11-$E$11)),$G$11-SQRT((1-U774)*($G$11-$E$11)*($G$11-$F$11))))</f>
        <v>0.121146221074013</v>
      </c>
      <c r="H774" s="53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-1953642685.20973</v>
      </c>
      <c r="I774" s="53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4924802.28504643</v>
      </c>
      <c r="J774" s="53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304429505.402069</v>
      </c>
      <c r="K774" s="53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652775275.649335</v>
      </c>
      <c r="L774" s="53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788394469.229704</v>
      </c>
      <c r="M774" s="53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985208078.207191</v>
      </c>
      <c r="N774" s="53" t="n">
        <f aca="false">IF(COUNT('Business Case'!B11:G11)=0,"",H774+NPV(G774,I774:M774))</f>
        <v>-188672971.973032</v>
      </c>
      <c r="P774" s="54" t="n">
        <f aca="true">RAND()</f>
        <v>0.390125817838007</v>
      </c>
      <c r="Q774" s="54" t="n">
        <f aca="true">RAND()</f>
        <v>0.880920284587595</v>
      </c>
      <c r="R774" s="54" t="n">
        <f aca="true">RAND()</f>
        <v>0.467549549687486</v>
      </c>
      <c r="S774" s="54" t="n">
        <f aca="true">RAND()</f>
        <v>0.456083040171521</v>
      </c>
      <c r="T774" s="54" t="n">
        <f aca="true">RAND()</f>
        <v>0.0479589612751651</v>
      </c>
      <c r="U774" s="54" t="n">
        <f aca="true">RAND()</f>
        <v>0.947740399153164</v>
      </c>
    </row>
    <row r="775" customFormat="false" ht="15" hidden="false" customHeight="false" outlineLevel="0" collapsed="false">
      <c r="A775" s="50" t="n">
        <v>695</v>
      </c>
      <c r="B775" s="51" t="n">
        <f aca="false">1+IF($G$6=$E$6,$F$6,IF(P775&lt;($F$6-$E$6)/($G$6-$E$6),$E$6+SQRT(P775*($G$6-$E$6)*($F$6-$E$6)),$G$6-SQRT((1-P775)*($G$6-$E$6)*($G$6-$F$6))))</f>
        <v>0.954422958577865</v>
      </c>
      <c r="C775" s="51" t="n">
        <f aca="false">1+IF($G$7=$E$7,$F$7,IF(Q775&lt;($F$7-$E$7)/($G$7-$E$7),$E$7+SQRT(Q775*($G$7-$E$7)*($F$7-$E$7)),$G$7-SQRT((1-Q775)*($G$7-$E$7)*($G$7-$F$7))))</f>
        <v>0.928216242127116</v>
      </c>
      <c r="D775" s="51" t="n">
        <f aca="false">1+IF($G$8=$E$8,$F$8,IF(R775&lt;($F$8-$E$8)/($G$8-$E$8),$E$8+SQRT(R775*($G$8-$E$8)*($F$8-$E$8)),$G$8-SQRT((1-R775)*($G$8-$E$8)*($G$8-$F$8))))</f>
        <v>1.04967618991682</v>
      </c>
      <c r="E775" s="51" t="n">
        <f aca="false">1+IF($G$9=$E$9,$F$9,IF(S775&lt;($F$9-$E$9)/($G$9-$E$9),$E$9+SQRT(S775*($G$9-$E$9)*($F$9-$E$9)),$G$9-SQRT((1-S775)*($G$9-$E$9)*($G$9-$F$9))))</f>
        <v>1.01753330264971</v>
      </c>
      <c r="F775" s="51" t="n">
        <f aca="false">1+IF($G$10=$E$10,$F$10,IF(T775&lt;($F$10-$E$10)/($G$10-$E$10),$E$10+SQRT(T775*($G$10-$E$10)*($F$10-$E$10)),$G$10-SQRT((1-T775)*($G$10-$E$10)*($G$10-$F$10))))</f>
        <v>1.16175793400226</v>
      </c>
      <c r="G775" s="52" t="n">
        <f aca="false">IF($G$11=$E$11,$F$11,IF(U775&lt;($F$11-$E$11)/($G$11-$E$11),$E$11+SQRT(U775*($G$11-$E$11)*($F$11-$E$11)),$G$11-SQRT((1-U775)*($G$11-$E$11)*($G$11-$F$11))))</f>
        <v>0.0992885299430089</v>
      </c>
      <c r="H775" s="53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-2323515868.00452</v>
      </c>
      <c r="I775" s="53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-79947059.5074701</v>
      </c>
      <c r="J775" s="53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146900530.663924</v>
      </c>
      <c r="K775" s="53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431836017.53543</v>
      </c>
      <c r="L775" s="53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538068961.353795</v>
      </c>
      <c r="M775" s="53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706462903.707244</v>
      </c>
      <c r="N775" s="53" t="n">
        <f aca="false">IF(COUNT('Business Case'!B11:G11)=0,"",H775+NPV(G775,I775:M775))</f>
        <v>-1141064381.79945</v>
      </c>
      <c r="P775" s="54" t="n">
        <f aca="true">RAND()</f>
        <v>0.197457228024532</v>
      </c>
      <c r="Q775" s="54" t="n">
        <f aca="true">RAND()</f>
        <v>0.385797430893498</v>
      </c>
      <c r="R775" s="54" t="n">
        <f aca="true">RAND()</f>
        <v>0.831167609247459</v>
      </c>
      <c r="S775" s="54" t="n">
        <f aca="true">RAND()</f>
        <v>0.53206864248281</v>
      </c>
      <c r="T775" s="54" t="n">
        <f aca="true">RAND()</f>
        <v>0.896177837179341</v>
      </c>
      <c r="U775" s="54" t="n">
        <f aca="true">RAND()</f>
        <v>0.37204738736235</v>
      </c>
    </row>
    <row r="776" customFormat="false" ht="15" hidden="false" customHeight="false" outlineLevel="0" collapsed="false">
      <c r="A776" s="50" t="n">
        <v>696</v>
      </c>
      <c r="B776" s="51" t="n">
        <f aca="false">1+IF($G$6=$E$6,$F$6,IF(P776&lt;($F$6-$E$6)/($G$6-$E$6),$E$6+SQRT(P776*($G$6-$E$6)*($F$6-$E$6)),$G$6-SQRT((1-P776)*($G$6-$E$6)*($G$6-$F$6))))</f>
        <v>1.01246719150252</v>
      </c>
      <c r="C776" s="51" t="n">
        <f aca="false">1+IF($G$7=$E$7,$F$7,IF(Q776&lt;($F$7-$E$7)/($G$7-$E$7),$E$7+SQRT(Q776*($G$7-$E$7)*($F$7-$E$7)),$G$7-SQRT((1-Q776)*($G$7-$E$7)*($G$7-$F$7))))</f>
        <v>1.044299803241</v>
      </c>
      <c r="D776" s="51" t="n">
        <f aca="false">1+IF($G$8=$E$8,$F$8,IF(R776&lt;($F$8-$E$8)/($G$8-$E$8),$E$8+SQRT(R776*($G$8-$E$8)*($F$8-$E$8)),$G$8-SQRT((1-R776)*($G$8-$E$8)*($G$8-$F$8))))</f>
        <v>1.01701461172491</v>
      </c>
      <c r="E776" s="51" t="n">
        <f aca="false">1+IF($G$9=$E$9,$F$9,IF(S776&lt;($F$9-$E$9)/($G$9-$E$9),$E$9+SQRT(S776*($G$9-$E$9)*($F$9-$E$9)),$G$9-SQRT((1-S776)*($G$9-$E$9)*($G$9-$F$9))))</f>
        <v>1.00622013549593</v>
      </c>
      <c r="F776" s="51" t="n">
        <f aca="false">1+IF($G$10=$E$10,$F$10,IF(T776&lt;($F$10-$E$10)/($G$10-$E$10),$E$10+SQRT(T776*($G$10-$E$10)*($F$10-$E$10)),$G$10-SQRT((1-T776)*($G$10-$E$10)*($G$10-$F$10))))</f>
        <v>1.16561465378394</v>
      </c>
      <c r="G776" s="52" t="n">
        <f aca="false">IF($G$11=$E$11,$F$11,IF(U776&lt;($F$11-$E$11)/($G$11-$E$11),$E$11+SQRT(U776*($G$11-$E$11)*($F$11-$E$11)),$G$11-SQRT((1-U776)*($G$11-$E$11)*($G$11-$F$11))))</f>
        <v>0.0922377136938988</v>
      </c>
      <c r="H776" s="53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-2331229307.56788</v>
      </c>
      <c r="I776" s="53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7869292.0824261</v>
      </c>
      <c r="J776" s="53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330195984.745997</v>
      </c>
      <c r="K776" s="53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710803410.098766</v>
      </c>
      <c r="L776" s="53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854786595.61011</v>
      </c>
      <c r="M776" s="53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1055761846.03929</v>
      </c>
      <c r="N776" s="53" t="n">
        <f aca="false">IF(COUNT('Business Case'!B11:G11)=0,"",H776+NPV(G776,I776:M776))</f>
        <v>-221961073.419257</v>
      </c>
      <c r="P776" s="54" t="n">
        <f aca="true">RAND()</f>
        <v>0.812171771505482</v>
      </c>
      <c r="Q776" s="54" t="n">
        <f aca="true">RAND()</f>
        <v>0.834481013409032</v>
      </c>
      <c r="R776" s="54" t="n">
        <f aca="true">RAND()</f>
        <v>0.540895022188864</v>
      </c>
      <c r="S776" s="54" t="n">
        <f aca="true">RAND()</f>
        <v>0.448729348351743</v>
      </c>
      <c r="T776" s="54" t="n">
        <f aca="true">RAND()</f>
        <v>0.905054844586603</v>
      </c>
      <c r="U776" s="54" t="n">
        <f aca="true">RAND()</f>
        <v>0.149761636453839</v>
      </c>
    </row>
    <row r="777" customFormat="false" ht="15" hidden="false" customHeight="false" outlineLevel="0" collapsed="false">
      <c r="A777" s="50" t="n">
        <v>697</v>
      </c>
      <c r="B777" s="51" t="n">
        <f aca="false">1+IF($G$6=$E$6,$F$6,IF(P777&lt;($F$6-$E$6)/($G$6-$E$6),$E$6+SQRT(P777*($G$6-$E$6)*($F$6-$E$6)),$G$6-SQRT((1-P777)*($G$6-$E$6)*($G$6-$F$6))))</f>
        <v>1.03053732611146</v>
      </c>
      <c r="C777" s="51" t="n">
        <f aca="false">1+IF($G$7=$E$7,$F$7,IF(Q777&lt;($F$7-$E$7)/($G$7-$E$7),$E$7+SQRT(Q777*($G$7-$E$7)*($F$7-$E$7)),$G$7-SQRT((1-Q777)*($G$7-$E$7)*($G$7-$F$7))))</f>
        <v>0.838505971830258</v>
      </c>
      <c r="D777" s="51" t="n">
        <f aca="false">1+IF($G$8=$E$8,$F$8,IF(R777&lt;($F$8-$E$8)/($G$8-$E$8),$E$8+SQRT(R777*($G$8-$E$8)*($F$8-$E$8)),$G$8-SQRT((1-R777)*($G$8-$E$8)*($G$8-$F$8))))</f>
        <v>1.01264638330414</v>
      </c>
      <c r="E777" s="51" t="n">
        <f aca="false">1+IF($G$9=$E$9,$F$9,IF(S777&lt;($F$9-$E$9)/($G$9-$E$9),$E$9+SQRT(S777*($G$9-$E$9)*($F$9-$E$9)),$G$9-SQRT((1-S777)*($G$9-$E$9)*($G$9-$F$9))))</f>
        <v>1.04443030651478</v>
      </c>
      <c r="F777" s="51" t="n">
        <f aca="false">1+IF($G$10=$E$10,$F$10,IF(T777&lt;($F$10-$E$10)/($G$10-$E$10),$E$10+SQRT(T777*($G$10-$E$10)*($F$10-$E$10)),$G$10-SQRT((1-T777)*($G$10-$E$10)*($G$10-$F$10))))</f>
        <v>0.982392772645962</v>
      </c>
      <c r="G777" s="52" t="n">
        <f aca="false">IF($G$11=$E$11,$F$11,IF(U777&lt;($F$11-$E$11)/($G$11-$E$11),$E$11+SQRT(U777*($G$11-$E$11)*($F$11-$E$11)),$G$11-SQRT((1-U777)*($G$11-$E$11)*($G$11-$F$11))))</f>
        <v>0.103735142618997</v>
      </c>
      <c r="H777" s="53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-1964785545.29192</v>
      </c>
      <c r="I777" s="53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-18459528.9461855</v>
      </c>
      <c r="J777" s="53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254633759.597484</v>
      </c>
      <c r="K777" s="53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576846686.773451</v>
      </c>
      <c r="L777" s="53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697741483.380579</v>
      </c>
      <c r="M777" s="53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861991835.723055</v>
      </c>
      <c r="N777" s="53" t="n">
        <f aca="false">IF(COUNT('Business Case'!B11:G11)=0,"",H777+NPV(G777,I777:M777))</f>
        <v>-347100141.053098</v>
      </c>
      <c r="P777" s="54" t="n">
        <f aca="true">RAND()</f>
        <v>0.949493910014455</v>
      </c>
      <c r="Q777" s="54" t="n">
        <f aca="true">RAND()</f>
        <v>0.142102994315883</v>
      </c>
      <c r="R777" s="54" t="n">
        <f aca="true">RAND()</f>
        <v>0.491289710010232</v>
      </c>
      <c r="S777" s="54" t="n">
        <f aca="true">RAND()</f>
        <v>0.702801061798306</v>
      </c>
      <c r="T777" s="54" t="n">
        <f aca="true">RAND()</f>
        <v>0.0699527813128646</v>
      </c>
      <c r="U777" s="54" t="n">
        <f aca="true">RAND()</f>
        <v>0.540104844503724</v>
      </c>
    </row>
    <row r="778" customFormat="false" ht="15" hidden="false" customHeight="false" outlineLevel="0" collapsed="false">
      <c r="A778" s="50" t="n">
        <v>698</v>
      </c>
      <c r="B778" s="51" t="n">
        <f aca="false">1+IF($G$6=$E$6,$F$6,IF(P778&lt;($F$6-$E$6)/($G$6-$E$6),$E$6+SQRT(P778*($G$6-$E$6)*($F$6-$E$6)),$G$6-SQRT((1-P778)*($G$6-$E$6)*($G$6-$F$6))))</f>
        <v>0.991558258605618</v>
      </c>
      <c r="C778" s="51" t="n">
        <f aca="false">1+IF($G$7=$E$7,$F$7,IF(Q778&lt;($F$7-$E$7)/($G$7-$E$7),$E$7+SQRT(Q778*($G$7-$E$7)*($F$7-$E$7)),$G$7-SQRT((1-Q778)*($G$7-$E$7)*($G$7-$F$7))))</f>
        <v>1.02240335796901</v>
      </c>
      <c r="D778" s="51" t="n">
        <f aca="false">1+IF($G$8=$E$8,$F$8,IF(R778&lt;($F$8-$E$8)/($G$8-$E$8),$E$8+SQRT(R778*($G$8-$E$8)*($F$8-$E$8)),$G$8-SQRT((1-R778)*($G$8-$E$8)*($G$8-$F$8))))</f>
        <v>1.05603670992055</v>
      </c>
      <c r="E778" s="51" t="n">
        <f aca="false">1+IF($G$9=$E$9,$F$9,IF(S778&lt;($F$9-$E$9)/($G$9-$E$9),$E$9+SQRT(S778*($G$9-$E$9)*($F$9-$E$9)),$G$9-SQRT((1-S778)*($G$9-$E$9)*($G$9-$F$9))))</f>
        <v>1.01444121162382</v>
      </c>
      <c r="F778" s="51" t="n">
        <f aca="false">1+IF($G$10=$E$10,$F$10,IF(T778&lt;($F$10-$E$10)/($G$10-$E$10),$E$10+SQRT(T778*($G$10-$E$10)*($F$10-$E$10)),$G$10-SQRT((1-T778)*($G$10-$E$10)*($G$10-$F$10))))</f>
        <v>0.987104073632556</v>
      </c>
      <c r="G778" s="52" t="n">
        <f aca="false">IF($G$11=$E$11,$F$11,IF(U778&lt;($F$11-$E$11)/($G$11-$E$11),$E$11+SQRT(U778*($G$11-$E$11)*($F$11-$E$11)),$G$11-SQRT((1-U778)*($G$11-$E$11)*($G$11-$F$11))))</f>
        <v>0.119016749180137</v>
      </c>
      <c r="H778" s="53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-1974208147.26511</v>
      </c>
      <c r="I778" s="53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-17882959.420499</v>
      </c>
      <c r="J778" s="53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259751994.863704</v>
      </c>
      <c r="K778" s="53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586742152.829535</v>
      </c>
      <c r="L778" s="53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714323114.956629</v>
      </c>
      <c r="M778" s="53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907020990.46794</v>
      </c>
      <c r="N778" s="53" t="n">
        <f aca="false">IF(COUNT('Business Case'!B11:G11)=0,"",H778+NPV(G778,I778:M778))</f>
        <v>-391522938.196044</v>
      </c>
      <c r="P778" s="54" t="n">
        <f aca="true">RAND()</f>
        <v>0.558860981259546</v>
      </c>
      <c r="Q778" s="54" t="n">
        <f aca="true">RAND()</f>
        <v>0.758801436183916</v>
      </c>
      <c r="R778" s="54" t="n">
        <f aca="true">RAND()</f>
        <v>0.871148608359326</v>
      </c>
      <c r="S778" s="54" t="n">
        <f aca="true">RAND()</f>
        <v>0.509968397172841</v>
      </c>
      <c r="T778" s="54" t="n">
        <f aca="true">RAND()</f>
        <v>0.0917808186753415</v>
      </c>
      <c r="U778" s="54" t="n">
        <f aca="true">RAND()</f>
        <v>0.919578800951988</v>
      </c>
    </row>
    <row r="779" customFormat="false" ht="15" hidden="false" customHeight="false" outlineLevel="0" collapsed="false">
      <c r="A779" s="50" t="n">
        <v>699</v>
      </c>
      <c r="B779" s="51" t="n">
        <f aca="false">1+IF($G$6=$E$6,$F$6,IF(P779&lt;($F$6-$E$6)/($G$6-$E$6),$E$6+SQRT(P779*($G$6-$E$6)*($F$6-$E$6)),$G$6-SQRT((1-P779)*($G$6-$E$6)*($G$6-$F$6))))</f>
        <v>0.981651337325049</v>
      </c>
      <c r="C779" s="51" t="n">
        <f aca="false">1+IF($G$7=$E$7,$F$7,IF(Q779&lt;($F$7-$E$7)/($G$7-$E$7),$E$7+SQRT(Q779*($G$7-$E$7)*($F$7-$E$7)),$G$7-SQRT((1-Q779)*($G$7-$E$7)*($G$7-$F$7))))</f>
        <v>0.865775270260664</v>
      </c>
      <c r="D779" s="51" t="n">
        <f aca="false">1+IF($G$8=$E$8,$F$8,IF(R779&lt;($F$8-$E$8)/($G$8-$E$8),$E$8+SQRT(R779*($G$8-$E$8)*($F$8-$E$8)),$G$8-SQRT((1-R779)*($G$8-$E$8)*($G$8-$F$8))))</f>
        <v>1.00776872931993</v>
      </c>
      <c r="E779" s="51" t="n">
        <f aca="false">1+IF($G$9=$E$9,$F$9,IF(S779&lt;($F$9-$E$9)/($G$9-$E$9),$E$9+SQRT(S779*($G$9-$E$9)*($F$9-$E$9)),$G$9-SQRT((1-S779)*($G$9-$E$9)*($G$9-$F$9))))</f>
        <v>0.992825551021492</v>
      </c>
      <c r="F779" s="51" t="n">
        <f aca="false">1+IF($G$10=$E$10,$F$10,IF(T779&lt;($F$10-$E$10)/($G$10-$E$10),$E$10+SQRT(T779*($G$10-$E$10)*($F$10-$E$10)),$G$10-SQRT((1-T779)*($G$10-$E$10)*($G$10-$F$10))))</f>
        <v>0.966118455707129</v>
      </c>
      <c r="G779" s="52" t="n">
        <f aca="false">IF($G$11=$E$11,$F$11,IF(U779&lt;($F$11-$E$11)/($G$11-$E$11),$E$11+SQRT(U779*($G$11-$E$11)*($F$11-$E$11)),$G$11-SQRT((1-U779)*($G$11-$E$11)*($G$11-$F$11))))</f>
        <v>0.106447857013213</v>
      </c>
      <c r="H779" s="53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-1932236911.41426</v>
      </c>
      <c r="I779" s="53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-32380091.8074479</v>
      </c>
      <c r="J779" s="53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217089724.496239</v>
      </c>
      <c r="K779" s="53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514865463.585282</v>
      </c>
      <c r="L779" s="53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627394248.476621</v>
      </c>
      <c r="M779" s="53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788941235.488895</v>
      </c>
      <c r="N779" s="53" t="n">
        <f aca="false">IF(COUNT('Business Case'!B11:G11)=0,"",H779+NPV(G779,I779:M779))</f>
        <v>-509692112.981902</v>
      </c>
      <c r="P779" s="54" t="n">
        <f aca="true">RAND()</f>
        <v>0.444462725797928</v>
      </c>
      <c r="Q779" s="54" t="n">
        <f aca="true">RAND()</f>
        <v>0.203566223925896</v>
      </c>
      <c r="R779" s="54" t="n">
        <f aca="true">RAND()</f>
        <v>0.432892847249256</v>
      </c>
      <c r="S779" s="54" t="n">
        <f aca="true">RAND()</f>
        <v>0.344663316897744</v>
      </c>
      <c r="T779" s="54" t="n">
        <f aca="true">RAND()</f>
        <v>0.0173203076255116</v>
      </c>
      <c r="U779" s="54" t="n">
        <f aca="true">RAND()</f>
        <v>0.630197707153278</v>
      </c>
    </row>
    <row r="780" customFormat="false" ht="15" hidden="false" customHeight="false" outlineLevel="0" collapsed="false">
      <c r="A780" s="50" t="n">
        <v>700</v>
      </c>
      <c r="B780" s="51" t="n">
        <f aca="false">1+IF($G$6=$E$6,$F$6,IF(P780&lt;($F$6-$E$6)/($G$6-$E$6),$E$6+SQRT(P780*($G$6-$E$6)*($F$6-$E$6)),$G$6-SQRT((1-P780)*($G$6-$E$6)*($G$6-$F$6))))</f>
        <v>0.970196547964789</v>
      </c>
      <c r="C780" s="51" t="n">
        <f aca="false">1+IF($G$7=$E$7,$F$7,IF(Q780&lt;($F$7-$E$7)/($G$7-$E$7),$E$7+SQRT(Q780*($G$7-$E$7)*($F$7-$E$7)),$G$7-SQRT((1-Q780)*($G$7-$E$7)*($G$7-$F$7))))</f>
        <v>0.843252320157582</v>
      </c>
      <c r="D780" s="51" t="n">
        <f aca="false">1+IF($G$8=$E$8,$F$8,IF(R780&lt;($F$8-$E$8)/($G$8-$E$8),$E$8+SQRT(R780*($G$8-$E$8)*($F$8-$E$8)),$G$8-SQRT((1-R780)*($G$8-$E$8)*($G$8-$F$8))))</f>
        <v>0.970881996953932</v>
      </c>
      <c r="E780" s="51" t="n">
        <f aca="false">1+IF($G$9=$E$9,$F$9,IF(S780&lt;($F$9-$E$9)/($G$9-$E$9),$E$9+SQRT(S780*($G$9-$E$9)*($F$9-$E$9)),$G$9-SQRT((1-S780)*($G$9-$E$9)*($G$9-$F$9))))</f>
        <v>0.951225863219704</v>
      </c>
      <c r="F780" s="51" t="n">
        <f aca="false">1+IF($G$10=$E$10,$F$10,IF(T780&lt;($F$10-$E$10)/($G$10-$E$10),$E$10+SQRT(T780*($G$10-$E$10)*($F$10-$E$10)),$G$10-SQRT((1-T780)*($G$10-$E$10)*($G$10-$F$10))))</f>
        <v>1.07618455429595</v>
      </c>
      <c r="G780" s="52" t="n">
        <f aca="false">IF($G$11=$E$11,$F$11,IF(U780&lt;($F$11-$E$11)/($G$11-$E$11),$E$11+SQRT(U780*($G$11-$E$11)*($F$11-$E$11)),$G$11-SQRT((1-U780)*($G$11-$E$11)*($G$11-$F$11))))</f>
        <v>0.0992401343842469</v>
      </c>
      <c r="H780" s="53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-2152369108.59189</v>
      </c>
      <c r="I780" s="53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-34302687.6781963</v>
      </c>
      <c r="J780" s="53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216688764.028801</v>
      </c>
      <c r="K780" s="53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521489443.450595</v>
      </c>
      <c r="L780" s="53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633427504.823432</v>
      </c>
      <c r="M780" s="53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788935847.577874</v>
      </c>
      <c r="N780" s="53" t="n">
        <f aca="false">IF(COUNT('Business Case'!B11:G11)=0,"",H780+NPV(G780,I780:M780))</f>
        <v>-686230221.138842</v>
      </c>
      <c r="P780" s="54" t="n">
        <f aca="true">RAND()</f>
        <v>0.328503689744859</v>
      </c>
      <c r="Q780" s="54" t="n">
        <f aca="true">RAND()</f>
        <v>0.15200909059652</v>
      </c>
      <c r="R780" s="54" t="n">
        <f aca="true">RAND()</f>
        <v>0.0581410395712037</v>
      </c>
      <c r="S780" s="54" t="n">
        <f aca="true">RAND()</f>
        <v>0.104963562504151</v>
      </c>
      <c r="T780" s="54" t="n">
        <f aca="true">RAND()</f>
        <v>0.597175877796019</v>
      </c>
      <c r="U780" s="54" t="n">
        <f aca="true">RAND()</f>
        <v>0.37018277112388</v>
      </c>
    </row>
    <row r="781" customFormat="false" ht="15" hidden="false" customHeight="false" outlineLevel="0" collapsed="false">
      <c r="A781" s="50" t="n">
        <v>701</v>
      </c>
      <c r="B781" s="51" t="n">
        <f aca="false">1+IF($G$6=$E$6,$F$6,IF(P781&lt;($F$6-$E$6)/($G$6-$E$6),$E$6+SQRT(P781*($G$6-$E$6)*($F$6-$E$6)),$G$6-SQRT((1-P781)*($G$6-$E$6)*($G$6-$F$6))))</f>
        <v>0.962230450363569</v>
      </c>
      <c r="C781" s="51" t="n">
        <f aca="false">1+IF($G$7=$E$7,$F$7,IF(Q781&lt;($F$7-$E$7)/($G$7-$E$7),$E$7+SQRT(Q781*($G$7-$E$7)*($F$7-$E$7)),$G$7-SQRT((1-Q781)*($G$7-$E$7)*($G$7-$F$7))))</f>
        <v>0.931082306693381</v>
      </c>
      <c r="D781" s="51" t="n">
        <f aca="false">1+IF($G$8=$E$8,$F$8,IF(R781&lt;($F$8-$E$8)/($G$8-$E$8),$E$8+SQRT(R781*($G$8-$E$8)*($F$8-$E$8)),$G$8-SQRT((1-R781)*($G$8-$E$8)*($G$8-$F$8))))</f>
        <v>0.962191627602407</v>
      </c>
      <c r="E781" s="51" t="n">
        <f aca="false">1+IF($G$9=$E$9,$F$9,IF(S781&lt;($F$9-$E$9)/($G$9-$E$9),$E$9+SQRT(S781*($G$9-$E$9)*($F$9-$E$9)),$G$9-SQRT((1-S781)*($G$9-$E$9)*($G$9-$F$9))))</f>
        <v>1.06267002684906</v>
      </c>
      <c r="F781" s="51" t="n">
        <f aca="false">1+IF($G$10=$E$10,$F$10,IF(T781&lt;($F$10-$E$10)/($G$10-$E$10),$E$10+SQRT(T781*($G$10-$E$10)*($F$10-$E$10)),$G$10-SQRT((1-T781)*($G$10-$E$10)*($G$10-$F$10))))</f>
        <v>1.20282150640802</v>
      </c>
      <c r="G781" s="52" t="n">
        <f aca="false">IF($G$11=$E$11,$F$11,IF(U781&lt;($F$11-$E$11)/($G$11-$E$11),$E$11+SQRT(U781*($G$11-$E$11)*($F$11-$E$11)),$G$11-SQRT((1-U781)*($G$11-$E$11)*($G$11-$F$11))))</f>
        <v>0.105058452277395</v>
      </c>
      <c r="H781" s="53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-2405643012.81605</v>
      </c>
      <c r="I781" s="53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-42637282.7178613</v>
      </c>
      <c r="J781" s="53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232563535.362795</v>
      </c>
      <c r="K781" s="53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567905428.763853</v>
      </c>
      <c r="L781" s="53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690601883.017258</v>
      </c>
      <c r="M781" s="53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860897548.263115</v>
      </c>
      <c r="N781" s="53" t="n">
        <f aca="false">IF(COUNT('Business Case'!B11:G11)=0,"",H781+NPV(G781,I781:M781))</f>
        <v>-847398623.870476</v>
      </c>
      <c r="P781" s="54" t="n">
        <f aca="true">RAND()</f>
        <v>0.258175263496845</v>
      </c>
      <c r="Q781" s="54" t="n">
        <f aca="true">RAND()</f>
        <v>0.395548388642471</v>
      </c>
      <c r="R781" s="54" t="n">
        <f aca="true">RAND()</f>
        <v>0.0198181044794353</v>
      </c>
      <c r="S781" s="54" t="n">
        <f aca="true">RAND()</f>
        <v>0.796626021052164</v>
      </c>
      <c r="T781" s="54" t="n">
        <f aca="true">RAND()</f>
        <v>0.970322529898558</v>
      </c>
      <c r="U781" s="54" t="n">
        <f aca="true">RAND()</f>
        <v>0.585279464800662</v>
      </c>
    </row>
    <row r="782" customFormat="false" ht="15" hidden="false" customHeight="false" outlineLevel="0" collapsed="false">
      <c r="A782" s="50" t="n">
        <v>702</v>
      </c>
      <c r="B782" s="51" t="n">
        <f aca="false">1+IF($G$6=$E$6,$F$6,IF(P782&lt;($F$6-$E$6)/($G$6-$E$6),$E$6+SQRT(P782*($G$6-$E$6)*($F$6-$E$6)),$G$6-SQRT((1-P782)*($G$6-$E$6)*($G$6-$F$6))))</f>
        <v>1.01622708015686</v>
      </c>
      <c r="C782" s="51" t="n">
        <f aca="false">1+IF($G$7=$E$7,$F$7,IF(Q782&lt;($F$7-$E$7)/($G$7-$E$7),$E$7+SQRT(Q782*($G$7-$E$7)*($F$7-$E$7)),$G$7-SQRT((1-Q782)*($G$7-$E$7)*($G$7-$F$7))))</f>
        <v>0.95162273630509</v>
      </c>
      <c r="D782" s="51" t="n">
        <f aca="false">1+IF($G$8=$E$8,$F$8,IF(R782&lt;($F$8-$E$8)/($G$8-$E$8),$E$8+SQRT(R782*($G$8-$E$8)*($F$8-$E$8)),$G$8-SQRT((1-R782)*($G$8-$E$8)*($G$8-$F$8))))</f>
        <v>1.03435950808043</v>
      </c>
      <c r="E782" s="51" t="n">
        <f aca="false">1+IF($G$9=$E$9,$F$9,IF(S782&lt;($F$9-$E$9)/($G$9-$E$9),$E$9+SQRT(S782*($G$9-$E$9)*($F$9-$E$9)),$G$9-SQRT((1-S782)*($G$9-$E$9)*($G$9-$F$9))))</f>
        <v>0.970396251637118</v>
      </c>
      <c r="F782" s="51" t="n">
        <f aca="false">1+IF($G$10=$E$10,$F$10,IF(T782&lt;($F$10-$E$10)/($G$10-$E$10),$E$10+SQRT(T782*($G$10-$E$10)*($F$10-$E$10)),$G$10-SQRT((1-T782)*($G$10-$E$10)*($G$10-$F$10))))</f>
        <v>1.00230055435589</v>
      </c>
      <c r="G782" s="52" t="n">
        <f aca="false">IF($G$11=$E$11,$F$11,IF(U782&lt;($F$11-$E$11)/($G$11-$E$11),$E$11+SQRT(U782*($G$11-$E$11)*($F$11-$E$11)),$G$11-SQRT((1-U782)*($G$11-$E$11)*($G$11-$F$11))))</f>
        <v>0.101386434260773</v>
      </c>
      <c r="H782" s="53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-2004601108.71179</v>
      </c>
      <c r="I782" s="53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-150453.235159472</v>
      </c>
      <c r="J782" s="53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288052134.906675</v>
      </c>
      <c r="K782" s="53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626369750.766304</v>
      </c>
      <c r="L782" s="53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755859039.452652</v>
      </c>
      <c r="M782" s="53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939678715.634209</v>
      </c>
      <c r="N782" s="53" t="n">
        <f aca="false">IF(COUNT('Business Case'!B11:G11)=0,"",H782+NPV(G782,I782:M782))</f>
        <v>-204980427.245839</v>
      </c>
      <c r="P782" s="54" t="n">
        <f aca="true">RAND()</f>
        <v>0.84791865136916</v>
      </c>
      <c r="Q782" s="54" t="n">
        <f aca="true">RAND()</f>
        <v>0.468992603153042</v>
      </c>
      <c r="R782" s="54" t="n">
        <f aca="true">RAND()</f>
        <v>0.712755054703823</v>
      </c>
      <c r="S782" s="54" t="n">
        <f aca="true">RAND()</f>
        <v>0.198225289782256</v>
      </c>
      <c r="T782" s="54" t="n">
        <f aca="true">RAND()</f>
        <v>0.181933128368026</v>
      </c>
      <c r="U782" s="54" t="n">
        <f aca="true">RAND()</f>
        <v>0.454175903791279</v>
      </c>
    </row>
    <row r="783" customFormat="false" ht="15" hidden="false" customHeight="false" outlineLevel="0" collapsed="false">
      <c r="A783" s="50" t="n">
        <v>703</v>
      </c>
      <c r="B783" s="51" t="n">
        <f aca="false">1+IF($G$6=$E$6,$F$6,IF(P783&lt;($F$6-$E$6)/($G$6-$E$6),$E$6+SQRT(P783*($G$6-$E$6)*($F$6-$E$6)),$G$6-SQRT((1-P783)*($G$6-$E$6)*($G$6-$F$6))))</f>
        <v>0.970077317964359</v>
      </c>
      <c r="C783" s="51" t="n">
        <f aca="false">1+IF($G$7=$E$7,$F$7,IF(Q783&lt;($F$7-$E$7)/($G$7-$E$7),$E$7+SQRT(Q783*($G$7-$E$7)*($F$7-$E$7)),$G$7-SQRT((1-Q783)*($G$7-$E$7)*($G$7-$F$7))))</f>
        <v>0.945249890275704</v>
      </c>
      <c r="D783" s="51" t="n">
        <f aca="false">1+IF($G$8=$E$8,$F$8,IF(R783&lt;($F$8-$E$8)/($G$8-$E$8),$E$8+SQRT(R783*($G$8-$E$8)*($F$8-$E$8)),$G$8-SQRT((1-R783)*($G$8-$E$8)*($G$8-$F$8))))</f>
        <v>1.04670882080205</v>
      </c>
      <c r="E783" s="51" t="n">
        <f aca="false">1+IF($G$9=$E$9,$F$9,IF(S783&lt;($F$9-$E$9)/($G$9-$E$9),$E$9+SQRT(S783*($G$9-$E$9)*($F$9-$E$9)),$G$9-SQRT((1-S783)*($G$9-$E$9)*($G$9-$F$9))))</f>
        <v>1.11653060092955</v>
      </c>
      <c r="F783" s="51" t="n">
        <f aca="false">1+IF($G$10=$E$10,$F$10,IF(T783&lt;($F$10-$E$10)/($G$10-$E$10),$E$10+SQRT(T783*($G$10-$E$10)*($F$10-$E$10)),$G$10-SQRT((1-T783)*($G$10-$E$10)*($G$10-$F$10))))</f>
        <v>1.04323233654732</v>
      </c>
      <c r="G783" s="52" t="n">
        <f aca="false">IF($G$11=$E$11,$F$11,IF(U783&lt;($F$11-$E$11)/($G$11-$E$11),$E$11+SQRT(U783*($G$11-$E$11)*($F$11-$E$11)),$G$11-SQRT((1-U783)*($G$11-$E$11)*($G$11-$F$11))))</f>
        <v>0.10161757068375</v>
      </c>
      <c r="H783" s="53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-2086464673.09463</v>
      </c>
      <c r="I783" s="53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-66062990.8813587</v>
      </c>
      <c r="J783" s="53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178503393.742625</v>
      </c>
      <c r="K783" s="53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475231395.193974</v>
      </c>
      <c r="L783" s="53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588443850.334255</v>
      </c>
      <c r="M783" s="53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762740648.461828</v>
      </c>
      <c r="N783" s="53" t="n">
        <f aca="false">IF(COUNT('Business Case'!B11:G11)=0,"",H783+NPV(G783,I783:M783))</f>
        <v>-774170661.973557</v>
      </c>
      <c r="P783" s="54" t="n">
        <f aca="true">RAND()</f>
        <v>0.327388699538527</v>
      </c>
      <c r="Q783" s="54" t="n">
        <f aca="true">RAND()</f>
        <v>0.445537101335148</v>
      </c>
      <c r="R783" s="54" t="n">
        <f aca="true">RAND()</f>
        <v>0.810670014646111</v>
      </c>
      <c r="S783" s="54" t="n">
        <f aca="true">RAND()</f>
        <v>0.970127982023004</v>
      </c>
      <c r="T783" s="54" t="n">
        <f aca="true">RAND()</f>
        <v>0.429961778004241</v>
      </c>
      <c r="U783" s="54" t="n">
        <f aca="true">RAND()</f>
        <v>0.462958470738717</v>
      </c>
    </row>
    <row r="784" customFormat="false" ht="15" hidden="false" customHeight="false" outlineLevel="0" collapsed="false">
      <c r="A784" s="50" t="n">
        <v>704</v>
      </c>
      <c r="B784" s="51" t="n">
        <f aca="false">1+IF($G$6=$E$6,$F$6,IF(P784&lt;($F$6-$E$6)/($G$6-$E$6),$E$6+SQRT(P784*($G$6-$E$6)*($F$6-$E$6)),$G$6-SQRT((1-P784)*($G$6-$E$6)*($G$6-$F$6))))</f>
        <v>0.9745883971044</v>
      </c>
      <c r="C784" s="51" t="n">
        <f aca="false">1+IF($G$7=$E$7,$F$7,IF(Q784&lt;($F$7-$E$7)/($G$7-$E$7),$E$7+SQRT(Q784*($G$7-$E$7)*($F$7-$E$7)),$G$7-SQRT((1-Q784)*($G$7-$E$7)*($G$7-$F$7))))</f>
        <v>0.996707583736753</v>
      </c>
      <c r="D784" s="51" t="n">
        <f aca="false">1+IF($G$8=$E$8,$F$8,IF(R784&lt;($F$8-$E$8)/($G$8-$E$8),$E$8+SQRT(R784*($G$8-$E$8)*($F$8-$E$8)),$G$8-SQRT((1-R784)*($G$8-$E$8)*($G$8-$F$8))))</f>
        <v>1.04728421791373</v>
      </c>
      <c r="E784" s="51" t="n">
        <f aca="false">1+IF($G$9=$E$9,$F$9,IF(S784&lt;($F$9-$E$9)/($G$9-$E$9),$E$9+SQRT(S784*($G$9-$E$9)*($F$9-$E$9)),$G$9-SQRT((1-S784)*($G$9-$E$9)*($G$9-$F$9))))</f>
        <v>1.08519951842287</v>
      </c>
      <c r="F784" s="51" t="n">
        <f aca="false">1+IF($G$10=$E$10,$F$10,IF(T784&lt;($F$10-$E$10)/($G$10-$E$10),$E$10+SQRT(T784*($G$10-$E$10)*($F$10-$E$10)),$G$10-SQRT((1-T784)*($G$10-$E$10)*($G$10-$F$10))))</f>
        <v>0.973582912380169</v>
      </c>
      <c r="G784" s="52" t="n">
        <f aca="false">IF($G$11=$E$11,$F$11,IF(U784&lt;($F$11-$E$11)/($G$11-$E$11),$E$11+SQRT(U784*($G$11-$E$11)*($F$11-$E$11)),$G$11-SQRT((1-U784)*($G$11-$E$11)*($G$11-$F$11))))</f>
        <v>0.124012898160306</v>
      </c>
      <c r="H784" s="53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-1947165824.76034</v>
      </c>
      <c r="I784" s="53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-40760701.6181568</v>
      </c>
      <c r="J784" s="53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220508580.391631</v>
      </c>
      <c r="K784" s="53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530457008.020428</v>
      </c>
      <c r="L784" s="53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651117649.270487</v>
      </c>
      <c r="M784" s="53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835757492.461203</v>
      </c>
      <c r="N784" s="53" t="n">
        <f aca="false">IF(COUNT('Business Case'!B11:G11)=0,"",H784+NPV(G784,I784:M784))</f>
        <v>-561609504.866546</v>
      </c>
      <c r="P784" s="54" t="n">
        <f aca="true">RAND()</f>
        <v>0.370895265506907</v>
      </c>
      <c r="Q784" s="54" t="n">
        <f aca="true">RAND()</f>
        <v>0.652114001828907</v>
      </c>
      <c r="R784" s="54" t="n">
        <f aca="true">RAND()</f>
        <v>0.814736421268824</v>
      </c>
      <c r="S784" s="54" t="n">
        <f aca="true">RAND()</f>
        <v>0.88802393566327</v>
      </c>
      <c r="T784" s="54" t="n">
        <f aca="true">RAND()</f>
        <v>0.037076917088714</v>
      </c>
      <c r="U784" s="54" t="n">
        <f aca="true">RAND()</f>
        <v>0.976103074374085</v>
      </c>
    </row>
    <row r="785" customFormat="false" ht="15" hidden="false" customHeight="false" outlineLevel="0" collapsed="false">
      <c r="A785" s="50" t="n">
        <v>705</v>
      </c>
      <c r="B785" s="51" t="n">
        <f aca="false">1+IF($G$6=$E$6,$F$6,IF(P785&lt;($F$6-$E$6)/($G$6-$E$6),$E$6+SQRT(P785*($G$6-$E$6)*($F$6-$E$6)),$G$6-SQRT((1-P785)*($G$6-$E$6)*($G$6-$F$6))))</f>
        <v>1.01259475703862</v>
      </c>
      <c r="C785" s="51" t="n">
        <f aca="false">1+IF($G$7=$E$7,$F$7,IF(Q785&lt;($F$7-$E$7)/($G$7-$E$7),$E$7+SQRT(Q785*($G$7-$E$7)*($F$7-$E$7)),$G$7-SQRT((1-Q785)*($G$7-$E$7)*($G$7-$F$7))))</f>
        <v>0.874991603349551</v>
      </c>
      <c r="D785" s="51" t="n">
        <f aca="false">1+IF($G$8=$E$8,$F$8,IF(R785&lt;($F$8-$E$8)/($G$8-$E$8),$E$8+SQRT(R785*($G$8-$E$8)*($F$8-$E$8)),$G$8-SQRT((1-R785)*($G$8-$E$8)*($G$8-$F$8))))</f>
        <v>1.0130959879479</v>
      </c>
      <c r="E785" s="51" t="n">
        <f aca="false">1+IF($G$9=$E$9,$F$9,IF(S785&lt;($F$9-$E$9)/($G$9-$E$9),$E$9+SQRT(S785*($G$9-$E$9)*($F$9-$E$9)),$G$9-SQRT((1-S785)*($G$9-$E$9)*($G$9-$F$9))))</f>
        <v>1.03771155739935</v>
      </c>
      <c r="F785" s="51" t="n">
        <f aca="false">1+IF($G$10=$E$10,$F$10,IF(T785&lt;($F$10-$E$10)/($G$10-$E$10),$E$10+SQRT(T785*($G$10-$E$10)*($F$10-$E$10)),$G$10-SQRT((1-T785)*($G$10-$E$10)*($G$10-$F$10))))</f>
        <v>1.137250372558</v>
      </c>
      <c r="G785" s="52" t="n">
        <f aca="false">IF($G$11=$E$11,$F$11,IF(U785&lt;($F$11-$E$11)/($G$11-$E$11),$E$11+SQRT(U785*($G$11-$E$11)*($F$11-$E$11)),$G$11-SQRT((1-U785)*($G$11-$E$11)*($G$11-$F$11))))</f>
        <v>0.094346623750733</v>
      </c>
      <c r="H785" s="53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-2274500745.116</v>
      </c>
      <c r="I785" s="53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-35302662.1575954</v>
      </c>
      <c r="J785" s="53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236613153.817433</v>
      </c>
      <c r="K785" s="53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565391488.420362</v>
      </c>
      <c r="L785" s="53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686650665.35513</v>
      </c>
      <c r="M785" s="53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855063809.2088</v>
      </c>
      <c r="N785" s="53" t="n">
        <f aca="false">IF(COUNT('Business Case'!B11:G11)=0,"",H785+NPV(G785,I785:M785))</f>
        <v>-654240007.13557</v>
      </c>
      <c r="P785" s="54" t="n">
        <f aca="true">RAND()</f>
        <v>0.813446373200055</v>
      </c>
      <c r="Q785" s="54" t="n">
        <f aca="true">RAND()</f>
        <v>0.226830083280346</v>
      </c>
      <c r="R785" s="54" t="n">
        <f aca="true">RAND()</f>
        <v>0.496512845949943</v>
      </c>
      <c r="S785" s="54" t="n">
        <f aca="true">RAND()</f>
        <v>0.663768150888524</v>
      </c>
      <c r="T785" s="54" t="n">
        <f aca="true">RAND()</f>
        <v>0.830500286822535</v>
      </c>
      <c r="U785" s="54" t="n">
        <f aca="true">RAND()</f>
        <v>0.205825613045096</v>
      </c>
    </row>
    <row r="786" customFormat="false" ht="15" hidden="false" customHeight="false" outlineLevel="0" collapsed="false">
      <c r="A786" s="50" t="n">
        <v>706</v>
      </c>
      <c r="B786" s="51" t="n">
        <f aca="false">1+IF($G$6=$E$6,$F$6,IF(P786&lt;($F$6-$E$6)/($G$6-$E$6),$E$6+SQRT(P786*($G$6-$E$6)*($F$6-$E$6)),$G$6-SQRT((1-P786)*($G$6-$E$6)*($G$6-$F$6))))</f>
        <v>1.04437879400052</v>
      </c>
      <c r="C786" s="51" t="n">
        <f aca="false">1+IF($G$7=$E$7,$F$7,IF(Q786&lt;($F$7-$E$7)/($G$7-$E$7),$E$7+SQRT(Q786*($G$7-$E$7)*($F$7-$E$7)),$G$7-SQRT((1-Q786)*($G$7-$E$7)*($G$7-$F$7))))</f>
        <v>0.922963410745334</v>
      </c>
      <c r="D786" s="51" t="n">
        <f aca="false">1+IF($G$8=$E$8,$F$8,IF(R786&lt;($F$8-$E$8)/($G$8-$E$8),$E$8+SQRT(R786*($G$8-$E$8)*($F$8-$E$8)),$G$8-SQRT((1-R786)*($G$8-$E$8)*($G$8-$F$8))))</f>
        <v>1.03473272116879</v>
      </c>
      <c r="E786" s="51" t="n">
        <f aca="false">1+IF($G$9=$E$9,$F$9,IF(S786&lt;($F$9-$E$9)/($G$9-$E$9),$E$9+SQRT(S786*($G$9-$E$9)*($F$9-$E$9)),$G$9-SQRT((1-S786)*($G$9-$E$9)*($G$9-$F$9))))</f>
        <v>0.95876664422388</v>
      </c>
      <c r="F786" s="51" t="n">
        <f aca="false">1+IF($G$10=$E$10,$F$10,IF(T786&lt;($F$10-$E$10)/($G$10-$E$10),$E$10+SQRT(T786*($G$10-$E$10)*($F$10-$E$10)),$G$10-SQRT((1-T786)*($G$10-$E$10)*($G$10-$F$10))))</f>
        <v>0.986686047073958</v>
      </c>
      <c r="G786" s="52" t="n">
        <f aca="false">IF($G$11=$E$11,$F$11,IF(U786&lt;($F$11-$E$11)/($G$11-$E$11),$E$11+SQRT(U786*($G$11-$E$11)*($F$11-$E$11)),$G$11-SQRT((1-U786)*($G$11-$E$11)*($G$11-$F$11))))</f>
        <v>0.109820272119389</v>
      </c>
      <c r="H786" s="53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-1973372094.14792</v>
      </c>
      <c r="I786" s="53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15653602.683515</v>
      </c>
      <c r="J786" s="53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316282216.655533</v>
      </c>
      <c r="K786" s="53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666245132.981249</v>
      </c>
      <c r="L786" s="53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799767864.153569</v>
      </c>
      <c r="M786" s="53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982990426.652631</v>
      </c>
      <c r="N786" s="53" t="n">
        <f aca="false">IF(COUNT('Business Case'!B11:G11)=0,"",H786+NPV(G786,I786:M786))</f>
        <v>-104090468.424242</v>
      </c>
      <c r="P786" s="54" t="n">
        <f aca="true">RAND()</f>
        <v>0.995786939081524</v>
      </c>
      <c r="Q786" s="54" t="n">
        <f aca="true">RAND()</f>
        <v>0.368242092823649</v>
      </c>
      <c r="R786" s="54" t="n">
        <f aca="true">RAND()</f>
        <v>0.716012154264634</v>
      </c>
      <c r="S786" s="54" t="n">
        <f aca="true">RAND()</f>
        <v>0.138140738933443</v>
      </c>
      <c r="T786" s="54" t="n">
        <f aca="true">RAND()</f>
        <v>0.0897244033275112</v>
      </c>
      <c r="U786" s="54" t="n">
        <f aca="true">RAND()</f>
        <v>0.728519055109659</v>
      </c>
    </row>
    <row r="787" customFormat="false" ht="15" hidden="false" customHeight="false" outlineLevel="0" collapsed="false">
      <c r="A787" s="50" t="n">
        <v>707</v>
      </c>
      <c r="B787" s="51" t="n">
        <f aca="false">1+IF($G$6=$E$6,$F$6,IF(P787&lt;($F$6-$E$6)/($G$6-$E$6),$E$6+SQRT(P787*($G$6-$E$6)*($F$6-$E$6)),$G$6-SQRT((1-P787)*($G$6-$E$6)*($G$6-$F$6))))</f>
        <v>0.900729873441931</v>
      </c>
      <c r="C787" s="51" t="n">
        <f aca="false">1+IF($G$7=$E$7,$F$7,IF(Q787&lt;($F$7-$E$7)/($G$7-$E$7),$E$7+SQRT(Q787*($G$7-$E$7)*($F$7-$E$7)),$G$7-SQRT((1-Q787)*($G$7-$E$7)*($G$7-$F$7))))</f>
        <v>1.12823919433132</v>
      </c>
      <c r="D787" s="51" t="n">
        <f aca="false">1+IF($G$8=$E$8,$F$8,IF(R787&lt;($F$8-$E$8)/($G$8-$E$8),$E$8+SQRT(R787*($G$8-$E$8)*($F$8-$E$8)),$G$8-SQRT((1-R787)*($G$8-$E$8)*($G$8-$F$8))))</f>
        <v>1.06681186705672</v>
      </c>
      <c r="E787" s="51" t="n">
        <f aca="false">1+IF($G$9=$E$9,$F$9,IF(S787&lt;($F$9-$E$9)/($G$9-$E$9),$E$9+SQRT(S787*($G$9-$E$9)*($F$9-$E$9)),$G$9-SQRT((1-S787)*($G$9-$E$9)*($G$9-$F$9))))</f>
        <v>0.976599125972478</v>
      </c>
      <c r="F787" s="51" t="n">
        <f aca="false">1+IF($G$10=$E$10,$F$10,IF(T787&lt;($F$10-$E$10)/($G$10-$E$10),$E$10+SQRT(T787*($G$10-$E$10)*($F$10-$E$10)),$G$10-SQRT((1-T787)*($G$10-$E$10)*($G$10-$F$10))))</f>
        <v>1.0233517207205</v>
      </c>
      <c r="G787" s="52" t="n">
        <f aca="false">IF($G$11=$E$11,$F$11,IF(U787&lt;($F$11-$E$11)/($G$11-$E$11),$E$11+SQRT(U787*($G$11-$E$11)*($F$11-$E$11)),$G$11-SQRT((1-U787)*($G$11-$E$11)*($G$11-$F$11))))</f>
        <v>0.103266808347783</v>
      </c>
      <c r="H787" s="53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-2046703441.44101</v>
      </c>
      <c r="I787" s="53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-77673300.3754755</v>
      </c>
      <c r="J787" s="53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138542783.664469</v>
      </c>
      <c r="K787" s="53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405926453.740437</v>
      </c>
      <c r="L787" s="53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513119692.840474</v>
      </c>
      <c r="M787" s="53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706286353.817444</v>
      </c>
      <c r="N787" s="53" t="n">
        <f aca="false">IF(COUNT('Business Case'!B11:G11)=0,"",H787+NPV(G787,I787:M787))</f>
        <v>-922579040.22071</v>
      </c>
      <c r="P787" s="54" t="n">
        <f aca="true">RAND()</f>
        <v>3.55143494157177E-005</v>
      </c>
      <c r="Q787" s="54" t="n">
        <f aca="true">RAND()</f>
        <v>0.992984701283702</v>
      </c>
      <c r="R787" s="54" t="n">
        <f aca="true">RAND()</f>
        <v>0.926569855449266</v>
      </c>
      <c r="S787" s="54" t="n">
        <f aca="true">RAND()</f>
        <v>0.234697043989902</v>
      </c>
      <c r="T787" s="54" t="n">
        <f aca="true">RAND()</f>
        <v>0.315074099995247</v>
      </c>
      <c r="U787" s="54" t="n">
        <f aca="true">RAND()</f>
        <v>0.523557642723889</v>
      </c>
    </row>
    <row r="788" customFormat="false" ht="15" hidden="false" customHeight="false" outlineLevel="0" collapsed="false">
      <c r="A788" s="50" t="n">
        <v>708</v>
      </c>
      <c r="B788" s="51" t="n">
        <f aca="false">1+IF($G$6=$E$6,$F$6,IF(P788&lt;($F$6-$E$6)/($G$6-$E$6),$E$6+SQRT(P788*($G$6-$E$6)*($F$6-$E$6)),$G$6-SQRT((1-P788)*($G$6-$E$6)*($G$6-$F$6))))</f>
        <v>0.978753017538602</v>
      </c>
      <c r="C788" s="51" t="n">
        <f aca="false">1+IF($G$7=$E$7,$F$7,IF(Q788&lt;($F$7-$E$7)/($G$7-$E$7),$E$7+SQRT(Q788*($G$7-$E$7)*($F$7-$E$7)),$G$7-SQRT((1-Q788)*($G$7-$E$7)*($G$7-$F$7))))</f>
        <v>0.792800088159206</v>
      </c>
      <c r="D788" s="51" t="n">
        <f aca="false">1+IF($G$8=$E$8,$F$8,IF(R788&lt;($F$8-$E$8)/($G$8-$E$8),$E$8+SQRT(R788*($G$8-$E$8)*($F$8-$E$8)),$G$8-SQRT((1-R788)*($G$8-$E$8)*($G$8-$F$8))))</f>
        <v>0.965726056012022</v>
      </c>
      <c r="E788" s="51" t="n">
        <f aca="false">1+IF($G$9=$E$9,$F$9,IF(S788&lt;($F$9-$E$9)/($G$9-$E$9),$E$9+SQRT(S788*($G$9-$E$9)*($F$9-$E$9)),$G$9-SQRT((1-S788)*($G$9-$E$9)*($G$9-$F$9))))</f>
        <v>1.0790467743933</v>
      </c>
      <c r="F788" s="51" t="n">
        <f aca="false">1+IF($G$10=$E$10,$F$10,IF(T788&lt;($F$10-$E$10)/($G$10-$E$10),$E$10+SQRT(T788*($G$10-$E$10)*($F$10-$E$10)),$G$10-SQRT((1-T788)*($G$10-$E$10)*($G$10-$F$10))))</f>
        <v>1.04800930388437</v>
      </c>
      <c r="G788" s="52" t="n">
        <f aca="false">IF($G$11=$E$11,$F$11,IF(U788&lt;($F$11-$E$11)/($G$11-$E$11),$E$11+SQRT(U788*($G$11-$E$11)*($F$11-$E$11)),$G$11-SQRT((1-U788)*($G$11-$E$11)*($G$11-$F$11))))</f>
        <v>0.117659661188613</v>
      </c>
      <c r="H788" s="53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-2096018607.76873</v>
      </c>
      <c r="I788" s="53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-54843641.3409964</v>
      </c>
      <c r="J788" s="53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188779631.035312</v>
      </c>
      <c r="K788" s="53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484803368.605839</v>
      </c>
      <c r="L788" s="53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592828147.404703</v>
      </c>
      <c r="M788" s="53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740321764.775222</v>
      </c>
      <c r="N788" s="53" t="n">
        <f aca="false">IF(COUNT('Business Case'!B11:G11)=0,"",H788+NPV(G788,I788:M788))</f>
        <v>-842304465.819861</v>
      </c>
      <c r="P788" s="54" t="n">
        <f aca="true">RAND()</f>
        <v>0.413469184762353</v>
      </c>
      <c r="Q788" s="54" t="n">
        <f aca="true">RAND()</f>
        <v>0.0637915286100477</v>
      </c>
      <c r="R788" s="54" t="n">
        <f aca="true">RAND()</f>
        <v>0.0329745116924341</v>
      </c>
      <c r="S788" s="54" t="n">
        <f aca="true">RAND()</f>
        <v>0.865750394026783</v>
      </c>
      <c r="T788" s="54" t="n">
        <f aca="true">RAND()</f>
        <v>0.455996782436292</v>
      </c>
      <c r="U788" s="54" t="n">
        <f aca="true">RAND()</f>
        <v>0.898477358680119</v>
      </c>
    </row>
    <row r="789" customFormat="false" ht="15" hidden="false" customHeight="false" outlineLevel="0" collapsed="false">
      <c r="A789" s="50" t="n">
        <v>709</v>
      </c>
      <c r="B789" s="51" t="n">
        <f aca="false">1+IF($G$6=$E$6,$F$6,IF(P789&lt;($F$6-$E$6)/($G$6-$E$6),$E$6+SQRT(P789*($G$6-$E$6)*($F$6-$E$6)),$G$6-SQRT((1-P789)*($G$6-$E$6)*($G$6-$F$6))))</f>
        <v>0.921207570131368</v>
      </c>
      <c r="C789" s="51" t="n">
        <f aca="false">1+IF($G$7=$E$7,$F$7,IF(Q789&lt;($F$7-$E$7)/($G$7-$E$7),$E$7+SQRT(Q789*($G$7-$E$7)*($F$7-$E$7)),$G$7-SQRT((1-Q789)*($G$7-$E$7)*($G$7-$F$7))))</f>
        <v>1.0633430425128</v>
      </c>
      <c r="D789" s="51" t="n">
        <f aca="false">1+IF($G$8=$E$8,$F$8,IF(R789&lt;($F$8-$E$8)/($G$8-$E$8),$E$8+SQRT(R789*($G$8-$E$8)*($F$8-$E$8)),$G$8-SQRT((1-R789)*($G$8-$E$8)*($G$8-$F$8))))</f>
        <v>1.01840746991682</v>
      </c>
      <c r="E789" s="51" t="n">
        <f aca="false">1+IF($G$9=$E$9,$F$9,IF(S789&lt;($F$9-$E$9)/($G$9-$E$9),$E$9+SQRT(S789*($G$9-$E$9)*($F$9-$E$9)),$G$9-SQRT((1-S789)*($G$9-$E$9)*($G$9-$F$9))))</f>
        <v>0.981169923064578</v>
      </c>
      <c r="F789" s="51" t="n">
        <f aca="false">1+IF($G$10=$E$10,$F$10,IF(T789&lt;($F$10-$E$10)/($G$10-$E$10),$E$10+SQRT(T789*($G$10-$E$10)*($F$10-$E$10)),$G$10-SQRT((1-T789)*($G$10-$E$10)*($G$10-$F$10))))</f>
        <v>1.00655540389326</v>
      </c>
      <c r="G789" s="52" t="n">
        <f aca="false">IF($G$11=$E$11,$F$11,IF(U789&lt;($F$11-$E$11)/($G$11-$E$11),$E$11+SQRT(U789*($G$11-$E$11)*($F$11-$E$11)),$G$11-SQRT((1-U789)*($G$11-$E$11)*($G$11-$F$11))))</f>
        <v>0.1145167085533</v>
      </c>
      <c r="H789" s="53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-2013110807.78653</v>
      </c>
      <c r="I789" s="53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-42994999.5146503</v>
      </c>
      <c r="J789" s="53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204968277.215428</v>
      </c>
      <c r="K789" s="53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503259324.140169</v>
      </c>
      <c r="L789" s="53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619767331.580608</v>
      </c>
      <c r="M789" s="53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805962031.831211</v>
      </c>
      <c r="N789" s="53" t="n">
        <f aca="false">IF(COUNT('Business Case'!B11:G11)=0,"",H789+NPV(G789,I789:M789))</f>
        <v>-652786053.152819</v>
      </c>
      <c r="P789" s="54" t="n">
        <f aca="true">RAND()</f>
        <v>0.0299840687251267</v>
      </c>
      <c r="Q789" s="54" t="n">
        <f aca="true">RAND()</f>
        <v>0.888749210652774</v>
      </c>
      <c r="R789" s="54" t="n">
        <f aca="true">RAND()</f>
        <v>0.556177268975008</v>
      </c>
      <c r="S789" s="54" t="n">
        <f aca="true">RAND()</f>
        <v>0.263542256412383</v>
      </c>
      <c r="T789" s="54" t="n">
        <f aca="true">RAND()</f>
        <v>0.209796381685704</v>
      </c>
      <c r="U789" s="54" t="n">
        <f aca="true">RAND()</f>
        <v>0.840178457317698</v>
      </c>
    </row>
    <row r="790" customFormat="false" ht="15" hidden="false" customHeight="false" outlineLevel="0" collapsed="false">
      <c r="A790" s="50" t="n">
        <v>710</v>
      </c>
      <c r="B790" s="51" t="n">
        <f aca="false">1+IF($G$6=$E$6,$F$6,IF(P790&lt;($F$6-$E$6)/($G$6-$E$6),$E$6+SQRT(P790*($G$6-$E$6)*($F$6-$E$6)),$G$6-SQRT((1-P790)*($G$6-$E$6)*($G$6-$F$6))))</f>
        <v>0.993734532396534</v>
      </c>
      <c r="C790" s="51" t="n">
        <f aca="false">1+IF($G$7=$E$7,$F$7,IF(Q790&lt;($F$7-$E$7)/($G$7-$E$7),$E$7+SQRT(Q790*($G$7-$E$7)*($F$7-$E$7)),$G$7-SQRT((1-Q790)*($G$7-$E$7)*($G$7-$F$7))))</f>
        <v>1.09716816406287</v>
      </c>
      <c r="D790" s="51" t="n">
        <f aca="false">1+IF($G$8=$E$8,$F$8,IF(R790&lt;($F$8-$E$8)/($G$8-$E$8),$E$8+SQRT(R790*($G$8-$E$8)*($F$8-$E$8)),$G$8-SQRT((1-R790)*($G$8-$E$8)*($G$8-$F$8))))</f>
        <v>0.991099009430223</v>
      </c>
      <c r="E790" s="51" t="n">
        <f aca="false">1+IF($G$9=$E$9,$F$9,IF(S790&lt;($F$9-$E$9)/($G$9-$E$9),$E$9+SQRT(S790*($G$9-$E$9)*($F$9-$E$9)),$G$9-SQRT((1-S790)*($G$9-$E$9)*($G$9-$F$9))))</f>
        <v>0.962734929176175</v>
      </c>
      <c r="F790" s="51" t="n">
        <f aca="false">1+IF($G$10=$E$10,$F$10,IF(T790&lt;($F$10-$E$10)/($G$10-$E$10),$E$10+SQRT(T790*($G$10-$E$10)*($F$10-$E$10)),$G$10-SQRT((1-T790)*($G$10-$E$10)*($G$10-$F$10))))</f>
        <v>1.05624661265379</v>
      </c>
      <c r="G790" s="52" t="n">
        <f aca="false">IF($G$11=$E$11,$F$11,IF(U790&lt;($F$11-$E$11)/($G$11-$E$11),$E$11+SQRT(U790*($G$11-$E$11)*($F$11-$E$11)),$G$11-SQRT((1-U790)*($G$11-$E$11)*($G$11-$F$11))))</f>
        <v>0.124268239746785</v>
      </c>
      <c r="H790" s="53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-2112493225.30759</v>
      </c>
      <c r="I790" s="53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37319820.0423682</v>
      </c>
      <c r="J790" s="53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373686043.664891</v>
      </c>
      <c r="K790" s="53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762864597.920104</v>
      </c>
      <c r="L790" s="53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912667229.384894</v>
      </c>
      <c r="M790" s="53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1119910292.46661</v>
      </c>
      <c r="N790" s="53" t="n">
        <f aca="false">IF(COUNT('Business Case'!B11:G11)=0,"",H790+NPV(G790,I790:M790))</f>
        <v>-52070506.8339286</v>
      </c>
      <c r="P790" s="54" t="n">
        <f aca="true">RAND()</f>
        <v>0.585744170906464</v>
      </c>
      <c r="Q790" s="54" t="n">
        <f aca="true">RAND()</f>
        <v>0.958648846096469</v>
      </c>
      <c r="R790" s="54" t="n">
        <f aca="true">RAND()</f>
        <v>0.225217143486078</v>
      </c>
      <c r="S790" s="54" t="n">
        <f aca="true">RAND()</f>
        <v>0.157426853549585</v>
      </c>
      <c r="T790" s="54" t="n">
        <f aca="true">RAND()</f>
        <v>0.499461665224942</v>
      </c>
      <c r="U790" s="54" t="n">
        <f aca="true">RAND()</f>
        <v>0.978097949599774</v>
      </c>
    </row>
    <row r="791" customFormat="false" ht="15" hidden="false" customHeight="false" outlineLevel="0" collapsed="false">
      <c r="A791" s="50" t="n">
        <v>711</v>
      </c>
      <c r="B791" s="51" t="n">
        <f aca="false">1+IF($G$6=$E$6,$F$6,IF(P791&lt;($F$6-$E$6)/($G$6-$E$6),$E$6+SQRT(P791*($G$6-$E$6)*($F$6-$E$6)),$G$6-SQRT((1-P791)*($G$6-$E$6)*($G$6-$F$6))))</f>
        <v>0.970668846416817</v>
      </c>
      <c r="C791" s="51" t="n">
        <f aca="false">1+IF($G$7=$E$7,$F$7,IF(Q791&lt;($F$7-$E$7)/($G$7-$E$7),$E$7+SQRT(Q791*($G$7-$E$7)*($F$7-$E$7)),$G$7-SQRT((1-Q791)*($G$7-$E$7)*($G$7-$F$7))))</f>
        <v>1.11903194016271</v>
      </c>
      <c r="D791" s="51" t="n">
        <f aca="false">1+IF($G$8=$E$8,$F$8,IF(R791&lt;($F$8-$E$8)/($G$8-$E$8),$E$8+SQRT(R791*($G$8-$E$8)*($F$8-$E$8)),$G$8-SQRT((1-R791)*($G$8-$E$8)*($G$8-$F$8))))</f>
        <v>1.0044109632555</v>
      </c>
      <c r="E791" s="51" t="n">
        <f aca="false">1+IF($G$9=$E$9,$F$9,IF(S791&lt;($F$9-$E$9)/($G$9-$E$9),$E$9+SQRT(S791*($G$9-$E$9)*($F$9-$E$9)),$G$9-SQRT((1-S791)*($G$9-$E$9)*($G$9-$F$9))))</f>
        <v>1.02060601878735</v>
      </c>
      <c r="F791" s="51" t="n">
        <f aca="false">1+IF($G$10=$E$10,$F$10,IF(T791&lt;($F$10-$E$10)/($G$10-$E$10),$E$10+SQRT(T791*($G$10-$E$10)*($F$10-$E$10)),$G$10-SQRT((1-T791)*($G$10-$E$10)*($G$10-$F$10))))</f>
        <v>1.03347583323571</v>
      </c>
      <c r="G791" s="52" t="n">
        <f aca="false">IF($G$11=$E$11,$F$11,IF(U791&lt;($F$11-$E$11)/($G$11-$E$11),$E$11+SQRT(U791*($G$11-$E$11)*($F$11-$E$11)),$G$11-SQRT((1-U791)*($G$11-$E$11)*($G$11-$F$11))))</f>
        <v>0.098542375979727</v>
      </c>
      <c r="H791" s="53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-2066951666.47142</v>
      </c>
      <c r="I791" s="53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9515211.34582144</v>
      </c>
      <c r="J791" s="53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323817279.38397</v>
      </c>
      <c r="K791" s="53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689793139.083904</v>
      </c>
      <c r="L791" s="53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832099893.428083</v>
      </c>
      <c r="M791" s="53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1038566584.25113</v>
      </c>
      <c r="N791" s="53" t="n">
        <f aca="false">IF(COUNT('Business Case'!B11:G11)=0,"",H791+NPV(G791,I791:M791))</f>
        <v>-49128604.1269047</v>
      </c>
      <c r="P791" s="54" t="n">
        <f aca="true">RAND()</f>
        <v>0.332939056925579</v>
      </c>
      <c r="Q791" s="54" t="n">
        <f aca="true">RAND()</f>
        <v>0.98579228548021</v>
      </c>
      <c r="R791" s="54" t="n">
        <f aca="true">RAND()</f>
        <v>0.390849070283867</v>
      </c>
      <c r="S791" s="54" t="n">
        <f aca="true">RAND()</f>
        <v>0.553525270025093</v>
      </c>
      <c r="T791" s="54" t="n">
        <f aca="true">RAND()</f>
        <v>0.37489713609374</v>
      </c>
      <c r="U791" s="54" t="n">
        <f aca="true">RAND()</f>
        <v>0.343819706973558</v>
      </c>
    </row>
    <row r="792" customFormat="false" ht="15" hidden="false" customHeight="false" outlineLevel="0" collapsed="false">
      <c r="A792" s="50" t="n">
        <v>712</v>
      </c>
      <c r="B792" s="51" t="n">
        <f aca="false">1+IF($G$6=$E$6,$F$6,IF(P792&lt;($F$6-$E$6)/($G$6-$E$6),$E$6+SQRT(P792*($G$6-$E$6)*($F$6-$E$6)),$G$6-SQRT((1-P792)*($G$6-$E$6)*($G$6-$F$6))))</f>
        <v>0.972147811343421</v>
      </c>
      <c r="C792" s="51" t="n">
        <f aca="false">1+IF($G$7=$E$7,$F$7,IF(Q792&lt;($F$7-$E$7)/($G$7-$E$7),$E$7+SQRT(Q792*($G$7-$E$7)*($F$7-$E$7)),$G$7-SQRT((1-Q792)*($G$7-$E$7)*($G$7-$F$7))))</f>
        <v>0.786331352045841</v>
      </c>
      <c r="D792" s="51" t="n">
        <f aca="false">1+IF($G$8=$E$8,$F$8,IF(R792&lt;($F$8-$E$8)/($G$8-$E$8),$E$8+SQRT(R792*($G$8-$E$8)*($F$8-$E$8)),$G$8-SQRT((1-R792)*($G$8-$E$8)*($G$8-$F$8))))</f>
        <v>1.00096685002974</v>
      </c>
      <c r="E792" s="51" t="n">
        <f aca="false">1+IF($G$9=$E$9,$F$9,IF(S792&lt;($F$9-$E$9)/($G$9-$E$9),$E$9+SQRT(S792*($G$9-$E$9)*($F$9-$E$9)),$G$9-SQRT((1-S792)*($G$9-$E$9)*($G$9-$F$9))))</f>
        <v>0.998965552763822</v>
      </c>
      <c r="F792" s="51" t="n">
        <f aca="false">1+IF($G$10=$E$10,$F$10,IF(T792&lt;($F$10-$E$10)/($G$10-$E$10),$E$10+SQRT(T792*($G$10-$E$10)*($F$10-$E$10)),$G$10-SQRT((1-T792)*($G$10-$E$10)*($G$10-$F$10))))</f>
        <v>1.00546744710992</v>
      </c>
      <c r="G792" s="52" t="n">
        <f aca="false">IF($G$11=$E$11,$F$11,IF(U792&lt;($F$11-$E$11)/($G$11-$E$11),$E$11+SQRT(U792*($G$11-$E$11)*($F$11-$E$11)),$G$11-SQRT((1-U792)*($G$11-$E$11)*($G$11-$F$11))))</f>
        <v>0.101612586699159</v>
      </c>
      <c r="H792" s="53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-2010934894.21984</v>
      </c>
      <c r="I792" s="53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-59032196.510781</v>
      </c>
      <c r="J792" s="53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164163320.193852</v>
      </c>
      <c r="K792" s="53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437632209.253982</v>
      </c>
      <c r="L792" s="53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538449426.089797</v>
      </c>
      <c r="M792" s="53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683752338.061623</v>
      </c>
      <c r="N792" s="53" t="n">
        <f aca="false">IF(COUNT('Business Case'!B11:G11)=0,"",H792+NPV(G792,I792:M792))</f>
        <v>-814811399.326027</v>
      </c>
      <c r="P792" s="54" t="n">
        <f aca="true">RAND()</f>
        <v>0.34702044544306</v>
      </c>
      <c r="Q792" s="54" t="n">
        <f aca="true">RAND()</f>
        <v>0.0552081655263918</v>
      </c>
      <c r="R792" s="54" t="n">
        <f aca="true">RAND()</f>
        <v>0.346162347131173</v>
      </c>
      <c r="S792" s="54" t="n">
        <f aca="true">RAND()</f>
        <v>0.39176722535395</v>
      </c>
      <c r="T792" s="54" t="n">
        <f aca="true">RAND()</f>
        <v>0.202717741027472</v>
      </c>
      <c r="U792" s="54" t="n">
        <f aca="true">RAND()</f>
        <v>0.462769844058174</v>
      </c>
    </row>
    <row r="793" customFormat="false" ht="15" hidden="false" customHeight="false" outlineLevel="0" collapsed="false">
      <c r="A793" s="50" t="n">
        <v>713</v>
      </c>
      <c r="B793" s="51" t="n">
        <f aca="false">1+IF($G$6=$E$6,$F$6,IF(P793&lt;($F$6-$E$6)/($G$6-$E$6),$E$6+SQRT(P793*($G$6-$E$6)*($F$6-$E$6)),$G$6-SQRT((1-P793)*($G$6-$E$6)*($G$6-$F$6))))</f>
        <v>0.973305803111867</v>
      </c>
      <c r="C793" s="51" t="n">
        <f aca="false">1+IF($G$7=$E$7,$F$7,IF(Q793&lt;($F$7-$E$7)/($G$7-$E$7),$E$7+SQRT(Q793*($G$7-$E$7)*($F$7-$E$7)),$G$7-SQRT((1-Q793)*($G$7-$E$7)*($G$7-$F$7))))</f>
        <v>1.09173512544575</v>
      </c>
      <c r="D793" s="51" t="n">
        <f aca="false">1+IF($G$8=$E$8,$F$8,IF(R793&lt;($F$8-$E$8)/($G$8-$E$8),$E$8+SQRT(R793*($G$8-$E$8)*($F$8-$E$8)),$G$8-SQRT((1-R793)*($G$8-$E$8)*($G$8-$F$8))))</f>
        <v>1.03164799580184</v>
      </c>
      <c r="E793" s="51" t="n">
        <f aca="false">1+IF($G$9=$E$9,$F$9,IF(S793&lt;($F$9-$E$9)/($G$9-$E$9),$E$9+SQRT(S793*($G$9-$E$9)*($F$9-$E$9)),$G$9-SQRT((1-S793)*($G$9-$E$9)*($G$9-$F$9))))</f>
        <v>1.02713021579288</v>
      </c>
      <c r="F793" s="51" t="n">
        <f aca="false">1+IF($G$10=$E$10,$F$10,IF(T793&lt;($F$10-$E$10)/($G$10-$E$10),$E$10+SQRT(T793*($G$10-$E$10)*($F$10-$E$10)),$G$10-SQRT((1-T793)*($G$10-$E$10)*($G$10-$F$10))))</f>
        <v>1.05945468470285</v>
      </c>
      <c r="G793" s="52" t="n">
        <f aca="false">IF($G$11=$E$11,$F$11,IF(U793&lt;($F$11-$E$11)/($G$11-$E$11),$E$11+SQRT(U793*($G$11-$E$11)*($F$11-$E$11)),$G$11-SQRT((1-U793)*($G$11-$E$11)*($G$11-$F$11))))</f>
        <v>0.123760079584861</v>
      </c>
      <c r="H793" s="53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-2118909369.4057</v>
      </c>
      <c r="I793" s="53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-13317208.1234383</v>
      </c>
      <c r="J793" s="53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280453745.086852</v>
      </c>
      <c r="K793" s="53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627197432.532284</v>
      </c>
      <c r="L793" s="53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761844267.720845</v>
      </c>
      <c r="M793" s="53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963821780.372398</v>
      </c>
      <c r="N793" s="53" t="n">
        <f aca="false">IF(COUNT('Business Case'!B11:G11)=0,"",H793+NPV(G793,I793:M793))</f>
        <v>-451189036.73994</v>
      </c>
      <c r="P793" s="54" t="n">
        <f aca="true">RAND()</f>
        <v>0.358249384658385</v>
      </c>
      <c r="Q793" s="54" t="n">
        <f aca="true">RAND()</f>
        <v>0.949706731750782</v>
      </c>
      <c r="R793" s="54" t="n">
        <f aca="true">RAND()</f>
        <v>0.688533568139625</v>
      </c>
      <c r="S793" s="54" t="n">
        <f aca="true">RAND()</f>
        <v>0.597413763437218</v>
      </c>
      <c r="T793" s="54" t="n">
        <f aca="true">RAND()</f>
        <v>0.515899770910785</v>
      </c>
      <c r="U793" s="54" t="n">
        <f aca="true">RAND()</f>
        <v>0.974042262141819</v>
      </c>
    </row>
    <row r="794" customFormat="false" ht="15" hidden="false" customHeight="false" outlineLevel="0" collapsed="false">
      <c r="A794" s="50" t="n">
        <v>714</v>
      </c>
      <c r="B794" s="51" t="n">
        <f aca="false">1+IF($G$6=$E$6,$F$6,IF(P794&lt;($F$6-$E$6)/($G$6-$E$6),$E$6+SQRT(P794*($G$6-$E$6)*($F$6-$E$6)),$G$6-SQRT((1-P794)*($G$6-$E$6)*($G$6-$F$6))))</f>
        <v>0.916057745208436</v>
      </c>
      <c r="C794" s="51" t="n">
        <f aca="false">1+IF($G$7=$E$7,$F$7,IF(Q794&lt;($F$7-$E$7)/($G$7-$E$7),$E$7+SQRT(Q794*($G$7-$E$7)*($F$7-$E$7)),$G$7-SQRT((1-Q794)*($G$7-$E$7)*($G$7-$F$7))))</f>
        <v>0.844614649174462</v>
      </c>
      <c r="D794" s="51" t="n">
        <f aca="false">1+IF($G$8=$E$8,$F$8,IF(R794&lt;($F$8-$E$8)/($G$8-$E$8),$E$8+SQRT(R794*($G$8-$E$8)*($F$8-$E$8)),$G$8-SQRT((1-R794)*($G$8-$E$8)*($G$8-$F$8))))</f>
        <v>0.976905197492868</v>
      </c>
      <c r="E794" s="51" t="n">
        <f aca="false">1+IF($G$9=$E$9,$F$9,IF(S794&lt;($F$9-$E$9)/($G$9-$E$9),$E$9+SQRT(S794*($G$9-$E$9)*($F$9-$E$9)),$G$9-SQRT((1-S794)*($G$9-$E$9)*($G$9-$F$9))))</f>
        <v>0.982641377400932</v>
      </c>
      <c r="F794" s="51" t="n">
        <f aca="false">1+IF($G$10=$E$10,$F$10,IF(T794&lt;($F$10-$E$10)/($G$10-$E$10),$E$10+SQRT(T794*($G$10-$E$10)*($F$10-$E$10)),$G$10-SQRT((1-T794)*($G$10-$E$10)*($G$10-$F$10))))</f>
        <v>1.13245118463742</v>
      </c>
      <c r="G794" s="52" t="n">
        <f aca="false">IF($G$11=$E$11,$F$11,IF(U794&lt;($F$11-$E$11)/($G$11-$E$11),$E$11+SQRT(U794*($G$11-$E$11)*($F$11-$E$11)),$G$11-SQRT((1-U794)*($G$11-$E$11)*($G$11-$F$11))))</f>
        <v>0.0884816224345246</v>
      </c>
      <c r="H794" s="53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-2264902369.27485</v>
      </c>
      <c r="I794" s="53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-81746721.4396721</v>
      </c>
      <c r="J794" s="53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129592706.06106</v>
      </c>
      <c r="K794" s="53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397554692.793663</v>
      </c>
      <c r="L794" s="53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494740786.367407</v>
      </c>
      <c r="M794" s="53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641808683.938321</v>
      </c>
      <c r="N794" s="53" t="n">
        <f aca="false">IF(COUNT('Business Case'!B11:G11)=0,"",H794+NPV(G794,I794:M794))</f>
        <v>-1149856508.80903</v>
      </c>
      <c r="P794" s="54" t="n">
        <f aca="true">RAND()</f>
        <v>0.0171900787452701</v>
      </c>
      <c r="Q794" s="54" t="n">
        <f aca="true">RAND()</f>
        <v>0.154914050043354</v>
      </c>
      <c r="R794" s="54" t="n">
        <f aca="true">RAND()</f>
        <v>0.0965186202840314</v>
      </c>
      <c r="S794" s="54" t="n">
        <f aca="true">RAND()</f>
        <v>0.273183890348928</v>
      </c>
      <c r="T794" s="54" t="n">
        <f aca="true">RAND()</f>
        <v>0.8157636800914</v>
      </c>
      <c r="U794" s="54" t="n">
        <f aca="true">RAND()</f>
        <v>0.0719379191218308</v>
      </c>
    </row>
    <row r="795" customFormat="false" ht="15" hidden="false" customHeight="false" outlineLevel="0" collapsed="false">
      <c r="A795" s="50" t="n">
        <v>715</v>
      </c>
      <c r="B795" s="51" t="n">
        <f aca="false">1+IF($G$6=$E$6,$F$6,IF(P795&lt;($F$6-$E$6)/($G$6-$E$6),$E$6+SQRT(P795*($G$6-$E$6)*($F$6-$E$6)),$G$6-SQRT((1-P795)*($G$6-$E$6)*($G$6-$F$6))))</f>
        <v>1.02527697586629</v>
      </c>
      <c r="C795" s="51" t="n">
        <f aca="false">1+IF($G$7=$E$7,$F$7,IF(Q795&lt;($F$7-$E$7)/($G$7-$E$7),$E$7+SQRT(Q795*($G$7-$E$7)*($F$7-$E$7)),$G$7-SQRT((1-Q795)*($G$7-$E$7)*($G$7-$F$7))))</f>
        <v>1.02232876851018</v>
      </c>
      <c r="D795" s="51" t="n">
        <f aca="false">1+IF($G$8=$E$8,$F$8,IF(R795&lt;($F$8-$E$8)/($G$8-$E$8),$E$8+SQRT(R795*($G$8-$E$8)*($F$8-$E$8)),$G$8-SQRT((1-R795)*($G$8-$E$8)*($G$8-$F$8))))</f>
        <v>1.00276140589527</v>
      </c>
      <c r="E795" s="51" t="n">
        <f aca="false">1+IF($G$9=$E$9,$F$9,IF(S795&lt;($F$9-$E$9)/($G$9-$E$9),$E$9+SQRT(S795*($G$9-$E$9)*($F$9-$E$9)),$G$9-SQRT((1-S795)*($G$9-$E$9)*($G$9-$F$9))))</f>
        <v>1.1321658862629</v>
      </c>
      <c r="F795" s="51" t="n">
        <f aca="false">1+IF($G$10=$E$10,$F$10,IF(T795&lt;($F$10-$E$10)/($G$10-$E$10),$E$10+SQRT(T795*($G$10-$E$10)*($F$10-$E$10)),$G$10-SQRT((1-T795)*($G$10-$E$10)*($G$10-$F$10))))</f>
        <v>1.04937459002587</v>
      </c>
      <c r="G795" s="52" t="n">
        <f aca="false">IF($G$11=$E$11,$F$11,IF(U795&lt;($F$11-$E$11)/($G$11-$E$11),$E$11+SQRT(U795*($G$11-$E$11)*($F$11-$E$11)),$G$11-SQRT((1-U795)*($G$11-$E$11)*($G$11-$F$11))))</f>
        <v>0.115261788811569</v>
      </c>
      <c r="H795" s="53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-2098749180.05174</v>
      </c>
      <c r="I795" s="53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13462504.6016882</v>
      </c>
      <c r="J795" s="53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347193597.711049</v>
      </c>
      <c r="K795" s="53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733393420.321703</v>
      </c>
      <c r="L795" s="53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880861878.343824</v>
      </c>
      <c r="M795" s="53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1080098060.09833</v>
      </c>
      <c r="N795" s="53" t="n">
        <f aca="false">IF(COUNT('Business Case'!B11:G11)=0,"",H795+NPV(G795,I795:M795))</f>
        <v>-83459343.1583054</v>
      </c>
      <c r="P795" s="54" t="n">
        <f aca="true">RAND()</f>
        <v>0.918502943691205</v>
      </c>
      <c r="Q795" s="54" t="n">
        <f aca="true">RAND()</f>
        <v>0.758519357775877</v>
      </c>
      <c r="R795" s="54" t="n">
        <f aca="true">RAND()</f>
        <v>0.369643721102358</v>
      </c>
      <c r="S795" s="54" t="n">
        <f aca="true">RAND()</f>
        <v>0.991518516992328</v>
      </c>
      <c r="T795" s="54" t="n">
        <f aca="true">RAND()</f>
        <v>0.463325931636171</v>
      </c>
      <c r="U795" s="54" t="n">
        <f aca="true">RAND()</f>
        <v>0.855190087310135</v>
      </c>
    </row>
    <row r="796" customFormat="false" ht="15" hidden="false" customHeight="false" outlineLevel="0" collapsed="false">
      <c r="A796" s="50" t="n">
        <v>716</v>
      </c>
      <c r="B796" s="51" t="n">
        <f aca="false">1+IF($G$6=$E$6,$F$6,IF(P796&lt;($F$6-$E$6)/($G$6-$E$6),$E$6+SQRT(P796*($G$6-$E$6)*($F$6-$E$6)),$G$6-SQRT((1-P796)*($G$6-$E$6)*($G$6-$F$6))))</f>
        <v>0.98727961651198</v>
      </c>
      <c r="C796" s="51" t="n">
        <f aca="false">1+IF($G$7=$E$7,$F$7,IF(Q796&lt;($F$7-$E$7)/($G$7-$E$7),$E$7+SQRT(Q796*($G$7-$E$7)*($F$7-$E$7)),$G$7-SQRT((1-Q796)*($G$7-$E$7)*($G$7-$F$7))))</f>
        <v>1.06985036312235</v>
      </c>
      <c r="D796" s="51" t="n">
        <f aca="false">1+IF($G$8=$E$8,$F$8,IF(R796&lt;($F$8-$E$8)/($G$8-$E$8),$E$8+SQRT(R796*($G$8-$E$8)*($F$8-$E$8)),$G$8-SQRT((1-R796)*($G$8-$E$8)*($G$8-$F$8))))</f>
        <v>1.02361031903614</v>
      </c>
      <c r="E796" s="51" t="n">
        <f aca="false">1+IF($G$9=$E$9,$F$9,IF(S796&lt;($F$9-$E$9)/($G$9-$E$9),$E$9+SQRT(S796*($G$9-$E$9)*($F$9-$E$9)),$G$9-SQRT((1-S796)*($G$9-$E$9)*($G$9-$F$9))))</f>
        <v>0.961437579351873</v>
      </c>
      <c r="F796" s="51" t="n">
        <f aca="false">1+IF($G$10=$E$10,$F$10,IF(T796&lt;($F$10-$E$10)/($G$10-$E$10),$E$10+SQRT(T796*($G$10-$E$10)*($F$10-$E$10)),$G$10-SQRT((1-T796)*($G$10-$E$10)*($G$10-$F$10))))</f>
        <v>1.01522435977165</v>
      </c>
      <c r="G796" s="52" t="n">
        <f aca="false">IF($G$11=$E$11,$F$11,IF(U796&lt;($F$11-$E$11)/($G$11-$E$11),$E$11+SQRT(U796*($G$11-$E$11)*($F$11-$E$11)),$G$11-SQRT((1-U796)*($G$11-$E$11)*($G$11-$F$11))))</f>
        <v>0.0928075032644541</v>
      </c>
      <c r="H796" s="53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-2030448719.54331</v>
      </c>
      <c r="I796" s="53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11534739.757429</v>
      </c>
      <c r="J796" s="53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316063896.366752</v>
      </c>
      <c r="K796" s="53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671354270.964658</v>
      </c>
      <c r="L796" s="53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809367694.561694</v>
      </c>
      <c r="M796" s="53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1010138070.56163</v>
      </c>
      <c r="N796" s="53" t="n">
        <f aca="false">IF(COUNT('Business Case'!B11:G11)=0,"",H796+NPV(G796,I796:M796))</f>
        <v>-25173223.8780048</v>
      </c>
      <c r="P796" s="54" t="n">
        <f aca="true">RAND()</f>
        <v>0.507848763898551</v>
      </c>
      <c r="Q796" s="54" t="n">
        <f aca="true">RAND()</f>
        <v>0.904830158642681</v>
      </c>
      <c r="R796" s="54" t="n">
        <f aca="true">RAND()</f>
        <v>0.610974442816</v>
      </c>
      <c r="S796" s="54" t="n">
        <f aca="true">RAND()</f>
        <v>0.150983046264707</v>
      </c>
      <c r="T796" s="54" t="n">
        <f aca="true">RAND()</f>
        <v>0.265071983404935</v>
      </c>
      <c r="U796" s="54" t="n">
        <f aca="true">RAND()</f>
        <v>0.164032139869003</v>
      </c>
    </row>
    <row r="797" customFormat="false" ht="15" hidden="false" customHeight="false" outlineLevel="0" collapsed="false">
      <c r="A797" s="50" t="n">
        <v>717</v>
      </c>
      <c r="B797" s="51" t="n">
        <f aca="false">1+IF($G$6=$E$6,$F$6,IF(P797&lt;($F$6-$E$6)/($G$6-$E$6),$E$6+SQRT(P797*($G$6-$E$6)*($F$6-$E$6)),$G$6-SQRT((1-P797)*($G$6-$E$6)*($G$6-$F$6))))</f>
        <v>0.999163918352598</v>
      </c>
      <c r="C797" s="51" t="n">
        <f aca="false">1+IF($G$7=$E$7,$F$7,IF(Q797&lt;($F$7-$E$7)/($G$7-$E$7),$E$7+SQRT(Q797*($G$7-$E$7)*($F$7-$E$7)),$G$7-SQRT((1-Q797)*($G$7-$E$7)*($G$7-$F$7))))</f>
        <v>0.799143821349246</v>
      </c>
      <c r="D797" s="51" t="n">
        <f aca="false">1+IF($G$8=$E$8,$F$8,IF(R797&lt;($F$8-$E$8)/($G$8-$E$8),$E$8+SQRT(R797*($G$8-$E$8)*($F$8-$E$8)),$G$8-SQRT((1-R797)*($G$8-$E$8)*($G$8-$F$8))))</f>
        <v>0.970651937021533</v>
      </c>
      <c r="E797" s="51" t="n">
        <f aca="false">1+IF($G$9=$E$9,$F$9,IF(S797&lt;($F$9-$E$9)/($G$9-$E$9),$E$9+SQRT(S797*($G$9-$E$9)*($F$9-$E$9)),$G$9-SQRT((1-S797)*($G$9-$E$9)*($G$9-$F$9))))</f>
        <v>0.954187561730009</v>
      </c>
      <c r="F797" s="51" t="n">
        <f aca="false">1+IF($G$10=$E$10,$F$10,IF(T797&lt;($F$10-$E$10)/($G$10-$E$10),$E$10+SQRT(T797*($G$10-$E$10)*($F$10-$E$10)),$G$10-SQRT((1-T797)*($G$10-$E$10)*($G$10-$F$10))))</f>
        <v>1.10133037138962</v>
      </c>
      <c r="G797" s="52" t="n">
        <f aca="false">IF($G$11=$E$11,$F$11,IF(U797&lt;($F$11-$E$11)/($G$11-$E$11),$E$11+SQRT(U797*($G$11-$E$11)*($F$11-$E$11)),$G$11-SQRT((1-U797)*($G$11-$E$11)*($G$11-$F$11))))</f>
        <v>0.126991412123587</v>
      </c>
      <c r="H797" s="53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-2202660742.77923</v>
      </c>
      <c r="I797" s="53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-30293901.5531108</v>
      </c>
      <c r="J797" s="53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226623684.140311</v>
      </c>
      <c r="K797" s="53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538607788.403213</v>
      </c>
      <c r="L797" s="53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651842302.854063</v>
      </c>
      <c r="M797" s="53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803616558.562463</v>
      </c>
      <c r="N797" s="53" t="n">
        <f aca="false">IF(COUNT('Business Case'!B11:G11)=0,"",H797+NPV(G797,I797:M797))</f>
        <v>-828735657.942684</v>
      </c>
      <c r="P797" s="54" t="n">
        <f aca="true">RAND()</f>
        <v>0.655565513536049</v>
      </c>
      <c r="Q797" s="54" t="n">
        <f aca="true">RAND()</f>
        <v>0.0728110911980083</v>
      </c>
      <c r="R797" s="54" t="n">
        <f aca="true">RAND()</f>
        <v>0.0568670003655136</v>
      </c>
      <c r="S797" s="54" t="n">
        <f aca="true">RAND()</f>
        <v>0.117451673849741</v>
      </c>
      <c r="T797" s="54" t="n">
        <f aca="true">RAND()</f>
        <v>0.705297887051339</v>
      </c>
      <c r="U797" s="54" t="n">
        <f aca="true">RAND()</f>
        <v>0.993965599326599</v>
      </c>
    </row>
    <row r="798" customFormat="false" ht="15" hidden="false" customHeight="false" outlineLevel="0" collapsed="false">
      <c r="A798" s="50" t="n">
        <v>718</v>
      </c>
      <c r="B798" s="51" t="n">
        <f aca="false">1+IF($G$6=$E$6,$F$6,IF(P798&lt;($F$6-$E$6)/($G$6-$E$6),$E$6+SQRT(P798*($G$6-$E$6)*($F$6-$E$6)),$G$6-SQRT((1-P798)*($G$6-$E$6)*($G$6-$F$6))))</f>
        <v>0.944927945432477</v>
      </c>
      <c r="C798" s="51" t="n">
        <f aca="false">1+IF($G$7=$E$7,$F$7,IF(Q798&lt;($F$7-$E$7)/($G$7-$E$7),$E$7+SQRT(Q798*($G$7-$E$7)*($F$7-$E$7)),$G$7-SQRT((1-Q798)*($G$7-$E$7)*($G$7-$F$7))))</f>
        <v>1.09863459112182</v>
      </c>
      <c r="D798" s="51" t="n">
        <f aca="false">1+IF($G$8=$E$8,$F$8,IF(R798&lt;($F$8-$E$8)/($G$8-$E$8),$E$8+SQRT(R798*($G$8-$E$8)*($F$8-$E$8)),$G$8-SQRT((1-R798)*($G$8-$E$8)*($G$8-$F$8))))</f>
        <v>1.0416618033721</v>
      </c>
      <c r="E798" s="51" t="n">
        <f aca="false">1+IF($G$9=$E$9,$F$9,IF(S798&lt;($F$9-$E$9)/($G$9-$E$9),$E$9+SQRT(S798*($G$9-$E$9)*($F$9-$E$9)),$G$9-SQRT((1-S798)*($G$9-$E$9)*($G$9-$F$9))))</f>
        <v>1.09404104446147</v>
      </c>
      <c r="F798" s="51" t="n">
        <f aca="false">1+IF($G$10=$E$10,$F$10,IF(T798&lt;($F$10-$E$10)/($G$10-$E$10),$E$10+SQRT(T798*($G$10-$E$10)*($F$10-$E$10)),$G$10-SQRT((1-T798)*($G$10-$E$10)*($G$10-$F$10))))</f>
        <v>1.10919595091333</v>
      </c>
      <c r="G798" s="52" t="n">
        <f aca="false">IF($G$11=$E$11,$F$11,IF(U798&lt;($F$11-$E$11)/($G$11-$E$11),$E$11+SQRT(U798*($G$11-$E$11)*($F$11-$E$11)),$G$11-SQRT((1-U798)*($G$11-$E$11)*($G$11-$F$11))))</f>
        <v>0.0968320307641653</v>
      </c>
      <c r="H798" s="53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-2218391901.82666</v>
      </c>
      <c r="I798" s="53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-55849431.681195</v>
      </c>
      <c r="J798" s="53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208610054.769477</v>
      </c>
      <c r="K798" s="53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528529338.765816</v>
      </c>
      <c r="L798" s="53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652560291.928117</v>
      </c>
      <c r="M798" s="53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849888142.494534</v>
      </c>
      <c r="N798" s="53" t="n">
        <f aca="false">IF(COUNT('Business Case'!B11:G11)=0,"",H798+NPV(G798,I798:M798))</f>
        <v>-709107877.902202</v>
      </c>
      <c r="P798" s="54" t="n">
        <f aca="true">RAND()</f>
        <v>0.134568018718908</v>
      </c>
      <c r="Q798" s="54" t="n">
        <f aca="true">RAND()</f>
        <v>0.960912515122625</v>
      </c>
      <c r="R798" s="54" t="n">
        <f aca="true">RAND()</f>
        <v>0.773110320946976</v>
      </c>
      <c r="S798" s="54" t="n">
        <f aca="true">RAND()</f>
        <v>0.916495874534307</v>
      </c>
      <c r="T798" s="54" t="n">
        <f aca="true">RAND()</f>
        <v>0.735656263477313</v>
      </c>
      <c r="U798" s="54" t="n">
        <f aca="true">RAND()</f>
        <v>0.283317259645807</v>
      </c>
    </row>
    <row r="799" customFormat="false" ht="15" hidden="false" customHeight="false" outlineLevel="0" collapsed="false">
      <c r="A799" s="50" t="n">
        <v>719</v>
      </c>
      <c r="B799" s="51" t="n">
        <f aca="false">1+IF($G$6=$E$6,$F$6,IF(P799&lt;($F$6-$E$6)/($G$6-$E$6),$E$6+SQRT(P799*($G$6-$E$6)*($F$6-$E$6)),$G$6-SQRT((1-P799)*($G$6-$E$6)*($G$6-$F$6))))</f>
        <v>0.996090978287968</v>
      </c>
      <c r="C799" s="51" t="n">
        <f aca="false">1+IF($G$7=$E$7,$F$7,IF(Q799&lt;($F$7-$E$7)/($G$7-$E$7),$E$7+SQRT(Q799*($G$7-$E$7)*($F$7-$E$7)),$G$7-SQRT((1-Q799)*($G$7-$E$7)*($G$7-$F$7))))</f>
        <v>1.11547692949224</v>
      </c>
      <c r="D799" s="51" t="n">
        <f aca="false">1+IF($G$8=$E$8,$F$8,IF(R799&lt;($F$8-$E$8)/($G$8-$E$8),$E$8+SQRT(R799*($G$8-$E$8)*($F$8-$E$8)),$G$8-SQRT((1-R799)*($G$8-$E$8)*($G$8-$F$8))))</f>
        <v>1.08260533108587</v>
      </c>
      <c r="E799" s="51" t="n">
        <f aca="false">1+IF($G$9=$E$9,$F$9,IF(S799&lt;($F$9-$E$9)/($G$9-$E$9),$E$9+SQRT(S799*($G$9-$E$9)*($F$9-$E$9)),$G$9-SQRT((1-S799)*($G$9-$E$9)*($G$9-$F$9))))</f>
        <v>1.06155453461043</v>
      </c>
      <c r="F799" s="51" t="n">
        <f aca="false">1+IF($G$10=$E$10,$F$10,IF(T799&lt;($F$10-$E$10)/($G$10-$E$10),$E$10+SQRT(T799*($G$10-$E$10)*($F$10-$E$10)),$G$10-SQRT((1-T799)*($G$10-$E$10)*($G$10-$F$10))))</f>
        <v>1.00952803089052</v>
      </c>
      <c r="G799" s="52" t="n">
        <f aca="false">IF($G$11=$E$11,$F$11,IF(U799&lt;($F$11-$E$11)/($G$11-$E$11),$E$11+SQRT(U799*($G$11-$E$11)*($F$11-$E$11)),$G$11-SQRT((1-U799)*($G$11-$E$11)*($G$11-$F$11))))</f>
        <v>0.096770894421502</v>
      </c>
      <c r="H799" s="53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-2019056061.78104</v>
      </c>
      <c r="I799" s="53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-17627199.644352</v>
      </c>
      <c r="J799" s="53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274251738.290688</v>
      </c>
      <c r="K799" s="53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616607077.770254</v>
      </c>
      <c r="L799" s="53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752300243.527759</v>
      </c>
      <c r="M799" s="53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963501268.979798</v>
      </c>
      <c r="N799" s="53" t="n">
        <f aca="false">IF(COUNT('Business Case'!B11:G11)=0,"",H799+NPV(G799,I799:M799))</f>
        <v>-212740452.824473</v>
      </c>
      <c r="P799" s="54" t="n">
        <f aca="true">RAND()</f>
        <v>0.615565073889255</v>
      </c>
      <c r="Q799" s="54" t="n">
        <f aca="true">RAND()</f>
        <v>0.9823430755958</v>
      </c>
      <c r="R799" s="54" t="n">
        <f aca="true">RAND()</f>
        <v>0.979828366224528</v>
      </c>
      <c r="S799" s="54" t="n">
        <f aca="true">RAND()</f>
        <v>0.791397324053911</v>
      </c>
      <c r="T799" s="54" t="n">
        <f aca="true">RAND()</f>
        <v>0.228976427634776</v>
      </c>
      <c r="U799" s="54" t="n">
        <f aca="true">RAND()</f>
        <v>0.281262899697166</v>
      </c>
    </row>
    <row r="800" customFormat="false" ht="15" hidden="false" customHeight="false" outlineLevel="0" collapsed="false">
      <c r="A800" s="50" t="n">
        <v>720</v>
      </c>
      <c r="B800" s="51" t="n">
        <f aca="false">1+IF($G$6=$E$6,$F$6,IF(P800&lt;($F$6-$E$6)/($G$6-$E$6),$E$6+SQRT(P800*($G$6-$E$6)*($F$6-$E$6)),$G$6-SQRT((1-P800)*($G$6-$E$6)*($G$6-$F$6))))</f>
        <v>1.04811933264415</v>
      </c>
      <c r="C800" s="51" t="n">
        <f aca="false">1+IF($G$7=$E$7,$F$7,IF(Q800&lt;($F$7-$E$7)/($G$7-$E$7),$E$7+SQRT(Q800*($G$7-$E$7)*($F$7-$E$7)),$G$7-SQRT((1-Q800)*($G$7-$E$7)*($G$7-$F$7))))</f>
        <v>0.794207220958081</v>
      </c>
      <c r="D800" s="51" t="n">
        <f aca="false">1+IF($G$8=$E$8,$F$8,IF(R800&lt;($F$8-$E$8)/($G$8-$E$8),$E$8+SQRT(R800*($G$8-$E$8)*($F$8-$E$8)),$G$8-SQRT((1-R800)*($G$8-$E$8)*($G$8-$F$8))))</f>
        <v>1.03494105024675</v>
      </c>
      <c r="E800" s="51" t="n">
        <f aca="false">1+IF($G$9=$E$9,$F$9,IF(S800&lt;($F$9-$E$9)/($G$9-$E$9),$E$9+SQRT(S800*($G$9-$E$9)*($F$9-$E$9)),$G$9-SQRT((1-S800)*($G$9-$E$9)*($G$9-$F$9))))</f>
        <v>1.05526230256279</v>
      </c>
      <c r="F800" s="51" t="n">
        <f aca="false">1+IF($G$10=$E$10,$F$10,IF(T800&lt;($F$10-$E$10)/($G$10-$E$10),$E$10+SQRT(T800*($G$10-$E$10)*($F$10-$E$10)),$G$10-SQRT((1-T800)*($G$10-$E$10)*($G$10-$F$10))))</f>
        <v>1.14417213262949</v>
      </c>
      <c r="G800" s="52" t="n">
        <f aca="false">IF($G$11=$E$11,$F$11,IF(U800&lt;($F$11-$E$11)/($G$11-$E$11),$E$11+SQRT(U800*($G$11-$E$11)*($F$11-$E$11)),$G$11-SQRT((1-U800)*($G$11-$E$11)*($G$11-$F$11))))</f>
        <v>0.114905775483097</v>
      </c>
      <c r="H800" s="53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-2288344265.25898</v>
      </c>
      <c r="I800" s="53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-46589789.4409134</v>
      </c>
      <c r="J800" s="53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214448790.980176</v>
      </c>
      <c r="K800" s="53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532695978.032741</v>
      </c>
      <c r="L800" s="53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648477409.622854</v>
      </c>
      <c r="M800" s="53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806704552.596479</v>
      </c>
      <c r="N800" s="53" t="n">
        <f aca="false">IF(COUNT('Business Case'!B11:G11)=0,"",H800+NPV(G800,I800:M800))</f>
        <v>-885222989.878499</v>
      </c>
      <c r="P800" s="54" t="n">
        <f aca="true">RAND()</f>
        <v>0.999528412039553</v>
      </c>
      <c r="Q800" s="54" t="n">
        <f aca="true">RAND()</f>
        <v>0.065740744301072</v>
      </c>
      <c r="R800" s="54" t="n">
        <f aca="true">RAND()</f>
        <v>0.71782220380026</v>
      </c>
      <c r="S800" s="54" t="n">
        <f aca="true">RAND()</f>
        <v>0.760660498247893</v>
      </c>
      <c r="T800" s="54" t="n">
        <f aca="true">RAND()</f>
        <v>0.850672833170797</v>
      </c>
      <c r="U800" s="54" t="n">
        <f aca="true">RAND()</f>
        <v>0.848109590822219</v>
      </c>
    </row>
    <row r="801" customFormat="false" ht="15" hidden="false" customHeight="false" outlineLevel="0" collapsed="false">
      <c r="A801" s="50" t="n">
        <v>721</v>
      </c>
      <c r="B801" s="51" t="n">
        <f aca="false">1+IF($G$6=$E$6,$F$6,IF(P801&lt;($F$6-$E$6)/($G$6-$E$6),$E$6+SQRT(P801*($G$6-$E$6)*($F$6-$E$6)),$G$6-SQRT((1-P801)*($G$6-$E$6)*($G$6-$F$6))))</f>
        <v>0.916189061818348</v>
      </c>
      <c r="C801" s="51" t="n">
        <f aca="false">1+IF($G$7=$E$7,$F$7,IF(Q801&lt;($F$7-$E$7)/($G$7-$E$7),$E$7+SQRT(Q801*($G$7-$E$7)*($F$7-$E$7)),$G$7-SQRT((1-Q801)*($G$7-$E$7)*($G$7-$F$7))))</f>
        <v>0.906282718731778</v>
      </c>
      <c r="D801" s="51" t="n">
        <f aca="false">1+IF($G$8=$E$8,$F$8,IF(R801&lt;($F$8-$E$8)/($G$8-$E$8),$E$8+SQRT(R801*($G$8-$E$8)*($F$8-$E$8)),$G$8-SQRT((1-R801)*($G$8-$E$8)*($G$8-$F$8))))</f>
        <v>1.05729144387267</v>
      </c>
      <c r="E801" s="51" t="n">
        <f aca="false">1+IF($G$9=$E$9,$F$9,IF(S801&lt;($F$9-$E$9)/($G$9-$E$9),$E$9+SQRT(S801*($G$9-$E$9)*($F$9-$E$9)),$G$9-SQRT((1-S801)*($G$9-$E$9)*($G$9-$F$9))))</f>
        <v>1.00847447578574</v>
      </c>
      <c r="F801" s="51" t="n">
        <f aca="false">1+IF($G$10=$E$10,$F$10,IF(T801&lt;($F$10-$E$10)/($G$10-$E$10),$E$10+SQRT(T801*($G$10-$E$10)*($F$10-$E$10)),$G$10-SQRT((1-T801)*($G$10-$E$10)*($G$10-$F$10))))</f>
        <v>0.993594975507753</v>
      </c>
      <c r="G801" s="52" t="n">
        <f aca="false">IF($G$11=$E$11,$F$11,IF(U801&lt;($F$11-$E$11)/($G$11-$E$11),$E$11+SQRT(U801*($G$11-$E$11)*($F$11-$E$11)),$G$11-SQRT((1-U801)*($G$11-$E$11)*($G$11-$F$11))))</f>
        <v>0.10165554796012</v>
      </c>
      <c r="H801" s="53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-1987189951.01551</v>
      </c>
      <c r="I801" s="53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-96235934.9012093</v>
      </c>
      <c r="J801" s="53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93336814.3133645</v>
      </c>
      <c r="K801" s="53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332589312.303326</v>
      </c>
      <c r="L801" s="53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424476306.113701</v>
      </c>
      <c r="M801" s="53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582304731.844046</v>
      </c>
      <c r="N801" s="53" t="n">
        <f aca="false">IF(COUNT('Business Case'!B11:G11)=0,"",H801+NPV(G801,I801:M801))</f>
        <v>-1101844076.148</v>
      </c>
      <c r="P801" s="54" t="n">
        <f aca="true">RAND()</f>
        <v>0.0174723815038867</v>
      </c>
      <c r="Q801" s="54" t="n">
        <f aca="true">RAND()</f>
        <v>0.315204148499065</v>
      </c>
      <c r="R801" s="54" t="n">
        <f aca="true">RAND()</f>
        <v>0.878398615567936</v>
      </c>
      <c r="S801" s="54" t="n">
        <f aca="true">RAND()</f>
        <v>0.46588069322342</v>
      </c>
      <c r="T801" s="54" t="n">
        <f aca="true">RAND()</f>
        <v>0.12670145930144</v>
      </c>
      <c r="U801" s="54" t="n">
        <f aca="true">RAND()</f>
        <v>0.464394692372623</v>
      </c>
    </row>
    <row r="802" customFormat="false" ht="15" hidden="false" customHeight="false" outlineLevel="0" collapsed="false">
      <c r="A802" s="50" t="n">
        <v>722</v>
      </c>
      <c r="B802" s="51" t="n">
        <f aca="false">1+IF($G$6=$E$6,$F$6,IF(P802&lt;($F$6-$E$6)/($G$6-$E$6),$E$6+SQRT(P802*($G$6-$E$6)*($F$6-$E$6)),$G$6-SQRT((1-P802)*($G$6-$E$6)*($G$6-$F$6))))</f>
        <v>1.00819729290868</v>
      </c>
      <c r="C802" s="51" t="n">
        <f aca="false">1+IF($G$7=$E$7,$F$7,IF(Q802&lt;($F$7-$E$7)/($G$7-$E$7),$E$7+SQRT(Q802*($G$7-$E$7)*($F$7-$E$7)),$G$7-SQRT((1-Q802)*($G$7-$E$7)*($G$7-$F$7))))</f>
        <v>1.04763689899212</v>
      </c>
      <c r="D802" s="51" t="n">
        <f aca="false">1+IF($G$8=$E$8,$F$8,IF(R802&lt;($F$8-$E$8)/($G$8-$E$8),$E$8+SQRT(R802*($G$8-$E$8)*($F$8-$E$8)),$G$8-SQRT((1-R802)*($G$8-$E$8)*($G$8-$F$8))))</f>
        <v>0.997592905400583</v>
      </c>
      <c r="E802" s="51" t="n">
        <f aca="false">1+IF($G$9=$E$9,$F$9,IF(S802&lt;($F$9-$E$9)/($G$9-$E$9),$E$9+SQRT(S802*($G$9-$E$9)*($F$9-$E$9)),$G$9-SQRT((1-S802)*($G$9-$E$9)*($G$9-$F$9))))</f>
        <v>1.07296868567528</v>
      </c>
      <c r="F802" s="51" t="n">
        <f aca="false">1+IF($G$10=$E$10,$F$10,IF(T802&lt;($F$10-$E$10)/($G$10-$E$10),$E$10+SQRT(T802*($G$10-$E$10)*($F$10-$E$10)),$G$10-SQRT((1-T802)*($G$10-$E$10)*($G$10-$F$10))))</f>
        <v>0.998189343936172</v>
      </c>
      <c r="G802" s="52" t="n">
        <f aca="false">IF($G$11=$E$11,$F$11,IF(U802&lt;($F$11-$E$11)/($G$11-$E$11),$E$11+SQRT(U802*($G$11-$E$11)*($F$11-$E$11)),$G$11-SQRT((1-U802)*($G$11-$E$11)*($G$11-$F$11))))</f>
        <v>0.0965644054437854</v>
      </c>
      <c r="H802" s="53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-1996378687.87234</v>
      </c>
      <c r="I802" s="53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22958955.0418594</v>
      </c>
      <c r="J802" s="53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353067679.277463</v>
      </c>
      <c r="K802" s="53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733085870.709876</v>
      </c>
      <c r="L802" s="53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879625237.253146</v>
      </c>
      <c r="M802" s="53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1080392425.47586</v>
      </c>
      <c r="N802" s="53" t="n">
        <f aca="false">IF(COUNT('Business Case'!B11:G11)=0,"",H802+NPV(G802,I802:M802))</f>
        <v>163926816.693893</v>
      </c>
      <c r="P802" s="54" t="n">
        <f aca="true">RAND()</f>
        <v>0.767004490644953</v>
      </c>
      <c r="Q802" s="54" t="n">
        <f aca="true">RAND()</f>
        <v>0.84476734151186</v>
      </c>
      <c r="R802" s="54" t="n">
        <f aca="true">RAND()</f>
        <v>0.302011285929173</v>
      </c>
      <c r="S802" s="54" t="n">
        <f aca="true">RAND()</f>
        <v>0.841764709690832</v>
      </c>
      <c r="T802" s="54" t="n">
        <f aca="true">RAND()</f>
        <v>0.154814191266578</v>
      </c>
      <c r="U802" s="54" t="n">
        <f aca="true">RAND()</f>
        <v>0.274379527706107</v>
      </c>
    </row>
    <row r="803" customFormat="false" ht="15" hidden="false" customHeight="false" outlineLevel="0" collapsed="false">
      <c r="A803" s="50" t="n">
        <v>723</v>
      </c>
      <c r="B803" s="51" t="n">
        <f aca="false">1+IF($G$6=$E$6,$F$6,IF(P803&lt;($F$6-$E$6)/($G$6-$E$6),$E$6+SQRT(P803*($G$6-$E$6)*($F$6-$E$6)),$G$6-SQRT((1-P803)*($G$6-$E$6)*($G$6-$F$6))))</f>
        <v>0.98217750072761</v>
      </c>
      <c r="C803" s="51" t="n">
        <f aca="false">1+IF($G$7=$E$7,$F$7,IF(Q803&lt;($F$7-$E$7)/($G$7-$E$7),$E$7+SQRT(Q803*($G$7-$E$7)*($F$7-$E$7)),$G$7-SQRT((1-Q803)*($G$7-$E$7)*($G$7-$F$7))))</f>
        <v>0.753489495453294</v>
      </c>
      <c r="D803" s="51" t="n">
        <f aca="false">1+IF($G$8=$E$8,$F$8,IF(R803&lt;($F$8-$E$8)/($G$8-$E$8),$E$8+SQRT(R803*($G$8-$E$8)*($F$8-$E$8)),$G$8-SQRT((1-R803)*($G$8-$E$8)*($G$8-$F$8))))</f>
        <v>0.964462619002011</v>
      </c>
      <c r="E803" s="51" t="n">
        <f aca="false">1+IF($G$9=$E$9,$F$9,IF(S803&lt;($F$9-$E$9)/($G$9-$E$9),$E$9+SQRT(S803*($G$9-$E$9)*($F$9-$E$9)),$G$9-SQRT((1-S803)*($G$9-$E$9)*($G$9-$F$9))))</f>
        <v>1.00251991841045</v>
      </c>
      <c r="F803" s="51" t="n">
        <f aca="false">1+IF($G$10=$E$10,$F$10,IF(T803&lt;($F$10-$E$10)/($G$10-$E$10),$E$10+SQRT(T803*($G$10-$E$10)*($F$10-$E$10)),$G$10-SQRT((1-T803)*($G$10-$E$10)*($G$10-$F$10))))</f>
        <v>0.993547541599559</v>
      </c>
      <c r="G803" s="52" t="n">
        <f aca="false">IF($G$11=$E$11,$F$11,IF(U803&lt;($F$11-$E$11)/($G$11-$E$11),$E$11+SQRT(U803*($G$11-$E$11)*($F$11-$E$11)),$G$11-SQRT((1-U803)*($G$11-$E$11)*($G$11-$F$11))))</f>
        <v>0.109077518737196</v>
      </c>
      <c r="H803" s="53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-1987095083.19912</v>
      </c>
      <c r="I803" s="53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-46133681.6533213</v>
      </c>
      <c r="J803" s="53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188010455.914943</v>
      </c>
      <c r="K803" s="53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471831970.563185</v>
      </c>
      <c r="L803" s="53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575456504.861715</v>
      </c>
      <c r="M803" s="53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716127191.295149</v>
      </c>
      <c r="N803" s="53" t="n">
        <f aca="false">IF(COUNT('Business Case'!B11:G11)=0,"",H803+NPV(G803,I803:M803))</f>
        <v>-722892249.59482</v>
      </c>
      <c r="P803" s="54" t="n">
        <f aca="true">RAND()</f>
        <v>0.450209441722424</v>
      </c>
      <c r="Q803" s="54" t="n">
        <f aca="true">RAND()</f>
        <v>0.0211935268433178</v>
      </c>
      <c r="R803" s="54" t="n">
        <f aca="true">RAND()</f>
        <v>0.0278889797863113</v>
      </c>
      <c r="S803" s="54" t="n">
        <f aca="true">RAND()</f>
        <v>0.419990014249039</v>
      </c>
      <c r="T803" s="54" t="n">
        <f aca="true">RAND()</f>
        <v>0.126425891957688</v>
      </c>
      <c r="U803" s="54" t="n">
        <f aca="true">RAND()</f>
        <v>0.708166518538409</v>
      </c>
    </row>
    <row r="804" customFormat="false" ht="15" hidden="false" customHeight="false" outlineLevel="0" collapsed="false">
      <c r="A804" s="50" t="n">
        <v>724</v>
      </c>
      <c r="B804" s="51" t="n">
        <f aca="false">1+IF($G$6=$E$6,$F$6,IF(P804&lt;($F$6-$E$6)/($G$6-$E$6),$E$6+SQRT(P804*($G$6-$E$6)*($F$6-$E$6)),$G$6-SQRT((1-P804)*($G$6-$E$6)*($G$6-$F$6))))</f>
        <v>0.951416254952287</v>
      </c>
      <c r="C804" s="51" t="n">
        <f aca="false">1+IF($G$7=$E$7,$F$7,IF(Q804&lt;($F$7-$E$7)/($G$7-$E$7),$E$7+SQRT(Q804*($G$7-$E$7)*($F$7-$E$7)),$G$7-SQRT((1-Q804)*($G$7-$E$7)*($G$7-$F$7))))</f>
        <v>0.959702954352536</v>
      </c>
      <c r="D804" s="51" t="n">
        <f aca="false">1+IF($G$8=$E$8,$F$8,IF(R804&lt;($F$8-$E$8)/($G$8-$E$8),$E$8+SQRT(R804*($G$8-$E$8)*($F$8-$E$8)),$G$8-SQRT((1-R804)*($G$8-$E$8)*($G$8-$F$8))))</f>
        <v>0.999352288767078</v>
      </c>
      <c r="E804" s="51" t="n">
        <f aca="false">1+IF($G$9=$E$9,$F$9,IF(S804&lt;($F$9-$E$9)/($G$9-$E$9),$E$9+SQRT(S804*($G$9-$E$9)*($F$9-$E$9)),$G$9-SQRT((1-S804)*($G$9-$E$9)*($G$9-$F$9))))</f>
        <v>1.0007273288475</v>
      </c>
      <c r="F804" s="51" t="n">
        <f aca="false">1+IF($G$10=$E$10,$F$10,IF(T804&lt;($F$10-$E$10)/($G$10-$E$10),$E$10+SQRT(T804*($G$10-$E$10)*($F$10-$E$10)),$G$10-SQRT((1-T804)*($G$10-$E$10)*($G$10-$F$10))))</f>
        <v>1.05331135332884</v>
      </c>
      <c r="G804" s="52" t="n">
        <f aca="false">IF($G$11=$E$11,$F$11,IF(U804&lt;($F$11-$E$11)/($G$11-$E$11),$E$11+SQRT(U804*($G$11-$E$11)*($F$11-$E$11)),$G$11-SQRT((1-U804)*($G$11-$E$11)*($G$11-$F$11))))</f>
        <v>0.0969092748062442</v>
      </c>
      <c r="H804" s="53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-2106622706.65768</v>
      </c>
      <c r="I804" s="53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-38065597.3732345</v>
      </c>
      <c r="J804" s="53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218837277.946248</v>
      </c>
      <c r="K804" s="53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528405720.932173</v>
      </c>
      <c r="L804" s="53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645595953.503813</v>
      </c>
      <c r="M804" s="53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819153627.895448</v>
      </c>
      <c r="N804" s="53" t="n">
        <f aca="false">IF(COUNT('Business Case'!B11:G11)=0,"",H804+NPV(G804,I804:M804))</f>
        <v>-597305306.405536</v>
      </c>
      <c r="P804" s="54" t="n">
        <f aca="true">RAND()</f>
        <v>0.176242084887905</v>
      </c>
      <c r="Q804" s="54" t="n">
        <f aca="true">RAND()</f>
        <v>0.499597218514337</v>
      </c>
      <c r="R804" s="54" t="n">
        <f aca="true">RAND()</f>
        <v>0.32475312087321</v>
      </c>
      <c r="S804" s="54" t="n">
        <f aca="true">RAND()</f>
        <v>0.405804523919913</v>
      </c>
      <c r="T804" s="54" t="n">
        <f aca="true">RAND()</f>
        <v>0.48418101694223</v>
      </c>
      <c r="U804" s="54" t="n">
        <f aca="true">RAND()</f>
        <v>0.285923574473084</v>
      </c>
    </row>
    <row r="805" customFormat="false" ht="15" hidden="false" customHeight="false" outlineLevel="0" collapsed="false">
      <c r="A805" s="50" t="n">
        <v>725</v>
      </c>
      <c r="B805" s="51" t="n">
        <f aca="false">1+IF($G$6=$E$6,$F$6,IF(P805&lt;($F$6-$E$6)/($G$6-$E$6),$E$6+SQRT(P805*($G$6-$E$6)*($F$6-$E$6)),$G$6-SQRT((1-P805)*($G$6-$E$6)*($G$6-$F$6))))</f>
        <v>0.989273062285111</v>
      </c>
      <c r="C805" s="51" t="n">
        <f aca="false">1+IF($G$7=$E$7,$F$7,IF(Q805&lt;($F$7-$E$7)/($G$7-$E$7),$E$7+SQRT(Q805*($G$7-$E$7)*($F$7-$E$7)),$G$7-SQRT((1-Q805)*($G$7-$E$7)*($G$7-$F$7))))</f>
        <v>0.929587817332239</v>
      </c>
      <c r="D805" s="51" t="n">
        <f aca="false">1+IF($G$8=$E$8,$F$8,IF(R805&lt;($F$8-$E$8)/($G$8-$E$8),$E$8+SQRT(R805*($G$8-$E$8)*($F$8-$E$8)),$G$8-SQRT((1-R805)*($G$8-$E$8)*($G$8-$F$8))))</f>
        <v>1.033763012598</v>
      </c>
      <c r="E805" s="51" t="n">
        <f aca="false">1+IF($G$9=$E$9,$F$9,IF(S805&lt;($F$9-$E$9)/($G$9-$E$9),$E$9+SQRT(S805*($G$9-$E$9)*($F$9-$E$9)),$G$9-SQRT((1-S805)*($G$9-$E$9)*($G$9-$F$9))))</f>
        <v>0.976303118227908</v>
      </c>
      <c r="F805" s="51" t="n">
        <f aca="false">1+IF($G$10=$E$10,$F$10,IF(T805&lt;($F$10-$E$10)/($G$10-$E$10),$E$10+SQRT(T805*($G$10-$E$10)*($F$10-$E$10)),$G$10-SQRT((1-T805)*($G$10-$E$10)*($G$10-$F$10))))</f>
        <v>1.22020898116183</v>
      </c>
      <c r="G805" s="52" t="n">
        <f aca="false">IF($G$11=$E$11,$F$11,IF(U805&lt;($F$11-$E$11)/($G$11-$E$11),$E$11+SQRT(U805*($G$11-$E$11)*($F$11-$E$11)),$G$11-SQRT((1-U805)*($G$11-$E$11)*($G$11-$F$11))))</f>
        <v>0.122367749584818</v>
      </c>
      <c r="H805" s="53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-2440417962.32365</v>
      </c>
      <c r="I805" s="53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-47233790.7722428</v>
      </c>
      <c r="J805" s="53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214056523.103021</v>
      </c>
      <c r="K805" s="53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536357286.036377</v>
      </c>
      <c r="L805" s="53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655235992.741009</v>
      </c>
      <c r="M805" s="53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830036637.511833</v>
      </c>
      <c r="N805" s="53" t="n">
        <f aca="false">IF(COUNT('Business Case'!B11:G11)=0,"",H805+NPV(G805,I805:M805))</f>
        <v>-1054269632.16847</v>
      </c>
      <c r="P805" s="54" t="n">
        <f aca="true">RAND()</f>
        <v>0.531311976650748</v>
      </c>
      <c r="Q805" s="54" t="n">
        <f aca="true">RAND()</f>
        <v>0.390448636054679</v>
      </c>
      <c r="R805" s="54" t="n">
        <f aca="true">RAND()</f>
        <v>0.707510766660521</v>
      </c>
      <c r="S805" s="54" t="n">
        <f aca="true">RAND()</f>
        <v>0.232886634052082</v>
      </c>
      <c r="T805" s="54" t="n">
        <f aca="true">RAND()</f>
        <v>0.988166602621115</v>
      </c>
      <c r="U805" s="54" t="n">
        <f aca="true">RAND()</f>
        <v>0.961165835733302</v>
      </c>
    </row>
    <row r="806" customFormat="false" ht="15" hidden="false" customHeight="false" outlineLevel="0" collapsed="false">
      <c r="A806" s="50" t="n">
        <v>726</v>
      </c>
      <c r="B806" s="51" t="n">
        <f aca="false">1+IF($G$6=$E$6,$F$6,IF(P806&lt;($F$6-$E$6)/($G$6-$E$6),$E$6+SQRT(P806*($G$6-$E$6)*($F$6-$E$6)),$G$6-SQRT((1-P806)*($G$6-$E$6)*($G$6-$F$6))))</f>
        <v>0.986999774941031</v>
      </c>
      <c r="C806" s="51" t="n">
        <f aca="false">1+IF($G$7=$E$7,$F$7,IF(Q806&lt;($F$7-$E$7)/($G$7-$E$7),$E$7+SQRT(Q806*($G$7-$E$7)*($F$7-$E$7)),$G$7-SQRT((1-Q806)*($G$7-$E$7)*($G$7-$F$7))))</f>
        <v>1.06205926189285</v>
      </c>
      <c r="D806" s="51" t="n">
        <f aca="false">1+IF($G$8=$E$8,$F$8,IF(R806&lt;($F$8-$E$8)/($G$8-$E$8),$E$8+SQRT(R806*($G$8-$E$8)*($F$8-$E$8)),$G$8-SQRT((1-R806)*($G$8-$E$8)*($G$8-$F$8))))</f>
        <v>1.050005156146</v>
      </c>
      <c r="E806" s="51" t="n">
        <f aca="false">1+IF($G$9=$E$9,$F$9,IF(S806&lt;($F$9-$E$9)/($G$9-$E$9),$E$9+SQRT(S806*($G$9-$E$9)*($F$9-$E$9)),$G$9-SQRT((1-S806)*($G$9-$E$9)*($G$9-$F$9))))</f>
        <v>1.03574925520702</v>
      </c>
      <c r="F806" s="51" t="n">
        <f aca="false">1+IF($G$10=$E$10,$F$10,IF(T806&lt;($F$10-$E$10)/($G$10-$E$10),$E$10+SQRT(T806*($G$10-$E$10)*($F$10-$E$10)),$G$10-SQRT((1-T806)*($G$10-$E$10)*($G$10-$F$10))))</f>
        <v>1.04642751077892</v>
      </c>
      <c r="G806" s="52" t="n">
        <f aca="false">IF($G$11=$E$11,$F$11,IF(U806&lt;($F$11-$E$11)/($G$11-$E$11),$E$11+SQRT(U806*($G$11-$E$11)*($F$11-$E$11)),$G$11-SQRT((1-U806)*($G$11-$E$11)*($G$11-$F$11))))</f>
        <v>0.0925260494042275</v>
      </c>
      <c r="H806" s="53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-2092855021.55784</v>
      </c>
      <c r="I806" s="53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-18550272.5645971</v>
      </c>
      <c r="J806" s="53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269167146.80678</v>
      </c>
      <c r="K806" s="53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609205941.717104</v>
      </c>
      <c r="L806" s="53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741339346.019326</v>
      </c>
      <c r="M806" s="53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940591134.167356</v>
      </c>
      <c r="N806" s="53" t="n">
        <f aca="false">IF(COUNT('Business Case'!B11:G11)=0,"",H806+NPV(G806,I806:M806))</f>
        <v>-292536534.679791</v>
      </c>
      <c r="P806" s="54" t="n">
        <f aca="true">RAND()</f>
        <v>0.504597389319331</v>
      </c>
      <c r="Q806" s="54" t="n">
        <f aca="true">RAND()</f>
        <v>0.88542854194325</v>
      </c>
      <c r="R806" s="54" t="n">
        <f aca="true">RAND()</f>
        <v>0.833367705867627</v>
      </c>
      <c r="S806" s="54" t="n">
        <f aca="true">RAND()</f>
        <v>0.651913795046631</v>
      </c>
      <c r="T806" s="54" t="n">
        <f aca="true">RAND()</f>
        <v>0.447443221764454</v>
      </c>
      <c r="U806" s="54" t="n">
        <f aca="true">RAND()</f>
        <v>0.156901913677148</v>
      </c>
    </row>
    <row r="807" customFormat="false" ht="15" hidden="false" customHeight="false" outlineLevel="0" collapsed="false">
      <c r="A807" s="50" t="n">
        <v>727</v>
      </c>
      <c r="B807" s="51" t="n">
        <f aca="false">1+IF($G$6=$E$6,$F$6,IF(P807&lt;($F$6-$E$6)/($G$6-$E$6),$E$6+SQRT(P807*($G$6-$E$6)*($F$6-$E$6)),$G$6-SQRT((1-P807)*($G$6-$E$6)*($G$6-$F$6))))</f>
        <v>0.943337551785237</v>
      </c>
      <c r="C807" s="51" t="n">
        <f aca="false">1+IF($G$7=$E$7,$F$7,IF(Q807&lt;($F$7-$E$7)/($G$7-$E$7),$E$7+SQRT(Q807*($G$7-$E$7)*($F$7-$E$7)),$G$7-SQRT((1-Q807)*($G$7-$E$7)*($G$7-$F$7))))</f>
        <v>0.837851580387036</v>
      </c>
      <c r="D807" s="51" t="n">
        <f aca="false">1+IF($G$8=$E$8,$F$8,IF(R807&lt;($F$8-$E$8)/($G$8-$E$8),$E$8+SQRT(R807*($G$8-$E$8)*($F$8-$E$8)),$G$8-SQRT((1-R807)*($G$8-$E$8)*($G$8-$F$8))))</f>
        <v>0.99292320374823</v>
      </c>
      <c r="E807" s="51" t="n">
        <f aca="false">1+IF($G$9=$E$9,$F$9,IF(S807&lt;($F$9-$E$9)/($G$9-$E$9),$E$9+SQRT(S807*($G$9-$E$9)*($F$9-$E$9)),$G$9-SQRT((1-S807)*($G$9-$E$9)*($G$9-$F$9))))</f>
        <v>1.01257334875003</v>
      </c>
      <c r="F807" s="51" t="n">
        <f aca="false">1+IF($G$10=$E$10,$F$10,IF(T807&lt;($F$10-$E$10)/($G$10-$E$10),$E$10+SQRT(T807*($G$10-$E$10)*($F$10-$E$10)),$G$10-SQRT((1-T807)*($G$10-$E$10)*($G$10-$F$10))))</f>
        <v>1.11040554962564</v>
      </c>
      <c r="G807" s="52" t="n">
        <f aca="false">IF($G$11=$E$11,$F$11,IF(U807&lt;($F$11-$E$11)/($G$11-$E$11),$E$11+SQRT(U807*($G$11-$E$11)*($F$11-$E$11)),$G$11-SQRT((1-U807)*($G$11-$E$11)*($G$11-$F$11))))</f>
        <v>0.125077231873922</v>
      </c>
      <c r="H807" s="53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-2220811099.25128</v>
      </c>
      <c r="I807" s="53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-74503718.4313512</v>
      </c>
      <c r="J807" s="53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146994184.642029</v>
      </c>
      <c r="K807" s="53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424012365.196691</v>
      </c>
      <c r="L807" s="53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525160423.787758</v>
      </c>
      <c r="M807" s="53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675395257.070769</v>
      </c>
      <c r="N807" s="53" t="n">
        <f aca="false">IF(COUNT('Business Case'!B11:G11)=0,"",H807+NPV(G807,I807:M807))</f>
        <v>-1170735544.32841</v>
      </c>
      <c r="P807" s="54" t="n">
        <f aca="true">RAND()</f>
        <v>0.125209559649208</v>
      </c>
      <c r="Q807" s="54" t="n">
        <f aca="true">RAND()</f>
        <v>0.140763394186692</v>
      </c>
      <c r="R807" s="54" t="n">
        <f aca="true">RAND()</f>
        <v>0.245653522668274</v>
      </c>
      <c r="S807" s="54" t="n">
        <f aca="true">RAND()</f>
        <v>0.496371080699203</v>
      </c>
      <c r="T807" s="54" t="n">
        <f aca="true">RAND()</f>
        <v>0.740178525662412</v>
      </c>
      <c r="U807" s="54" t="n">
        <f aca="true">RAND()</f>
        <v>0.983844235984581</v>
      </c>
    </row>
    <row r="808" customFormat="false" ht="15" hidden="false" customHeight="false" outlineLevel="0" collapsed="false">
      <c r="A808" s="50" t="n">
        <v>728</v>
      </c>
      <c r="B808" s="51" t="n">
        <f aca="false">1+IF($G$6=$E$6,$F$6,IF(P808&lt;($F$6-$E$6)/($G$6-$E$6),$E$6+SQRT(P808*($G$6-$E$6)*($F$6-$E$6)),$G$6-SQRT((1-P808)*($G$6-$E$6)*($G$6-$F$6))))</f>
        <v>0.963338922770973</v>
      </c>
      <c r="C808" s="51" t="n">
        <f aca="false">1+IF($G$7=$E$7,$F$7,IF(Q808&lt;($F$7-$E$7)/($G$7-$E$7),$E$7+SQRT(Q808*($G$7-$E$7)*($F$7-$E$7)),$G$7-SQRT((1-Q808)*($G$7-$E$7)*($G$7-$F$7))))</f>
        <v>0.925467203456161</v>
      </c>
      <c r="D808" s="51" t="n">
        <f aca="false">1+IF($G$8=$E$8,$F$8,IF(R808&lt;($F$8-$E$8)/($G$8-$E$8),$E$8+SQRT(R808*($G$8-$E$8)*($F$8-$E$8)),$G$8-SQRT((1-R808)*($G$8-$E$8)*($G$8-$F$8))))</f>
        <v>1.06533940111864</v>
      </c>
      <c r="E808" s="51" t="n">
        <f aca="false">1+IF($G$9=$E$9,$F$9,IF(S808&lt;($F$9-$E$9)/($G$9-$E$9),$E$9+SQRT(S808*($G$9-$E$9)*($F$9-$E$9)),$G$9-SQRT((1-S808)*($G$9-$E$9)*($G$9-$F$9))))</f>
        <v>0.981677308900926</v>
      </c>
      <c r="F808" s="51" t="n">
        <f aca="false">1+IF($G$10=$E$10,$F$10,IF(T808&lt;($F$10-$E$10)/($G$10-$E$10),$E$10+SQRT(T808*($G$10-$E$10)*($F$10-$E$10)),$G$10-SQRT((1-T808)*($G$10-$E$10)*($G$10-$F$10))))</f>
        <v>1.03826121692724</v>
      </c>
      <c r="G808" s="52" t="n">
        <f aca="false">IF($G$11=$E$11,$F$11,IF(U808&lt;($F$11-$E$11)/($G$11-$E$11),$E$11+SQRT(U808*($G$11-$E$11)*($F$11-$E$11)),$G$11-SQRT((1-U808)*($G$11-$E$11)*($G$11-$F$11))))</f>
        <v>0.0990618208398318</v>
      </c>
      <c r="H808" s="53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-2076522433.85448</v>
      </c>
      <c r="I808" s="53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-64124411.423698</v>
      </c>
      <c r="J808" s="53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161389172.097966</v>
      </c>
      <c r="K808" s="53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438815816.465992</v>
      </c>
      <c r="L808" s="53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544798584.257832</v>
      </c>
      <c r="M808" s="53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714262237.32323</v>
      </c>
      <c r="N808" s="53" t="n">
        <f aca="false">IF(COUNT('Business Case'!B11:G11)=0,"",H808+NPV(G808,I808:M808))</f>
        <v>-851952280.80345</v>
      </c>
      <c r="P808" s="54" t="n">
        <f aca="true">RAND()</f>
        <v>0.267454609185817</v>
      </c>
      <c r="Q808" s="54" t="n">
        <f aca="true">RAND()</f>
        <v>0.376558961735866</v>
      </c>
      <c r="R808" s="54" t="n">
        <f aca="true">RAND()</f>
        <v>0.919909525679015</v>
      </c>
      <c r="S808" s="54" t="n">
        <f aca="true">RAND()</f>
        <v>0.266847311571889</v>
      </c>
      <c r="T808" s="54" t="n">
        <f aca="true">RAND()</f>
        <v>0.402222503238212</v>
      </c>
      <c r="U808" s="54" t="n">
        <f aca="true">RAND()</f>
        <v>0.363353013729846</v>
      </c>
    </row>
    <row r="809" customFormat="false" ht="15" hidden="false" customHeight="false" outlineLevel="0" collapsed="false">
      <c r="A809" s="50" t="n">
        <v>729</v>
      </c>
      <c r="B809" s="51" t="n">
        <f aca="false">1+IF($G$6=$E$6,$F$6,IF(P809&lt;($F$6-$E$6)/($G$6-$E$6),$E$6+SQRT(P809*($G$6-$E$6)*($F$6-$E$6)),$G$6-SQRT((1-P809)*($G$6-$E$6)*($G$6-$F$6))))</f>
        <v>0.990181325846496</v>
      </c>
      <c r="C809" s="51" t="n">
        <f aca="false">1+IF($G$7=$E$7,$F$7,IF(Q809&lt;($F$7-$E$7)/($G$7-$E$7),$E$7+SQRT(Q809*($G$7-$E$7)*($F$7-$E$7)),$G$7-SQRT((1-Q809)*($G$7-$E$7)*($G$7-$F$7))))</f>
        <v>0.976669304851146</v>
      </c>
      <c r="D809" s="51" t="n">
        <f aca="false">1+IF($G$8=$E$8,$F$8,IF(R809&lt;($F$8-$E$8)/($G$8-$E$8),$E$8+SQRT(R809*($G$8-$E$8)*($F$8-$E$8)),$G$8-SQRT((1-R809)*($G$8-$E$8)*($G$8-$F$8))))</f>
        <v>0.983214250322687</v>
      </c>
      <c r="E809" s="51" t="n">
        <f aca="false">1+IF($G$9=$E$9,$F$9,IF(S809&lt;($F$9-$E$9)/($G$9-$E$9),$E$9+SQRT(S809*($G$9-$E$9)*($F$9-$E$9)),$G$9-SQRT((1-S809)*($G$9-$E$9)*($G$9-$F$9))))</f>
        <v>1.04685020515504</v>
      </c>
      <c r="F809" s="51" t="n">
        <f aca="false">1+IF($G$10=$E$10,$F$10,IF(T809&lt;($F$10-$E$10)/($G$10-$E$10),$E$10+SQRT(T809*($G$10-$E$10)*($F$10-$E$10)),$G$10-SQRT((1-T809)*($G$10-$E$10)*($G$10-$F$10))))</f>
        <v>1.02931670472449</v>
      </c>
      <c r="G809" s="52" t="n">
        <f aca="false">IF($G$11=$E$11,$F$11,IF(U809&lt;($F$11-$E$11)/($G$11-$E$11),$E$11+SQRT(U809*($G$11-$E$11)*($F$11-$E$11)),$G$11-SQRT((1-U809)*($G$11-$E$11)*($G$11-$F$11))))</f>
        <v>0.091137565293111</v>
      </c>
      <c r="H809" s="53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-2058633409.44898</v>
      </c>
      <c r="I809" s="53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-1403341.0553842</v>
      </c>
      <c r="J809" s="53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299120499.555513</v>
      </c>
      <c r="K809" s="53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651110175.402634</v>
      </c>
      <c r="L809" s="53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784707063.620123</v>
      </c>
      <c r="M809" s="53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968529574.363004</v>
      </c>
      <c r="N809" s="53" t="n">
        <f aca="false">IF(COUNT('Business Case'!B11:G11)=0,"",H809+NPV(G809,I809:M809))</f>
        <v>-127679879.657094</v>
      </c>
      <c r="P809" s="54" t="n">
        <f aca="true">RAND()</f>
        <v>0.54217810209546</v>
      </c>
      <c r="Q809" s="54" t="n">
        <f aca="true">RAND()</f>
        <v>0.567006698124564</v>
      </c>
      <c r="R809" s="54" t="n">
        <f aca="true">RAND()</f>
        <v>0.147091523266419</v>
      </c>
      <c r="S809" s="54" t="n">
        <f aca="true">RAND()</f>
        <v>0.716269861958464</v>
      </c>
      <c r="T809" s="54" t="n">
        <f aca="true">RAND()</f>
        <v>0.35065177581788</v>
      </c>
      <c r="U809" s="54" t="n">
        <f aca="true">RAND()</f>
        <v>0.12404536065831</v>
      </c>
    </row>
    <row r="810" customFormat="false" ht="15" hidden="false" customHeight="false" outlineLevel="0" collapsed="false">
      <c r="A810" s="50" t="n">
        <v>730</v>
      </c>
      <c r="B810" s="51" t="n">
        <f aca="false">1+IF($G$6=$E$6,$F$6,IF(P810&lt;($F$6-$E$6)/($G$6-$E$6),$E$6+SQRT(P810*($G$6-$E$6)*($F$6-$E$6)),$G$6-SQRT((1-P810)*($G$6-$E$6)*($G$6-$F$6))))</f>
        <v>1.03886137894663</v>
      </c>
      <c r="C810" s="51" t="n">
        <f aca="false">1+IF($G$7=$E$7,$F$7,IF(Q810&lt;($F$7-$E$7)/($G$7-$E$7),$E$7+SQRT(Q810*($G$7-$E$7)*($F$7-$E$7)),$G$7-SQRT((1-Q810)*($G$7-$E$7)*($G$7-$F$7))))</f>
        <v>0.819028012168217</v>
      </c>
      <c r="D810" s="51" t="n">
        <f aca="false">1+IF($G$8=$E$8,$F$8,IF(R810&lt;($F$8-$E$8)/($G$8-$E$8),$E$8+SQRT(R810*($G$8-$E$8)*($F$8-$E$8)),$G$8-SQRT((1-R810)*($G$8-$E$8)*($G$8-$F$8))))</f>
        <v>1.00919976240224</v>
      </c>
      <c r="E810" s="51" t="n">
        <f aca="false">1+IF($G$9=$E$9,$F$9,IF(S810&lt;($F$9-$E$9)/($G$9-$E$9),$E$9+SQRT(S810*($G$9-$E$9)*($F$9-$E$9)),$G$9-SQRT((1-S810)*($G$9-$E$9)*($G$9-$F$9))))</f>
        <v>1.08974581282816</v>
      </c>
      <c r="F810" s="51" t="n">
        <f aca="false">1+IF($G$10=$E$10,$F$10,IF(T810&lt;($F$10-$E$10)/($G$10-$E$10),$E$10+SQRT(T810*($G$10-$E$10)*($F$10-$E$10)),$G$10-SQRT((1-T810)*($G$10-$E$10)*($G$10-$F$10))))</f>
        <v>1.00889780677741</v>
      </c>
      <c r="G810" s="52" t="n">
        <f aca="false">IF($G$11=$E$11,$F$11,IF(U810&lt;($F$11-$E$11)/($G$11-$E$11),$E$11+SQRT(U810*($G$11-$E$11)*($F$11-$E$11)),$G$11-SQRT((1-U810)*($G$11-$E$11)*($G$11-$F$11))))</f>
        <v>0.101309308247294</v>
      </c>
      <c r="H810" s="53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-2017795613.55482</v>
      </c>
      <c r="I810" s="53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-26181314.3717261</v>
      </c>
      <c r="J810" s="53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247597411.113318</v>
      </c>
      <c r="K810" s="53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571821026.937233</v>
      </c>
      <c r="L810" s="53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692486205.162158</v>
      </c>
      <c r="M810" s="53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854217022.009996</v>
      </c>
      <c r="N810" s="53" t="n">
        <f aca="false">IF(COUNT('Business Case'!B11:G11)=0,"",H810+NPV(G810,I810:M810))</f>
        <v>-411353308.864544</v>
      </c>
      <c r="P810" s="54" t="n">
        <f aca="true">RAND()</f>
        <v>0.983457482803933</v>
      </c>
      <c r="Q810" s="54" t="n">
        <f aca="true">RAND()</f>
        <v>0.104945686523831</v>
      </c>
      <c r="R810" s="54" t="n">
        <f aca="true">RAND()</f>
        <v>0.450354456812732</v>
      </c>
      <c r="S810" s="54" t="n">
        <f aca="true">RAND()</f>
        <v>0.903184878086962</v>
      </c>
      <c r="T810" s="54" t="n">
        <f aca="true">RAND()</f>
        <v>0.224929765643419</v>
      </c>
      <c r="U810" s="54" t="n">
        <f aca="true">RAND()</f>
        <v>0.451229471167475</v>
      </c>
    </row>
    <row r="811" customFormat="false" ht="15" hidden="false" customHeight="false" outlineLevel="0" collapsed="false">
      <c r="A811" s="50" t="n">
        <v>731</v>
      </c>
      <c r="B811" s="51" t="n">
        <f aca="false">1+IF($G$6=$E$6,$F$6,IF(P811&lt;($F$6-$E$6)/($G$6-$E$6),$E$6+SQRT(P811*($G$6-$E$6)*($F$6-$E$6)),$G$6-SQRT((1-P811)*($G$6-$E$6)*($G$6-$F$6))))</f>
        <v>0.915811886317761</v>
      </c>
      <c r="C811" s="51" t="n">
        <f aca="false">1+IF($G$7=$E$7,$F$7,IF(Q811&lt;($F$7-$E$7)/($G$7-$E$7),$E$7+SQRT(Q811*($G$7-$E$7)*($F$7-$E$7)),$G$7-SQRT((1-Q811)*($G$7-$E$7)*($G$7-$F$7))))</f>
        <v>1.01543611956402</v>
      </c>
      <c r="D811" s="51" t="n">
        <f aca="false">1+IF($G$8=$E$8,$F$8,IF(R811&lt;($F$8-$E$8)/($G$8-$E$8),$E$8+SQRT(R811*($G$8-$E$8)*($F$8-$E$8)),$G$8-SQRT((1-R811)*($G$8-$E$8)*($G$8-$F$8))))</f>
        <v>1.08865446598054</v>
      </c>
      <c r="E811" s="51" t="n">
        <f aca="false">1+IF($G$9=$E$9,$F$9,IF(S811&lt;($F$9-$E$9)/($G$9-$E$9),$E$9+SQRT(S811*($G$9-$E$9)*($F$9-$E$9)),$G$9-SQRT((1-S811)*($G$9-$E$9)*($G$9-$F$9))))</f>
        <v>0.920620034364092</v>
      </c>
      <c r="F811" s="51" t="n">
        <f aca="false">1+IF($G$10=$E$10,$F$10,IF(T811&lt;($F$10-$E$10)/($G$10-$E$10),$E$10+SQRT(T811*($G$10-$E$10)*($F$10-$E$10)),$G$10-SQRT((1-T811)*($G$10-$E$10)*($G$10-$F$10))))</f>
        <v>0.994456964126879</v>
      </c>
      <c r="G811" s="52" t="n">
        <f aca="false">IF($G$11=$E$11,$F$11,IF(U811&lt;($F$11-$E$11)/($G$11-$E$11),$E$11+SQRT(U811*($G$11-$E$11)*($F$11-$E$11)),$G$11-SQRT((1-U811)*($G$11-$E$11)*($G$11-$F$11))))</f>
        <v>0.0928772681725789</v>
      </c>
      <c r="H811" s="53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-1988913928.25376</v>
      </c>
      <c r="I811" s="53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-82778247.5403625</v>
      </c>
      <c r="J811" s="53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113009898.804484</v>
      </c>
      <c r="K811" s="53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358520893.355674</v>
      </c>
      <c r="L811" s="53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455922627.861254</v>
      </c>
      <c r="M811" s="53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632687232.676393</v>
      </c>
      <c r="N811" s="53" t="n">
        <f aca="false">IF(COUNT('Business Case'!B11:G11)=0,"",H811+NPV(G811,I811:M811))</f>
        <v>-969958395.83083</v>
      </c>
      <c r="P811" s="54" t="n">
        <f aca="true">RAND()</f>
        <v>0.0166677165950526</v>
      </c>
      <c r="Q811" s="54" t="n">
        <f aca="true">RAND()</f>
        <v>0.731741660474238</v>
      </c>
      <c r="R811" s="54" t="n">
        <f aca="true">RAND()</f>
        <v>0.991418590520879</v>
      </c>
      <c r="S811" s="54" t="n">
        <f aca="true">RAND()</f>
        <v>0.0170074326870529</v>
      </c>
      <c r="T811" s="54" t="n">
        <f aca="true">RAND()</f>
        <v>0.131761443958575</v>
      </c>
      <c r="U811" s="54" t="n">
        <f aca="true">RAND()</f>
        <v>0.165824035588513</v>
      </c>
    </row>
    <row r="812" customFormat="false" ht="15" hidden="false" customHeight="false" outlineLevel="0" collapsed="false">
      <c r="A812" s="50" t="n">
        <v>732</v>
      </c>
      <c r="B812" s="51" t="n">
        <f aca="false">1+IF($G$6=$E$6,$F$6,IF(P812&lt;($F$6-$E$6)/($G$6-$E$6),$E$6+SQRT(P812*($G$6-$E$6)*($F$6-$E$6)),$G$6-SQRT((1-P812)*($G$6-$E$6)*($G$6-$F$6))))</f>
        <v>1.02678436845724</v>
      </c>
      <c r="C812" s="51" t="n">
        <f aca="false">1+IF($G$7=$E$7,$F$7,IF(Q812&lt;($F$7-$E$7)/($G$7-$E$7),$E$7+SQRT(Q812*($G$7-$E$7)*($F$7-$E$7)),$G$7-SQRT((1-Q812)*($G$7-$E$7)*($G$7-$F$7))))</f>
        <v>0.811893644233527</v>
      </c>
      <c r="D812" s="51" t="n">
        <f aca="false">1+IF($G$8=$E$8,$F$8,IF(R812&lt;($F$8-$E$8)/($G$8-$E$8),$E$8+SQRT(R812*($G$8-$E$8)*($F$8-$E$8)),$G$8-SQRT((1-R812)*($G$8-$E$8)*($G$8-$F$8))))</f>
        <v>1.00436072956374</v>
      </c>
      <c r="E812" s="51" t="n">
        <f aca="false">1+IF($G$9=$E$9,$F$9,IF(S812&lt;($F$9-$E$9)/($G$9-$E$9),$E$9+SQRT(S812*($G$9-$E$9)*($F$9-$E$9)),$G$9-SQRT((1-S812)*($G$9-$E$9)*($G$9-$F$9))))</f>
        <v>1.10257002941631</v>
      </c>
      <c r="F812" s="51" t="n">
        <f aca="false">1+IF($G$10=$E$10,$F$10,IF(T812&lt;($F$10-$E$10)/($G$10-$E$10),$E$10+SQRT(T812*($G$10-$E$10)*($F$10-$E$10)),$G$10-SQRT((1-T812)*($G$10-$E$10)*($G$10-$F$10))))</f>
        <v>1.03044590634747</v>
      </c>
      <c r="G812" s="52" t="n">
        <f aca="false">IF($G$11=$E$11,$F$11,IF(U812&lt;($F$11-$E$11)/($G$11-$E$11),$E$11+SQRT(U812*($G$11-$E$11)*($F$11-$E$11)),$G$11-SQRT((1-U812)*($G$11-$E$11)*($G$11-$F$11))))</f>
        <v>0.0986814004498375</v>
      </c>
      <c r="H812" s="53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-2060891812.69494</v>
      </c>
      <c r="I812" s="53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-37672013.210455</v>
      </c>
      <c r="J812" s="53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227701904.587333</v>
      </c>
      <c r="K812" s="53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544598117.702495</v>
      </c>
      <c r="L812" s="53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661866678.428755</v>
      </c>
      <c r="M812" s="53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820324913.127241</v>
      </c>
      <c r="N812" s="53" t="n">
        <f aca="false">IF(COUNT('Business Case'!B11:G11)=0,"",H812+NPV(G812,I812:M812))</f>
        <v>-529246139.318869</v>
      </c>
      <c r="P812" s="54" t="n">
        <f aca="true">RAND()</f>
        <v>0.928137926942769</v>
      </c>
      <c r="Q812" s="54" t="n">
        <f aca="true">RAND()</f>
        <v>0.0927421305174755</v>
      </c>
      <c r="R812" s="54" t="n">
        <f aca="true">RAND()</f>
        <v>0.390208663361281</v>
      </c>
      <c r="S812" s="54" t="n">
        <f aca="true">RAND()</f>
        <v>0.940010610411481</v>
      </c>
      <c r="T812" s="54" t="n">
        <f aca="true">RAND()</f>
        <v>0.357279999472226</v>
      </c>
      <c r="U812" s="54" t="n">
        <f aca="true">RAND()</f>
        <v>0.348994722767189</v>
      </c>
    </row>
    <row r="813" customFormat="false" ht="15" hidden="false" customHeight="false" outlineLevel="0" collapsed="false">
      <c r="A813" s="50" t="n">
        <v>733</v>
      </c>
      <c r="B813" s="51" t="n">
        <f aca="false">1+IF($G$6=$E$6,$F$6,IF(P813&lt;($F$6-$E$6)/($G$6-$E$6),$E$6+SQRT(P813*($G$6-$E$6)*($F$6-$E$6)),$G$6-SQRT((1-P813)*($G$6-$E$6)*($G$6-$F$6))))</f>
        <v>0.989968789714729</v>
      </c>
      <c r="C813" s="51" t="n">
        <f aca="false">1+IF($G$7=$E$7,$F$7,IF(Q813&lt;($F$7-$E$7)/($G$7-$E$7),$E$7+SQRT(Q813*($G$7-$E$7)*($F$7-$E$7)),$G$7-SQRT((1-Q813)*($G$7-$E$7)*($G$7-$F$7))))</f>
        <v>1.11634149824954</v>
      </c>
      <c r="D813" s="51" t="n">
        <f aca="false">1+IF($G$8=$E$8,$F$8,IF(R813&lt;($F$8-$E$8)/($G$8-$E$8),$E$8+SQRT(R813*($G$8-$E$8)*($F$8-$E$8)),$G$8-SQRT((1-R813)*($G$8-$E$8)*($G$8-$F$8))))</f>
        <v>1.06157492120605</v>
      </c>
      <c r="E813" s="51" t="n">
        <f aca="false">1+IF($G$9=$E$9,$F$9,IF(S813&lt;($F$9-$E$9)/($G$9-$E$9),$E$9+SQRT(S813*($G$9-$E$9)*($F$9-$E$9)),$G$9-SQRT((1-S813)*($G$9-$E$9)*($G$9-$F$9))))</f>
        <v>1.06549842972927</v>
      </c>
      <c r="F813" s="51" t="n">
        <f aca="false">1+IF($G$10=$E$10,$F$10,IF(T813&lt;($F$10-$E$10)/($G$10-$E$10),$E$10+SQRT(T813*($G$10-$E$10)*($F$10-$E$10)),$G$10-SQRT((1-T813)*($G$10-$E$10)*($G$10-$F$10))))</f>
        <v>1.06527486068072</v>
      </c>
      <c r="G813" s="52" t="n">
        <f aca="false">IF($G$11=$E$11,$F$11,IF(U813&lt;($F$11-$E$11)/($G$11-$E$11),$E$11+SQRT(U813*($G$11-$E$11)*($F$11-$E$11)),$G$11-SQRT((1-U813)*($G$11-$E$11)*($G$11-$F$11))))</f>
        <v>0.0856785555925051</v>
      </c>
      <c r="H813" s="53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-2130549721.36143</v>
      </c>
      <c r="I813" s="53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-16806327.24994</v>
      </c>
      <c r="J813" s="53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281719333.937367</v>
      </c>
      <c r="K813" s="53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633508738.15871</v>
      </c>
      <c r="L813" s="53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771211042.328927</v>
      </c>
      <c r="M813" s="53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981276669.755061</v>
      </c>
      <c r="N813" s="53" t="n">
        <f aca="false">IF(COUNT('Business Case'!B11:G11)=0,"",H813+NPV(G813,I813:M813))</f>
        <v>-206318213.958779</v>
      </c>
      <c r="P813" s="54" t="n">
        <f aca="true">RAND()</f>
        <v>0.539625541515537</v>
      </c>
      <c r="Q813" s="54" t="n">
        <f aca="true">RAND()</f>
        <v>0.983216374220948</v>
      </c>
      <c r="R813" s="54" t="n">
        <f aca="true">RAND()</f>
        <v>0.901567554645271</v>
      </c>
      <c r="S813" s="54" t="n">
        <f aca="true">RAND()</f>
        <v>0.809586256580834</v>
      </c>
      <c r="T813" s="54" t="n">
        <f aca="true">RAND()</f>
        <v>0.545021638712943</v>
      </c>
      <c r="U813" s="54" t="n">
        <f aca="true">RAND()</f>
        <v>0.0322459936171709</v>
      </c>
    </row>
    <row r="814" customFormat="false" ht="15" hidden="false" customHeight="false" outlineLevel="0" collapsed="false">
      <c r="A814" s="50" t="n">
        <v>734</v>
      </c>
      <c r="B814" s="51" t="n">
        <f aca="false">1+IF($G$6=$E$6,$F$6,IF(P814&lt;($F$6-$E$6)/($G$6-$E$6),$E$6+SQRT(P814*($G$6-$E$6)*($F$6-$E$6)),$G$6-SQRT((1-P814)*($G$6-$E$6)*($G$6-$F$6))))</f>
        <v>1.00476282633443</v>
      </c>
      <c r="C814" s="51" t="n">
        <f aca="false">1+IF($G$7=$E$7,$F$7,IF(Q814&lt;($F$7-$E$7)/($G$7-$E$7),$E$7+SQRT(Q814*($G$7-$E$7)*($F$7-$E$7)),$G$7-SQRT((1-Q814)*($G$7-$E$7)*($G$7-$F$7))))</f>
        <v>0.856869997766067</v>
      </c>
      <c r="D814" s="51" t="n">
        <f aca="false">1+IF($G$8=$E$8,$F$8,IF(R814&lt;($F$8-$E$8)/($G$8-$E$8),$E$8+SQRT(R814*($G$8-$E$8)*($F$8-$E$8)),$G$8-SQRT((1-R814)*($G$8-$E$8)*($G$8-$F$8))))</f>
        <v>0.993787036847029</v>
      </c>
      <c r="E814" s="51" t="n">
        <f aca="false">1+IF($G$9=$E$9,$F$9,IF(S814&lt;($F$9-$E$9)/($G$9-$E$9),$E$9+SQRT(S814*($G$9-$E$9)*($F$9-$E$9)),$G$9-SQRT((1-S814)*($G$9-$E$9)*($G$9-$F$9))))</f>
        <v>1.05621839568224</v>
      </c>
      <c r="F814" s="51" t="n">
        <f aca="false">1+IF($G$10=$E$10,$F$10,IF(T814&lt;($F$10-$E$10)/($G$10-$E$10),$E$10+SQRT(T814*($G$10-$E$10)*($F$10-$E$10)),$G$10-SQRT((1-T814)*($G$10-$E$10)*($G$10-$F$10))))</f>
        <v>1.01245654313874</v>
      </c>
      <c r="G814" s="52" t="n">
        <f aca="false">IF($G$11=$E$11,$F$11,IF(U814&lt;($F$11-$E$11)/($G$11-$E$11),$E$11+SQRT(U814*($G$11-$E$11)*($F$11-$E$11)),$G$11-SQRT((1-U814)*($G$11-$E$11)*($G$11-$F$11))))</f>
        <v>0.101020379833448</v>
      </c>
      <c r="H814" s="53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-2024913086.27747</v>
      </c>
      <c r="I814" s="53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-26814239.7699138</v>
      </c>
      <c r="J814" s="53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242443136.740083</v>
      </c>
      <c r="K814" s="53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562323340.407016</v>
      </c>
      <c r="L814" s="53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681830269.977031</v>
      </c>
      <c r="M814" s="53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845479859.010448</v>
      </c>
      <c r="N814" s="53" t="n">
        <f aca="false">IF(COUNT('Business Case'!B11:G11)=0,"",H814+NPV(G814,I814:M814))</f>
        <v>-441440106.830592</v>
      </c>
      <c r="P814" s="54" t="n">
        <f aca="true">RAND()</f>
        <v>0.727146415833505</v>
      </c>
      <c r="Q814" s="54" t="n">
        <f aca="true">RAND()</f>
        <v>0.18228293480834</v>
      </c>
      <c r="R814" s="54" t="n">
        <f aca="true">RAND()</f>
        <v>0.255640612779078</v>
      </c>
      <c r="S814" s="54" t="n">
        <f aca="true">RAND()</f>
        <v>0.765466951775636</v>
      </c>
      <c r="T814" s="54" t="n">
        <f aca="true">RAND()</f>
        <v>0.247641414698683</v>
      </c>
      <c r="U814" s="54" t="n">
        <f aca="true">RAND()</f>
        <v>0.440121076668239</v>
      </c>
    </row>
    <row r="815" customFormat="false" ht="15" hidden="false" customHeight="false" outlineLevel="0" collapsed="false">
      <c r="A815" s="50" t="n">
        <v>735</v>
      </c>
      <c r="B815" s="51" t="n">
        <f aca="false">1+IF($G$6=$E$6,$F$6,IF(P815&lt;($F$6-$E$6)/($G$6-$E$6),$E$6+SQRT(P815*($G$6-$E$6)*($F$6-$E$6)),$G$6-SQRT((1-P815)*($G$6-$E$6)*($G$6-$F$6))))</f>
        <v>1.01955307012169</v>
      </c>
      <c r="C815" s="51" t="n">
        <f aca="false">1+IF($G$7=$E$7,$F$7,IF(Q815&lt;($F$7-$E$7)/($G$7-$E$7),$E$7+SQRT(Q815*($G$7-$E$7)*($F$7-$E$7)),$G$7-SQRT((1-Q815)*($G$7-$E$7)*($G$7-$F$7))))</f>
        <v>0.991533269622995</v>
      </c>
      <c r="D815" s="51" t="n">
        <f aca="false">1+IF($G$8=$E$8,$F$8,IF(R815&lt;($F$8-$E$8)/($G$8-$E$8),$E$8+SQRT(R815*($G$8-$E$8)*($F$8-$E$8)),$G$8-SQRT((1-R815)*($G$8-$E$8)*($G$8-$F$8))))</f>
        <v>0.960833255178966</v>
      </c>
      <c r="E815" s="51" t="n">
        <f aca="false">1+IF($G$9=$E$9,$F$9,IF(S815&lt;($F$9-$E$9)/($G$9-$E$9),$E$9+SQRT(S815*($G$9-$E$9)*($F$9-$E$9)),$G$9-SQRT((1-S815)*($G$9-$E$9)*($G$9-$F$9))))</f>
        <v>1.04440786479354</v>
      </c>
      <c r="F815" s="51" t="n">
        <f aca="false">1+IF($G$10=$E$10,$F$10,IF(T815&lt;($F$10-$E$10)/($G$10-$E$10),$E$10+SQRT(T815*($G$10-$E$10)*($F$10-$E$10)),$G$10-SQRT((1-T815)*($G$10-$E$10)*($G$10-$F$10))))</f>
        <v>1.10742710773891</v>
      </c>
      <c r="G815" s="52" t="n">
        <f aca="false">IF($G$11=$E$11,$F$11,IF(U815&lt;($F$11-$E$11)/($G$11-$E$11),$E$11+SQRT(U815*($G$11-$E$11)*($F$11-$E$11)),$G$11-SQRT((1-U815)*($G$11-$E$11)*($G$11-$F$11))))</f>
        <v>0.0994569971044814</v>
      </c>
      <c r="H815" s="53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-2214854215.47782</v>
      </c>
      <c r="I815" s="53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28648038.4176503</v>
      </c>
      <c r="J815" s="53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368959719.693506</v>
      </c>
      <c r="K815" s="53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764642756.356306</v>
      </c>
      <c r="L815" s="53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913017405.92204</v>
      </c>
      <c r="M815" s="53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1105173229.52784</v>
      </c>
      <c r="N815" s="53" t="n">
        <f aca="false">IF(COUNT('Business Case'!B11:G11)=0,"",H815+NPV(G815,I815:M815))</f>
        <v>4525912.1661706</v>
      </c>
      <c r="P815" s="54" t="n">
        <f aca="true">RAND()</f>
        <v>0.876397928131363</v>
      </c>
      <c r="Q815" s="54" t="n">
        <f aca="true">RAND()</f>
        <v>0.629567757756101</v>
      </c>
      <c r="R815" s="54" t="n">
        <f aca="true">RAND()</f>
        <v>0.0156479223696789</v>
      </c>
      <c r="S815" s="54" t="n">
        <f aca="true">RAND()</f>
        <v>0.702674692867767</v>
      </c>
      <c r="T815" s="54" t="n">
        <f aca="true">RAND()</f>
        <v>0.728972938564094</v>
      </c>
      <c r="U815" s="54" t="n">
        <f aca="true">RAND()</f>
        <v>0.378574736323799</v>
      </c>
    </row>
    <row r="816" customFormat="false" ht="15" hidden="false" customHeight="false" outlineLevel="0" collapsed="false">
      <c r="A816" s="50" t="n">
        <v>736</v>
      </c>
      <c r="B816" s="51" t="n">
        <f aca="false">1+IF($G$6=$E$6,$F$6,IF(P816&lt;($F$6-$E$6)/($G$6-$E$6),$E$6+SQRT(P816*($G$6-$E$6)*($F$6-$E$6)),$G$6-SQRT((1-P816)*($G$6-$E$6)*($G$6-$F$6))))</f>
        <v>1.00730790044816</v>
      </c>
      <c r="C816" s="51" t="n">
        <f aca="false">1+IF($G$7=$E$7,$F$7,IF(Q816&lt;($F$7-$E$7)/($G$7-$E$7),$E$7+SQRT(Q816*($G$7-$E$7)*($F$7-$E$7)),$G$7-SQRT((1-Q816)*($G$7-$E$7)*($G$7-$F$7))))</f>
        <v>0.991421179504209</v>
      </c>
      <c r="D816" s="51" t="n">
        <f aca="false">1+IF($G$8=$E$8,$F$8,IF(R816&lt;($F$8-$E$8)/($G$8-$E$8),$E$8+SQRT(R816*($G$8-$E$8)*($F$8-$E$8)),$G$8-SQRT((1-R816)*($G$8-$E$8)*($G$8-$F$8))))</f>
        <v>0.99043814767296</v>
      </c>
      <c r="E816" s="51" t="n">
        <f aca="false">1+IF($G$9=$E$9,$F$9,IF(S816&lt;($F$9-$E$9)/($G$9-$E$9),$E$9+SQRT(S816*($G$9-$E$9)*($F$9-$E$9)),$G$9-SQRT((1-S816)*($G$9-$E$9)*($G$9-$F$9))))</f>
        <v>0.915555334693384</v>
      </c>
      <c r="F816" s="51" t="n">
        <f aca="false">1+IF($G$10=$E$10,$F$10,IF(T816&lt;($F$10-$E$10)/($G$10-$E$10),$E$10+SQRT(T816*($G$10-$E$10)*($F$10-$E$10)),$G$10-SQRT((1-T816)*($G$10-$E$10)*($G$10-$F$10))))</f>
        <v>1.10929195433355</v>
      </c>
      <c r="G816" s="52" t="n">
        <f aca="false">IF($G$11=$E$11,$F$11,IF(U816&lt;($F$11-$E$11)/($G$11-$E$11),$E$11+SQRT(U816*($G$11-$E$11)*($F$11-$E$11)),$G$11-SQRT((1-U816)*($G$11-$E$11)*($G$11-$F$11))))</f>
        <v>0.110649606882343</v>
      </c>
      <c r="H816" s="53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-2218583908.6671</v>
      </c>
      <c r="I816" s="53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22412225.9734931</v>
      </c>
      <c r="J816" s="53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337716481.464738</v>
      </c>
      <c r="K816" s="53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708485334.67266</v>
      </c>
      <c r="L816" s="53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848100663.497074</v>
      </c>
      <c r="M816" s="53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1037927170.2974</v>
      </c>
      <c r="N816" s="53" t="n">
        <f aca="false">IF(COUNT('Business Case'!B11:G11)=0,"",H816+NPV(G816,I816:M816))</f>
        <v>-235972568.445522</v>
      </c>
      <c r="P816" s="54" t="n">
        <f aca="true">RAND()</f>
        <v>0.7569846181141</v>
      </c>
      <c r="Q816" s="54" t="n">
        <f aca="true">RAND()</f>
        <v>0.629083732323145</v>
      </c>
      <c r="R816" s="54" t="n">
        <f aca="true">RAND()</f>
        <v>0.218032504962679</v>
      </c>
      <c r="S816" s="54" t="n">
        <f aca="true">RAND()</f>
        <v>0.00967873749692735</v>
      </c>
      <c r="T816" s="54" t="n">
        <f aca="true">RAND()</f>
        <v>0.73601661179637</v>
      </c>
      <c r="U816" s="54" t="n">
        <f aca="true">RAND()</f>
        <v>0.750374857461423</v>
      </c>
    </row>
    <row r="817" customFormat="false" ht="15" hidden="false" customHeight="false" outlineLevel="0" collapsed="false">
      <c r="A817" s="50" t="n">
        <v>737</v>
      </c>
      <c r="B817" s="51" t="n">
        <f aca="false">1+IF($G$6=$E$6,$F$6,IF(P817&lt;($F$6-$E$6)/($G$6-$E$6),$E$6+SQRT(P817*($G$6-$E$6)*($F$6-$E$6)),$G$6-SQRT((1-P817)*($G$6-$E$6)*($G$6-$F$6))))</f>
        <v>0.963890769666405</v>
      </c>
      <c r="C817" s="51" t="n">
        <f aca="false">1+IF($G$7=$E$7,$F$7,IF(Q817&lt;($F$7-$E$7)/($G$7-$E$7),$E$7+SQRT(Q817*($G$7-$E$7)*($F$7-$E$7)),$G$7-SQRT((1-Q817)*($G$7-$E$7)*($G$7-$F$7))))</f>
        <v>0.962282052395565</v>
      </c>
      <c r="D817" s="51" t="n">
        <f aca="false">1+IF($G$8=$E$8,$F$8,IF(R817&lt;($F$8-$E$8)/($G$8-$E$8),$E$8+SQRT(R817*($G$8-$E$8)*($F$8-$E$8)),$G$8-SQRT((1-R817)*($G$8-$E$8)*($G$8-$F$8))))</f>
        <v>1.03974119788188</v>
      </c>
      <c r="E817" s="51" t="n">
        <f aca="false">1+IF($G$9=$E$9,$F$9,IF(S817&lt;($F$9-$E$9)/($G$9-$E$9),$E$9+SQRT(S817*($G$9-$E$9)*($F$9-$E$9)),$G$9-SQRT((1-S817)*($G$9-$E$9)*($G$9-$F$9))))</f>
        <v>1.10093436547501</v>
      </c>
      <c r="F817" s="51" t="n">
        <f aca="false">1+IF($G$10=$E$10,$F$10,IF(T817&lt;($F$10-$E$10)/($G$10-$E$10),$E$10+SQRT(T817*($G$10-$E$10)*($F$10-$E$10)),$G$10-SQRT((1-T817)*($G$10-$E$10)*($G$10-$F$10))))</f>
        <v>1.03690009527896</v>
      </c>
      <c r="G817" s="52" t="n">
        <f aca="false">IF($G$11=$E$11,$F$11,IF(U817&lt;($F$11-$E$11)/($G$11-$E$11),$E$11+SQRT(U817*($G$11-$E$11)*($F$11-$E$11)),$G$11-SQRT((1-U817)*($G$11-$E$11)*($G$11-$F$11))))</f>
        <v>0.107735930061989</v>
      </c>
      <c r="H817" s="53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-2073800190.55792</v>
      </c>
      <c r="I817" s="53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-60796902.2515554</v>
      </c>
      <c r="J817" s="53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186732475.211458</v>
      </c>
      <c r="K817" s="53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486106857.43842</v>
      </c>
      <c r="L817" s="53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600672252.203509</v>
      </c>
      <c r="M817" s="53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776978064.729307</v>
      </c>
      <c r="N817" s="53" t="n">
        <f aca="false">IF(COUNT('Business Case'!B11:G11)=0,"",H817+NPV(G817,I817:M817))</f>
        <v>-754130358.976358</v>
      </c>
      <c r="P817" s="54" t="n">
        <f aca="true">RAND()</f>
        <v>0.272135363237707</v>
      </c>
      <c r="Q817" s="54" t="n">
        <f aca="true">RAND()</f>
        <v>0.50956944450985</v>
      </c>
      <c r="R817" s="54" t="n">
        <f aca="true">RAND()</f>
        <v>0.757925117819315</v>
      </c>
      <c r="S817" s="54" t="n">
        <f aca="true">RAND()</f>
        <v>0.935801693564271</v>
      </c>
      <c r="T817" s="54" t="n">
        <f aca="true">RAND()</f>
        <v>0.394512408105114</v>
      </c>
      <c r="U817" s="54" t="n">
        <f aca="true">RAND()</f>
        <v>0.669540793196907</v>
      </c>
    </row>
    <row r="818" customFormat="false" ht="15" hidden="false" customHeight="false" outlineLevel="0" collapsed="false">
      <c r="A818" s="50" t="n">
        <v>738</v>
      </c>
      <c r="B818" s="51" t="n">
        <f aca="false">1+IF($G$6=$E$6,$F$6,IF(P818&lt;($F$6-$E$6)/($G$6-$E$6),$E$6+SQRT(P818*($G$6-$E$6)*($F$6-$E$6)),$G$6-SQRT((1-P818)*($G$6-$E$6)*($G$6-$F$6))))</f>
        <v>1.00795256273566</v>
      </c>
      <c r="C818" s="51" t="n">
        <f aca="false">1+IF($G$7=$E$7,$F$7,IF(Q818&lt;($F$7-$E$7)/($G$7-$E$7),$E$7+SQRT(Q818*($G$7-$E$7)*($F$7-$E$7)),$G$7-SQRT((1-Q818)*($G$7-$E$7)*($G$7-$F$7))))</f>
        <v>0.803081716261476</v>
      </c>
      <c r="D818" s="51" t="n">
        <f aca="false">1+IF($G$8=$E$8,$F$8,IF(R818&lt;($F$8-$E$8)/($G$8-$E$8),$E$8+SQRT(R818*($G$8-$E$8)*($F$8-$E$8)),$G$8-SQRT((1-R818)*($G$8-$E$8)*($G$8-$F$8))))</f>
        <v>1.06753711707433</v>
      </c>
      <c r="E818" s="51" t="n">
        <f aca="false">1+IF($G$9=$E$9,$F$9,IF(S818&lt;($F$9-$E$9)/($G$9-$E$9),$E$9+SQRT(S818*($G$9-$E$9)*($F$9-$E$9)),$G$9-SQRT((1-S818)*($G$9-$E$9)*($G$9-$F$9))))</f>
        <v>1.03534071317059</v>
      </c>
      <c r="F818" s="51" t="n">
        <f aca="false">1+IF($G$10=$E$10,$F$10,IF(T818&lt;($F$10-$E$10)/($G$10-$E$10),$E$10+SQRT(T818*($G$10-$E$10)*($F$10-$E$10)),$G$10-SQRT((1-T818)*($G$10-$E$10)*($G$10-$F$10))))</f>
        <v>0.96855856181477</v>
      </c>
      <c r="G818" s="52" t="n">
        <f aca="false">IF($G$11=$E$11,$F$11,IF(U818&lt;($F$11-$E$11)/($G$11-$E$11),$E$11+SQRT(U818*($G$11-$E$11)*($F$11-$E$11)),$G$11-SQRT((1-U818)*($G$11-$E$11)*($G$11-$F$11))))</f>
        <v>0.120385517243953</v>
      </c>
      <c r="H818" s="53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-1937117123.62954</v>
      </c>
      <c r="I818" s="53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-61910361.7980384</v>
      </c>
      <c r="J818" s="53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162223417.321998</v>
      </c>
      <c r="K818" s="53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434785124.532774</v>
      </c>
      <c r="L818" s="53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537471607.788613</v>
      </c>
      <c r="M818" s="53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691335337.308995</v>
      </c>
      <c r="N818" s="53" t="n">
        <f aca="false">IF(COUNT('Business Case'!B11:G11)=0,"",H818+NPV(G818,I818:M818))</f>
        <v>-821277741.444591</v>
      </c>
      <c r="P818" s="54" t="n">
        <f aca="true">RAND()</f>
        <v>0.7642684026002</v>
      </c>
      <c r="Q818" s="54" t="n">
        <f aca="true">RAND()</f>
        <v>0.0787099276104544</v>
      </c>
      <c r="R818" s="54" t="n">
        <f aca="true">RAND()</f>
        <v>0.929744082143618</v>
      </c>
      <c r="S818" s="54" t="n">
        <f aca="true">RAND()</f>
        <v>0.649419945167225</v>
      </c>
      <c r="T818" s="54" t="n">
        <f aca="true">RAND()</f>
        <v>0.0229613477755087</v>
      </c>
      <c r="U818" s="54" t="n">
        <f aca="true">RAND()</f>
        <v>0.938374480889111</v>
      </c>
    </row>
    <row r="819" customFormat="false" ht="15" hidden="false" customHeight="false" outlineLevel="0" collapsed="false">
      <c r="A819" s="50" t="n">
        <v>739</v>
      </c>
      <c r="B819" s="51" t="n">
        <f aca="false">1+IF($G$6=$E$6,$F$6,IF(P819&lt;($F$6-$E$6)/($G$6-$E$6),$E$6+SQRT(P819*($G$6-$E$6)*($F$6-$E$6)),$G$6-SQRT((1-P819)*($G$6-$E$6)*($G$6-$F$6))))</f>
        <v>1.00296433378478</v>
      </c>
      <c r="C819" s="51" t="n">
        <f aca="false">1+IF($G$7=$E$7,$F$7,IF(Q819&lt;($F$7-$E$7)/($G$7-$E$7),$E$7+SQRT(Q819*($G$7-$E$7)*($F$7-$E$7)),$G$7-SQRT((1-Q819)*($G$7-$E$7)*($G$7-$F$7))))</f>
        <v>1.01794043958999</v>
      </c>
      <c r="D819" s="51" t="n">
        <f aca="false">1+IF($G$8=$E$8,$F$8,IF(R819&lt;($F$8-$E$8)/($G$8-$E$8),$E$8+SQRT(R819*($G$8-$E$8)*($F$8-$E$8)),$G$8-SQRT((1-R819)*($G$8-$E$8)*($G$8-$F$8))))</f>
        <v>0.983556390586275</v>
      </c>
      <c r="E819" s="51" t="n">
        <f aca="false">1+IF($G$9=$E$9,$F$9,IF(S819&lt;($F$9-$E$9)/($G$9-$E$9),$E$9+SQRT(S819*($G$9-$E$9)*($F$9-$E$9)),$G$9-SQRT((1-S819)*($G$9-$E$9)*($G$9-$F$9))))</f>
        <v>1.12728050316804</v>
      </c>
      <c r="F819" s="51" t="n">
        <f aca="false">1+IF($G$10=$E$10,$F$10,IF(T819&lt;($F$10-$E$10)/($G$10-$E$10),$E$10+SQRT(T819*($G$10-$E$10)*($F$10-$E$10)),$G$10-SQRT((1-T819)*($G$10-$E$10)*($G$10-$F$10))))</f>
        <v>1.17085767120656</v>
      </c>
      <c r="G819" s="52" t="n">
        <f aca="false">IF($G$11=$E$11,$F$11,IF(U819&lt;($F$11-$E$11)/($G$11-$E$11),$E$11+SQRT(U819*($G$11-$E$11)*($F$11-$E$11)),$G$11-SQRT((1-U819)*($G$11-$E$11)*($G$11-$F$11))))</f>
        <v>0.125746967656187</v>
      </c>
      <c r="H819" s="53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-2341715342.41311</v>
      </c>
      <c r="I819" s="53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-6608679.12076053</v>
      </c>
      <c r="J819" s="53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317094156.807807</v>
      </c>
      <c r="K819" s="53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699339876.296703</v>
      </c>
      <c r="L819" s="53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842525128.52501</v>
      </c>
      <c r="M819" s="53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1036588816.57833</v>
      </c>
      <c r="N819" s="53" t="n">
        <f aca="false">IF(COUNT('Business Case'!B11:G11)=0,"",H819+NPV(G819,I819:M819))</f>
        <v>-509266082.150306</v>
      </c>
      <c r="P819" s="54" t="n">
        <f aca="true">RAND()</f>
        <v>0.705019480492059</v>
      </c>
      <c r="Q819" s="54" t="n">
        <f aca="true">RAND()</f>
        <v>0.741633666730574</v>
      </c>
      <c r="R819" s="54" t="n">
        <f aca="true">RAND()</f>
        <v>0.150137513223823</v>
      </c>
      <c r="S819" s="54" t="n">
        <f aca="true">RAND()</f>
        <v>0.986235319032065</v>
      </c>
      <c r="T819" s="54" t="n">
        <f aca="true">RAND()</f>
        <v>0.916486557242006</v>
      </c>
      <c r="U819" s="54" t="n">
        <f aca="true">RAND()</f>
        <v>0.987941143921656</v>
      </c>
    </row>
    <row r="820" customFormat="false" ht="15" hidden="false" customHeight="false" outlineLevel="0" collapsed="false">
      <c r="A820" s="50" t="n">
        <v>740</v>
      </c>
      <c r="B820" s="51" t="n">
        <f aca="false">1+IF($G$6=$E$6,$F$6,IF(P820&lt;($F$6-$E$6)/($G$6-$E$6),$E$6+SQRT(P820*($G$6-$E$6)*($F$6-$E$6)),$G$6-SQRT((1-P820)*($G$6-$E$6)*($G$6-$F$6))))</f>
        <v>0.973932182992721</v>
      </c>
      <c r="C820" s="51" t="n">
        <f aca="false">1+IF($G$7=$E$7,$F$7,IF(Q820&lt;($F$7-$E$7)/($G$7-$E$7),$E$7+SQRT(Q820*($G$7-$E$7)*($F$7-$E$7)),$G$7-SQRT((1-Q820)*($G$7-$E$7)*($G$7-$F$7))))</f>
        <v>0.833860347373027</v>
      </c>
      <c r="D820" s="51" t="n">
        <f aca="false">1+IF($G$8=$E$8,$F$8,IF(R820&lt;($F$8-$E$8)/($G$8-$E$8),$E$8+SQRT(R820*($G$8-$E$8)*($F$8-$E$8)),$G$8-SQRT((1-R820)*($G$8-$E$8)*($G$8-$F$8))))</f>
        <v>0.993481191633228</v>
      </c>
      <c r="E820" s="51" t="n">
        <f aca="false">1+IF($G$9=$E$9,$F$9,IF(S820&lt;($F$9-$E$9)/($G$9-$E$9),$E$9+SQRT(S820*($G$9-$E$9)*($F$9-$E$9)),$G$9-SQRT((1-S820)*($G$9-$E$9)*($G$9-$F$9))))</f>
        <v>1.0128009250203</v>
      </c>
      <c r="F820" s="51" t="n">
        <f aca="false">1+IF($G$10=$E$10,$F$10,IF(T820&lt;($F$10-$E$10)/($G$10-$E$10),$E$10+SQRT(T820*($G$10-$E$10)*($F$10-$E$10)),$G$10-SQRT((1-T820)*($G$10-$E$10)*($G$10-$F$10))))</f>
        <v>1.05065232004976</v>
      </c>
      <c r="G820" s="52" t="n">
        <f aca="false">IF($G$11=$E$11,$F$11,IF(U820&lt;($F$11-$E$11)/($G$11-$E$11),$E$11+SQRT(U820*($G$11-$E$11)*($F$11-$E$11)),$G$11-SQRT((1-U820)*($G$11-$E$11)*($G$11-$F$11))))</f>
        <v>0.0949861588247442</v>
      </c>
      <c r="H820" s="53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-2101304640.09953</v>
      </c>
      <c r="I820" s="53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-50085547.9780972</v>
      </c>
      <c r="J820" s="53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191014906.11638</v>
      </c>
      <c r="K820" s="53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484647976.213346</v>
      </c>
      <c r="L820" s="53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593081779.931313</v>
      </c>
      <c r="M820" s="53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747450201.206923</v>
      </c>
      <c r="N820" s="53" t="n">
        <f aca="false">IF(COUNT('Business Case'!B11:G11)=0,"",H820+NPV(G820,I820:M820))</f>
        <v>-731200540.17281</v>
      </c>
      <c r="P820" s="54" t="n">
        <f aca="true">RAND()</f>
        <v>0.364397845471276</v>
      </c>
      <c r="Q820" s="54" t="n">
        <f aca="true">RAND()</f>
        <v>0.13273031554687</v>
      </c>
      <c r="R820" s="54" t="n">
        <f aca="true">RAND()</f>
        <v>0.252081870112736</v>
      </c>
      <c r="S820" s="54" t="n">
        <f aca="true">RAND()</f>
        <v>0.498037701992378</v>
      </c>
      <c r="T820" s="54" t="n">
        <f aca="true">RAND()</f>
        <v>0.470140033312782</v>
      </c>
      <c r="U820" s="54" t="n">
        <f aca="true">RAND()</f>
        <v>0.224584956320458</v>
      </c>
    </row>
    <row r="821" customFormat="false" ht="15" hidden="false" customHeight="false" outlineLevel="0" collapsed="false">
      <c r="A821" s="50" t="n">
        <v>741</v>
      </c>
      <c r="B821" s="51" t="n">
        <f aca="false">1+IF($G$6=$E$6,$F$6,IF(P821&lt;($F$6-$E$6)/($G$6-$E$6),$E$6+SQRT(P821*($G$6-$E$6)*($F$6-$E$6)),$G$6-SQRT((1-P821)*($G$6-$E$6)*($G$6-$F$6))))</f>
        <v>0.93418630634403</v>
      </c>
      <c r="C821" s="51" t="n">
        <f aca="false">1+IF($G$7=$E$7,$F$7,IF(Q821&lt;($F$7-$E$7)/($G$7-$E$7),$E$7+SQRT(Q821*($G$7-$E$7)*($F$7-$E$7)),$G$7-SQRT((1-Q821)*($G$7-$E$7)*($G$7-$F$7))))</f>
        <v>0.945148991582048</v>
      </c>
      <c r="D821" s="51" t="n">
        <f aca="false">1+IF($G$8=$E$8,$F$8,IF(R821&lt;($F$8-$E$8)/($G$8-$E$8),$E$8+SQRT(R821*($G$8-$E$8)*($F$8-$E$8)),$G$8-SQRT((1-R821)*($G$8-$E$8)*($G$8-$F$8))))</f>
        <v>1.01084804992946</v>
      </c>
      <c r="E821" s="51" t="n">
        <f aca="false">1+IF($G$9=$E$9,$F$9,IF(S821&lt;($F$9-$E$9)/($G$9-$E$9),$E$9+SQRT(S821*($G$9-$E$9)*($F$9-$E$9)),$G$9-SQRT((1-S821)*($G$9-$E$9)*($G$9-$F$9))))</f>
        <v>1.11430545573789</v>
      </c>
      <c r="F821" s="51" t="n">
        <f aca="false">1+IF($G$10=$E$10,$F$10,IF(T821&lt;($F$10-$E$10)/($G$10-$E$10),$E$10+SQRT(T821*($G$10-$E$10)*($F$10-$E$10)),$G$10-SQRT((1-T821)*($G$10-$E$10)*($G$10-$F$10))))</f>
        <v>1.03252279695068</v>
      </c>
      <c r="G821" s="52" t="n">
        <f aca="false">IF($G$11=$E$11,$F$11,IF(U821&lt;($F$11-$E$11)/($G$11-$E$11),$E$11+SQRT(U821*($G$11-$E$11)*($F$11-$E$11)),$G$11-SQRT((1-U821)*($G$11-$E$11)*($G$11-$F$11))))</f>
        <v>0.119943855484401</v>
      </c>
      <c r="H821" s="53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-2065045593.90136</v>
      </c>
      <c r="I821" s="53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-73372068.5252637</v>
      </c>
      <c r="J821" s="53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160734259.971529</v>
      </c>
      <c r="K821" s="53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446466728.315855</v>
      </c>
      <c r="L821" s="53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555016758.828826</v>
      </c>
      <c r="M821" s="53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722846991.072713</v>
      </c>
      <c r="N821" s="53" t="n">
        <f aca="false">IF(COUNT('Business Case'!B11:G11)=0,"",H821+NPV(G821,I821:M821))</f>
        <v>-921516907.942091</v>
      </c>
      <c r="P821" s="54" t="n">
        <f aca="true">RAND()</f>
        <v>0.0779135694298574</v>
      </c>
      <c r="Q821" s="54" t="n">
        <f aca="true">RAND()</f>
        <v>0.445170578323668</v>
      </c>
      <c r="R821" s="54" t="n">
        <f aca="true">RAND()</f>
        <v>0.470128653241378</v>
      </c>
      <c r="S821" s="54" t="n">
        <f aca="true">RAND()</f>
        <v>0.966023986931206</v>
      </c>
      <c r="T821" s="54" t="n">
        <f aca="true">RAND()</f>
        <v>0.369382215384603</v>
      </c>
      <c r="U821" s="54" t="n">
        <f aca="true">RAND()</f>
        <v>0.932582638320923</v>
      </c>
    </row>
    <row r="822" customFormat="false" ht="15" hidden="false" customHeight="false" outlineLevel="0" collapsed="false">
      <c r="A822" s="50" t="n">
        <v>742</v>
      </c>
      <c r="B822" s="51" t="n">
        <f aca="false">1+IF($G$6=$E$6,$F$6,IF(P822&lt;($F$6-$E$6)/($G$6-$E$6),$E$6+SQRT(P822*($G$6-$E$6)*($F$6-$E$6)),$G$6-SQRT((1-P822)*($G$6-$E$6)*($G$6-$F$6))))</f>
        <v>1.0301528162988</v>
      </c>
      <c r="C822" s="51" t="n">
        <f aca="false">1+IF($G$7=$E$7,$F$7,IF(Q822&lt;($F$7-$E$7)/($G$7-$E$7),$E$7+SQRT(Q822*($G$7-$E$7)*($F$7-$E$7)),$G$7-SQRT((1-Q822)*($G$7-$E$7)*($G$7-$F$7))))</f>
        <v>0.786491637399657</v>
      </c>
      <c r="D822" s="51" t="n">
        <f aca="false">1+IF($G$8=$E$8,$F$8,IF(R822&lt;($F$8-$E$8)/($G$8-$E$8),$E$8+SQRT(R822*($G$8-$E$8)*($F$8-$E$8)),$G$8-SQRT((1-R822)*($G$8-$E$8)*($G$8-$F$8))))</f>
        <v>1.00580130823577</v>
      </c>
      <c r="E822" s="51" t="n">
        <f aca="false">1+IF($G$9=$E$9,$F$9,IF(S822&lt;($F$9-$E$9)/($G$9-$E$9),$E$9+SQRT(S822*($G$9-$E$9)*($F$9-$E$9)),$G$9-SQRT((1-S822)*($G$9-$E$9)*($G$9-$F$9))))</f>
        <v>1.06369139971753</v>
      </c>
      <c r="F822" s="51" t="n">
        <f aca="false">1+IF($G$10=$E$10,$F$10,IF(T822&lt;($F$10-$E$10)/($G$10-$E$10),$E$10+SQRT(T822*($G$10-$E$10)*($F$10-$E$10)),$G$10-SQRT((1-T822)*($G$10-$E$10)*($G$10-$F$10))))</f>
        <v>1.02153103270303</v>
      </c>
      <c r="G822" s="52" t="n">
        <f aca="false">IF($G$11=$E$11,$F$11,IF(U822&lt;($F$11-$E$11)/($G$11-$E$11),$E$11+SQRT(U822*($G$11-$E$11)*($F$11-$E$11)),$G$11-SQRT((1-U822)*($G$11-$E$11)*($G$11-$F$11))))</f>
        <v>0.0928583464414767</v>
      </c>
      <c r="H822" s="53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-2043062065.40607</v>
      </c>
      <c r="I822" s="53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-36750135.5330408</v>
      </c>
      <c r="J822" s="53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221910858.105673</v>
      </c>
      <c r="K822" s="53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531648403.379538</v>
      </c>
      <c r="L822" s="53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645869473.833522</v>
      </c>
      <c r="M822" s="53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799873539.659458</v>
      </c>
      <c r="N822" s="53" t="n">
        <f aca="false">IF(COUNT('Business Case'!B11:G11)=0,"",H822+NPV(G822,I822:M822))</f>
        <v>-517688032.731583</v>
      </c>
      <c r="P822" s="54" t="n">
        <f aca="true">RAND()</f>
        <v>0.947478573217437</v>
      </c>
      <c r="Q822" s="54" t="n">
        <f aca="true">RAND()</f>
        <v>0.0554133580746209</v>
      </c>
      <c r="R822" s="54" t="n">
        <f aca="true">RAND()</f>
        <v>0.408440431327159</v>
      </c>
      <c r="S822" s="54" t="n">
        <f aca="true">RAND()</f>
        <v>0.801355347127469</v>
      </c>
      <c r="T822" s="54" t="n">
        <f aca="true">RAND()</f>
        <v>0.304025746430109</v>
      </c>
      <c r="U822" s="54" t="n">
        <f aca="true">RAND()</f>
        <v>0.165337073209036</v>
      </c>
    </row>
    <row r="823" customFormat="false" ht="15" hidden="false" customHeight="false" outlineLevel="0" collapsed="false">
      <c r="A823" s="50" t="n">
        <v>743</v>
      </c>
      <c r="B823" s="51" t="n">
        <f aca="false">1+IF($G$6=$E$6,$F$6,IF(P823&lt;($F$6-$E$6)/($G$6-$E$6),$E$6+SQRT(P823*($G$6-$E$6)*($F$6-$E$6)),$G$6-SQRT((1-P823)*($G$6-$E$6)*($G$6-$F$6))))</f>
        <v>0.996175100778176</v>
      </c>
      <c r="C823" s="51" t="n">
        <f aca="false">1+IF($G$7=$E$7,$F$7,IF(Q823&lt;($F$7-$E$7)/($G$7-$E$7),$E$7+SQRT(Q823*($G$7-$E$7)*($F$7-$E$7)),$G$7-SQRT((1-Q823)*($G$7-$E$7)*($G$7-$F$7))))</f>
        <v>1.05657980212968</v>
      </c>
      <c r="D823" s="51" t="n">
        <f aca="false">1+IF($G$8=$E$8,$F$8,IF(R823&lt;($F$8-$E$8)/($G$8-$E$8),$E$8+SQRT(R823*($G$8-$E$8)*($F$8-$E$8)),$G$8-SQRT((1-R823)*($G$8-$E$8)*($G$8-$F$8))))</f>
        <v>1.01382493527964</v>
      </c>
      <c r="E823" s="51" t="n">
        <f aca="false">1+IF($G$9=$E$9,$F$9,IF(S823&lt;($F$9-$E$9)/($G$9-$E$9),$E$9+SQRT(S823*($G$9-$E$9)*($F$9-$E$9)),$G$9-SQRT((1-S823)*($G$9-$E$9)*($G$9-$F$9))))</f>
        <v>1.11017820930123</v>
      </c>
      <c r="F823" s="51" t="n">
        <f aca="false">1+IF($G$10=$E$10,$F$10,IF(T823&lt;($F$10-$E$10)/($G$10-$E$10),$E$10+SQRT(T823*($G$10-$E$10)*($F$10-$E$10)),$G$10-SQRT((1-T823)*($G$10-$E$10)*($G$10-$F$10))))</f>
        <v>1.13159440763264</v>
      </c>
      <c r="G823" s="52" t="n">
        <f aca="false">IF($G$11=$E$11,$F$11,IF(U823&lt;($F$11-$E$11)/($G$11-$E$11),$E$11+SQRT(U823*($G$11-$E$11)*($F$11-$E$11)),$G$11-SQRT((1-U823)*($G$11-$E$11)*($G$11-$F$11))))</f>
        <v>0.12185199021682</v>
      </c>
      <c r="H823" s="53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-2263188815.26529</v>
      </c>
      <c r="I823" s="53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-11847593.8953778</v>
      </c>
      <c r="J823" s="53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301895189.701674</v>
      </c>
      <c r="K823" s="53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672217693.680359</v>
      </c>
      <c r="L823" s="53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813174351.790396</v>
      </c>
      <c r="M823" s="53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1013240868.13434</v>
      </c>
      <c r="N823" s="53" t="n">
        <f aca="false">IF(COUNT('Business Case'!B11:G11)=0,"",H823+NPV(G823,I823:M823))</f>
        <v>-474175960.334521</v>
      </c>
      <c r="P823" s="54" t="n">
        <f aca="true">RAND()</f>
        <v>0.616643333979482</v>
      </c>
      <c r="Q823" s="54" t="n">
        <f aca="true">RAND()</f>
        <v>0.870706172294369</v>
      </c>
      <c r="R823" s="54" t="n">
        <f aca="true">RAND()</f>
        <v>0.504923881362826</v>
      </c>
      <c r="S823" s="54" t="n">
        <f aca="true">RAND()</f>
        <v>0.957712666281154</v>
      </c>
      <c r="T823" s="54" t="n">
        <f aca="true">RAND()</f>
        <v>0.813068209281807</v>
      </c>
      <c r="U823" s="54" t="n">
        <f aca="true">RAND()</f>
        <v>0.955739957715467</v>
      </c>
    </row>
    <row r="824" customFormat="false" ht="15" hidden="false" customHeight="false" outlineLevel="0" collapsed="false">
      <c r="A824" s="50" t="n">
        <v>744</v>
      </c>
      <c r="B824" s="51" t="n">
        <f aca="false">1+IF($G$6=$E$6,$F$6,IF(P824&lt;($F$6-$E$6)/($G$6-$E$6),$E$6+SQRT(P824*($G$6-$E$6)*($F$6-$E$6)),$G$6-SQRT((1-P824)*($G$6-$E$6)*($G$6-$F$6))))</f>
        <v>0.979659905290517</v>
      </c>
      <c r="C824" s="51" t="n">
        <f aca="false">1+IF($G$7=$E$7,$F$7,IF(Q824&lt;($F$7-$E$7)/($G$7-$E$7),$E$7+SQRT(Q824*($G$7-$E$7)*($F$7-$E$7)),$G$7-SQRT((1-Q824)*($G$7-$E$7)*($G$7-$F$7))))</f>
        <v>0.845205109229283</v>
      </c>
      <c r="D824" s="51" t="n">
        <f aca="false">1+IF($G$8=$E$8,$F$8,IF(R824&lt;($F$8-$E$8)/($G$8-$E$8),$E$8+SQRT(R824*($G$8-$E$8)*($F$8-$E$8)),$G$8-SQRT((1-R824)*($G$8-$E$8)*($G$8-$F$8))))</f>
        <v>1.00962642402636</v>
      </c>
      <c r="E824" s="51" t="n">
        <f aca="false">1+IF($G$9=$E$9,$F$9,IF(S824&lt;($F$9-$E$9)/($G$9-$E$9),$E$9+SQRT(S824*($G$9-$E$9)*($F$9-$E$9)),$G$9-SQRT((1-S824)*($G$9-$E$9)*($G$9-$F$9))))</f>
        <v>1.02223293255669</v>
      </c>
      <c r="F824" s="51" t="n">
        <f aca="false">1+IF($G$10=$E$10,$F$10,IF(T824&lt;($F$10-$E$10)/($G$10-$E$10),$E$10+SQRT(T824*($G$10-$E$10)*($F$10-$E$10)),$G$10-SQRT((1-T824)*($G$10-$E$10)*($G$10-$F$10))))</f>
        <v>1.05876815693446</v>
      </c>
      <c r="G824" s="52" t="n">
        <f aca="false">IF($G$11=$E$11,$F$11,IF(U824&lt;($F$11-$E$11)/($G$11-$E$11),$E$11+SQRT(U824*($G$11-$E$11)*($F$11-$E$11)),$G$11-SQRT((1-U824)*($G$11-$E$11)*($G$11-$F$11))))</f>
        <v>0.111998115911208</v>
      </c>
      <c r="H824" s="53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-2117536313.86892</v>
      </c>
      <c r="I824" s="53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-52802376.7713845</v>
      </c>
      <c r="J824" s="53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188557807.968526</v>
      </c>
      <c r="K824" s="53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482856400.555159</v>
      </c>
      <c r="L824" s="53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591925944.00732</v>
      </c>
      <c r="M824" s="53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749314760.971039</v>
      </c>
      <c r="N824" s="53" t="n">
        <f aca="false">IF(COUNT('Business Case'!B11:G11)=0,"",H824+NPV(G824,I824:M824))</f>
        <v>-833545686.037283</v>
      </c>
      <c r="P824" s="54" t="n">
        <f aca="true">RAND()</f>
        <v>0.423046700726275</v>
      </c>
      <c r="Q824" s="54" t="n">
        <f aca="true">RAND()</f>
        <v>0.156181657379912</v>
      </c>
      <c r="R824" s="54" t="n">
        <f aca="true">RAND()</f>
        <v>0.455507784382394</v>
      </c>
      <c r="S824" s="54" t="n">
        <f aca="true">RAND()</f>
        <v>0.564682039385</v>
      </c>
      <c r="T824" s="54" t="n">
        <f aca="true">RAND()</f>
        <v>0.512405095970087</v>
      </c>
      <c r="U824" s="54" t="n">
        <f aca="true">RAND()</f>
        <v>0.783954779502467</v>
      </c>
    </row>
    <row r="825" customFormat="false" ht="15" hidden="false" customHeight="false" outlineLevel="0" collapsed="false">
      <c r="A825" s="50" t="n">
        <v>745</v>
      </c>
      <c r="B825" s="51" t="n">
        <f aca="false">1+IF($G$6=$E$6,$F$6,IF(P825&lt;($F$6-$E$6)/($G$6-$E$6),$E$6+SQRT(P825*($G$6-$E$6)*($F$6-$E$6)),$G$6-SQRT((1-P825)*($G$6-$E$6)*($G$6-$F$6))))</f>
        <v>1.03053762919237</v>
      </c>
      <c r="C825" s="51" t="n">
        <f aca="false">1+IF($G$7=$E$7,$F$7,IF(Q825&lt;($F$7-$E$7)/($G$7-$E$7),$E$7+SQRT(Q825*($G$7-$E$7)*($F$7-$E$7)),$G$7-SQRT((1-Q825)*($G$7-$E$7)*($G$7-$F$7))))</f>
        <v>0.877183036760707</v>
      </c>
      <c r="D825" s="51" t="n">
        <f aca="false">1+IF($G$8=$E$8,$F$8,IF(R825&lt;($F$8-$E$8)/($G$8-$E$8),$E$8+SQRT(R825*($G$8-$E$8)*($F$8-$E$8)),$G$8-SQRT((1-R825)*($G$8-$E$8)*($G$8-$F$8))))</f>
        <v>1.00805991214991</v>
      </c>
      <c r="E825" s="51" t="n">
        <f aca="false">1+IF($G$9=$E$9,$F$9,IF(S825&lt;($F$9-$E$9)/($G$9-$E$9),$E$9+SQRT(S825*($G$9-$E$9)*($F$9-$E$9)),$G$9-SQRT((1-S825)*($G$9-$E$9)*($G$9-$F$9))))</f>
        <v>1.03775409902401</v>
      </c>
      <c r="F825" s="51" t="n">
        <f aca="false">1+IF($G$10=$E$10,$F$10,IF(T825&lt;($F$10-$E$10)/($G$10-$E$10),$E$10+SQRT(T825*($G$10-$E$10)*($F$10-$E$10)),$G$10-SQRT((1-T825)*($G$10-$E$10)*($G$10-$F$10))))</f>
        <v>1.04344536313023</v>
      </c>
      <c r="G825" s="52" t="n">
        <f aca="false">IF($G$11=$E$11,$F$11,IF(U825&lt;($F$11-$E$11)/($G$11-$E$11),$E$11+SQRT(U825*($G$11-$E$11)*($F$11-$E$11)),$G$11-SQRT((1-U825)*($G$11-$E$11)*($G$11-$F$11))))</f>
        <v>0.0938485198804702</v>
      </c>
      <c r="H825" s="53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-2086890726.26046</v>
      </c>
      <c r="I825" s="53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-11025184.564702</v>
      </c>
      <c r="J825" s="53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276724611.452201</v>
      </c>
      <c r="K825" s="53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616646675.625616</v>
      </c>
      <c r="L825" s="53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743804481.889496</v>
      </c>
      <c r="M825" s="53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915631123.643179</v>
      </c>
      <c r="N825" s="53" t="n">
        <f aca="false">IF(COUNT('Business Case'!B11:G11)=0,"",H825+NPV(G825,I825:M825))</f>
        <v>-290281033.895205</v>
      </c>
      <c r="P825" s="54" t="n">
        <f aca="true">RAND()</f>
        <v>0.949495483006185</v>
      </c>
      <c r="Q825" s="54" t="n">
        <f aca="true">RAND()</f>
        <v>0.232546877894416</v>
      </c>
      <c r="R825" s="54" t="n">
        <f aca="true">RAND()</f>
        <v>0.436468016407839</v>
      </c>
      <c r="S825" s="54" t="n">
        <f aca="true">RAND()</f>
        <v>0.6640228723757</v>
      </c>
      <c r="T825" s="54" t="n">
        <f aca="true">RAND()</f>
        <v>0.431135759834626</v>
      </c>
      <c r="U825" s="54" t="n">
        <f aca="true">RAND()</f>
        <v>0.191781502879777</v>
      </c>
    </row>
    <row r="826" customFormat="false" ht="15" hidden="false" customHeight="false" outlineLevel="0" collapsed="false">
      <c r="A826" s="50" t="n">
        <v>746</v>
      </c>
      <c r="B826" s="51" t="n">
        <f aca="false">1+IF($G$6=$E$6,$F$6,IF(P826&lt;($F$6-$E$6)/($G$6-$E$6),$E$6+SQRT(P826*($G$6-$E$6)*($F$6-$E$6)),$G$6-SQRT((1-P826)*($G$6-$E$6)*($G$6-$F$6))))</f>
        <v>1.00429570673619</v>
      </c>
      <c r="C826" s="51" t="n">
        <f aca="false">1+IF($G$7=$E$7,$F$7,IF(Q826&lt;($F$7-$E$7)/($G$7-$E$7),$E$7+SQRT(Q826*($G$7-$E$7)*($F$7-$E$7)),$G$7-SQRT((1-Q826)*($G$7-$E$7)*($G$7-$F$7))))</f>
        <v>0.824320261682649</v>
      </c>
      <c r="D826" s="51" t="n">
        <f aca="false">1+IF($G$8=$E$8,$F$8,IF(R826&lt;($F$8-$E$8)/($G$8-$E$8),$E$8+SQRT(R826*($G$8-$E$8)*($F$8-$E$8)),$G$8-SQRT((1-R826)*($G$8-$E$8)*($G$8-$F$8))))</f>
        <v>1.02107405473276</v>
      </c>
      <c r="E826" s="51" t="n">
        <f aca="false">1+IF($G$9=$E$9,$F$9,IF(S826&lt;($F$9-$E$9)/($G$9-$E$9),$E$9+SQRT(S826*($G$9-$E$9)*($F$9-$E$9)),$G$9-SQRT((1-S826)*($G$9-$E$9)*($G$9-$F$9))))</f>
        <v>1.01596329536269</v>
      </c>
      <c r="F826" s="51" t="n">
        <f aca="false">1+IF($G$10=$E$10,$F$10,IF(T826&lt;($F$10-$E$10)/($G$10-$E$10),$E$10+SQRT(T826*($G$10-$E$10)*($F$10-$E$10)),$G$10-SQRT((1-T826)*($G$10-$E$10)*($G$10-$F$10))))</f>
        <v>1.17665981577206</v>
      </c>
      <c r="G826" s="52" t="n">
        <f aca="false">IF($G$11=$E$11,$F$11,IF(U826&lt;($F$11-$E$11)/($G$11-$E$11),$E$11+SQRT(U826*($G$11-$E$11)*($F$11-$E$11)),$G$11-SQRT((1-U826)*($G$11-$E$11)*($G$11-$F$11))))</f>
        <v>0.108534445194825</v>
      </c>
      <c r="H826" s="53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-2353319631.54411</v>
      </c>
      <c r="I826" s="53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-57853266.4409703</v>
      </c>
      <c r="J826" s="53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189345759.076618</v>
      </c>
      <c r="K826" s="53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495377775.38281</v>
      </c>
      <c r="L826" s="53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606388337.075859</v>
      </c>
      <c r="M826" s="53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763748212.938714</v>
      </c>
      <c r="N826" s="53" t="n">
        <f aca="false">IF(COUNT('Business Case'!B11:G11)=0,"",H826+NPV(G826,I826:M826))</f>
        <v>-1029955452.81021</v>
      </c>
      <c r="P826" s="54" t="n">
        <f aca="true">RAND()</f>
        <v>0.721482343634104</v>
      </c>
      <c r="Q826" s="54" t="n">
        <f aca="true">RAND()</f>
        <v>0.114485388628462</v>
      </c>
      <c r="R826" s="54" t="n">
        <f aca="true">RAND()</f>
        <v>0.584713010911532</v>
      </c>
      <c r="S826" s="54" t="n">
        <f aca="true">RAND()</f>
        <v>0.520910981599232</v>
      </c>
      <c r="T826" s="54" t="n">
        <f aca="true">RAND()</f>
        <v>0.928282898365482</v>
      </c>
      <c r="U826" s="54" t="n">
        <f aca="true">RAND()</f>
        <v>0.692819971270696</v>
      </c>
    </row>
    <row r="827" customFormat="false" ht="15" hidden="false" customHeight="false" outlineLevel="0" collapsed="false">
      <c r="A827" s="50" t="n">
        <v>747</v>
      </c>
      <c r="B827" s="51" t="n">
        <f aca="false">1+IF($G$6=$E$6,$F$6,IF(P827&lt;($F$6-$E$6)/($G$6-$E$6),$E$6+SQRT(P827*($G$6-$E$6)*($F$6-$E$6)),$G$6-SQRT((1-P827)*($G$6-$E$6)*($G$6-$F$6))))</f>
        <v>0.986464652897901</v>
      </c>
      <c r="C827" s="51" t="n">
        <f aca="false">1+IF($G$7=$E$7,$F$7,IF(Q827&lt;($F$7-$E$7)/($G$7-$E$7),$E$7+SQRT(Q827*($G$7-$E$7)*($F$7-$E$7)),$G$7-SQRT((1-Q827)*($G$7-$E$7)*($G$7-$F$7))))</f>
        <v>0.921359053259595</v>
      </c>
      <c r="D827" s="51" t="n">
        <f aca="false">1+IF($G$8=$E$8,$F$8,IF(R827&lt;($F$8-$E$8)/($G$8-$E$8),$E$8+SQRT(R827*($G$8-$E$8)*($F$8-$E$8)),$G$8-SQRT((1-R827)*($G$8-$E$8)*($G$8-$F$8))))</f>
        <v>1.02075362876775</v>
      </c>
      <c r="E827" s="51" t="n">
        <f aca="false">1+IF($G$9=$E$9,$F$9,IF(S827&lt;($F$9-$E$9)/($G$9-$E$9),$E$9+SQRT(S827*($G$9-$E$9)*($F$9-$E$9)),$G$9-SQRT((1-S827)*($G$9-$E$9)*($G$9-$F$9))))</f>
        <v>0.966856409340819</v>
      </c>
      <c r="F827" s="51" t="n">
        <f aca="false">1+IF($G$10=$E$10,$F$10,IF(T827&lt;($F$10-$E$10)/($G$10-$E$10),$E$10+SQRT(T827*($G$10-$E$10)*($F$10-$E$10)),$G$10-SQRT((1-T827)*($G$10-$E$10)*($G$10-$F$10))))</f>
        <v>1.03240982658462</v>
      </c>
      <c r="G827" s="52" t="n">
        <f aca="false">IF($G$11=$E$11,$F$11,IF(U827&lt;($F$11-$E$11)/($G$11-$E$11),$E$11+SQRT(U827*($G$11-$E$11)*($F$11-$E$11)),$G$11-SQRT((1-U827)*($G$11-$E$11)*($G$11-$F$11))))</f>
        <v>0.11924875532497</v>
      </c>
      <c r="H827" s="53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-2064819653.16925</v>
      </c>
      <c r="I827" s="53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-24850726.8829192</v>
      </c>
      <c r="J827" s="53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238143271.409441</v>
      </c>
      <c r="K827" s="53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552757761.031032</v>
      </c>
      <c r="L827" s="53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671833601.200854</v>
      </c>
      <c r="M827" s="53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844595058.59888</v>
      </c>
      <c r="N827" s="53" t="n">
        <f aca="false">IF(COUNT('Business Case'!B11:G11)=0,"",H827+NPV(G827,I827:M827))</f>
        <v>-593720263.139806</v>
      </c>
      <c r="P827" s="54" t="n">
        <f aca="true">RAND()</f>
        <v>0.498409080050298</v>
      </c>
      <c r="Q827" s="54" t="n">
        <f aca="true">RAND()</f>
        <v>0.362961707110993</v>
      </c>
      <c r="R827" s="54" t="n">
        <f aca="true">RAND()</f>
        <v>0.581334176434739</v>
      </c>
      <c r="S827" s="54" t="n">
        <f aca="true">RAND()</f>
        <v>0.178791178797885</v>
      </c>
      <c r="T827" s="54" t="n">
        <f aca="true">RAND()</f>
        <v>0.368726885774221</v>
      </c>
      <c r="U827" s="54" t="n">
        <f aca="true">RAND()</f>
        <v>0.922940491958424</v>
      </c>
    </row>
    <row r="828" customFormat="false" ht="15" hidden="false" customHeight="false" outlineLevel="0" collapsed="false">
      <c r="A828" s="50" t="n">
        <v>748</v>
      </c>
      <c r="B828" s="51" t="n">
        <f aca="false">1+IF($G$6=$E$6,$F$6,IF(P828&lt;($F$6-$E$6)/($G$6-$E$6),$E$6+SQRT(P828*($G$6-$E$6)*($F$6-$E$6)),$G$6-SQRT((1-P828)*($G$6-$E$6)*($G$6-$F$6))))</f>
        <v>1.04431243725472</v>
      </c>
      <c r="C828" s="51" t="n">
        <f aca="false">1+IF($G$7=$E$7,$F$7,IF(Q828&lt;($F$7-$E$7)/($G$7-$E$7),$E$7+SQRT(Q828*($G$7-$E$7)*($F$7-$E$7)),$G$7-SQRT((1-Q828)*($G$7-$E$7)*($G$7-$F$7))))</f>
        <v>0.944380033197463</v>
      </c>
      <c r="D828" s="51" t="n">
        <f aca="false">1+IF($G$8=$E$8,$F$8,IF(R828&lt;($F$8-$E$8)/($G$8-$E$8),$E$8+SQRT(R828*($G$8-$E$8)*($F$8-$E$8)),$G$8-SQRT((1-R828)*($G$8-$E$8)*($G$8-$F$8))))</f>
        <v>0.961463958340899</v>
      </c>
      <c r="E828" s="51" t="n">
        <f aca="false">1+IF($G$9=$E$9,$F$9,IF(S828&lt;($F$9-$E$9)/($G$9-$E$9),$E$9+SQRT(S828*($G$9-$E$9)*($F$9-$E$9)),$G$9-SQRT((1-S828)*($G$9-$E$9)*($G$9-$F$9))))</f>
        <v>0.966697089813438</v>
      </c>
      <c r="F828" s="51" t="n">
        <f aca="false">1+IF($G$10=$E$10,$F$10,IF(T828&lt;($F$10-$E$10)/($G$10-$E$10),$E$10+SQRT(T828*($G$10-$E$10)*($F$10-$E$10)),$G$10-SQRT((1-T828)*($G$10-$E$10)*($G$10-$F$10))))</f>
        <v>1.22468232359406</v>
      </c>
      <c r="G828" s="52" t="n">
        <f aca="false">IF($G$11=$E$11,$F$11,IF(U828&lt;($F$11-$E$11)/($G$11-$E$11),$E$11+SQRT(U828*($G$11-$E$11)*($F$11-$E$11)),$G$11-SQRT((1-U828)*($G$11-$E$11)*($G$11-$F$11))))</f>
        <v>0.0980903626106505</v>
      </c>
      <c r="H828" s="53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-2449364647.18812</v>
      </c>
      <c r="I828" s="53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31916087.9474976</v>
      </c>
      <c r="J828" s="53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374890784.312089</v>
      </c>
      <c r="K828" s="53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779099596.856383</v>
      </c>
      <c r="L828" s="53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927508528.902058</v>
      </c>
      <c r="M828" s="53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1114970711.81819</v>
      </c>
      <c r="N828" s="53" t="n">
        <f aca="false">IF(COUNT('Business Case'!B11:G11)=0,"",H828+NPV(G828,I828:M828))</f>
        <v>-184716734.58463</v>
      </c>
      <c r="P828" s="54" t="n">
        <f aca="true">RAND()</f>
        <v>0.99568688400246</v>
      </c>
      <c r="Q828" s="54" t="n">
        <f aca="true">RAND()</f>
        <v>0.442382226856246</v>
      </c>
      <c r="R828" s="54" t="n">
        <f aca="true">RAND()</f>
        <v>0.0175229787789157</v>
      </c>
      <c r="S828" s="54" t="n">
        <f aca="true">RAND()</f>
        <v>0.177940071583272</v>
      </c>
      <c r="T828" s="54" t="n">
        <f aca="true">RAND()</f>
        <v>0.991453536818721</v>
      </c>
      <c r="U828" s="54" t="n">
        <f aca="true">RAND()</f>
        <v>0.327261219384822</v>
      </c>
    </row>
    <row r="829" customFormat="false" ht="15" hidden="false" customHeight="false" outlineLevel="0" collapsed="false">
      <c r="A829" s="50" t="n">
        <v>749</v>
      </c>
      <c r="B829" s="51" t="n">
        <f aca="false">1+IF($G$6=$E$6,$F$6,IF(P829&lt;($F$6-$E$6)/($G$6-$E$6),$E$6+SQRT(P829*($G$6-$E$6)*($F$6-$E$6)),$G$6-SQRT((1-P829)*($G$6-$E$6)*($G$6-$F$6))))</f>
        <v>0.923237295842608</v>
      </c>
      <c r="C829" s="51" t="n">
        <f aca="false">1+IF($G$7=$E$7,$F$7,IF(Q829&lt;($F$7-$E$7)/($G$7-$E$7),$E$7+SQRT(Q829*($G$7-$E$7)*($F$7-$E$7)),$G$7-SQRT((1-Q829)*($G$7-$E$7)*($G$7-$F$7))))</f>
        <v>1.00425290503301</v>
      </c>
      <c r="D829" s="51" t="n">
        <f aca="false">1+IF($G$8=$E$8,$F$8,IF(R829&lt;($F$8-$E$8)/($G$8-$E$8),$E$8+SQRT(R829*($G$8-$E$8)*($F$8-$E$8)),$G$8-SQRT((1-R829)*($G$8-$E$8)*($G$8-$F$8))))</f>
        <v>1.0387345959914</v>
      </c>
      <c r="E829" s="51" t="n">
        <f aca="false">1+IF($G$9=$E$9,$F$9,IF(S829&lt;($F$9-$E$9)/($G$9-$E$9),$E$9+SQRT(S829*($G$9-$E$9)*($F$9-$E$9)),$G$9-SQRT((1-S829)*($G$9-$E$9)*($G$9-$F$9))))</f>
        <v>0.973753866173542</v>
      </c>
      <c r="F829" s="51" t="n">
        <f aca="false">1+IF($G$10=$E$10,$F$10,IF(T829&lt;($F$10-$E$10)/($G$10-$E$10),$E$10+SQRT(T829*($G$10-$E$10)*($F$10-$E$10)),$G$10-SQRT((1-T829)*($G$10-$E$10)*($G$10-$F$10))))</f>
        <v>1.02543862620843</v>
      </c>
      <c r="G829" s="52" t="n">
        <f aca="false">IF($G$11=$E$11,$F$11,IF(U829&lt;($F$11-$E$11)/($G$11-$E$11),$E$11+SQRT(U829*($G$11-$E$11)*($F$11-$E$11)),$G$11-SQRT((1-U829)*($G$11-$E$11)*($G$11-$F$11))))</f>
        <v>0.0904994065010557</v>
      </c>
      <c r="H829" s="53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-2050877252.41686</v>
      </c>
      <c r="I829" s="53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-63672467.0362386</v>
      </c>
      <c r="J829" s="53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161730896.41243</v>
      </c>
      <c r="K829" s="53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438406191.171519</v>
      </c>
      <c r="L829" s="53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545583424.383866</v>
      </c>
      <c r="M829" s="53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721818707.395882</v>
      </c>
      <c r="N829" s="53" t="n">
        <f aca="false">IF(COUNT('Business Case'!B11:G11)=0,"",H829+NPV(G829,I829:M829))</f>
        <v>-781342554.605647</v>
      </c>
      <c r="P829" s="54" t="n">
        <f aca="true">RAND()</f>
        <v>0.0359981278717917</v>
      </c>
      <c r="Q829" s="54" t="n">
        <f aca="true">RAND()</f>
        <v>0.685300508276798</v>
      </c>
      <c r="R829" s="54" t="n">
        <f aca="true">RAND()</f>
        <v>0.749770018110835</v>
      </c>
      <c r="S829" s="54" t="n">
        <f aca="true">RAND()</f>
        <v>0.217585311021792</v>
      </c>
      <c r="T829" s="54" t="n">
        <f aca="true">RAND()</f>
        <v>0.32762919201124</v>
      </c>
      <c r="U829" s="54" t="n">
        <f aca="true">RAND()</f>
        <v>0.110237536874412</v>
      </c>
    </row>
    <row r="830" customFormat="false" ht="15" hidden="false" customHeight="false" outlineLevel="0" collapsed="false">
      <c r="A830" s="50" t="n">
        <v>750</v>
      </c>
      <c r="B830" s="51" t="n">
        <f aca="false">1+IF($G$6=$E$6,$F$6,IF(P830&lt;($F$6-$E$6)/($G$6-$E$6),$E$6+SQRT(P830*($G$6-$E$6)*($F$6-$E$6)),$G$6-SQRT((1-P830)*($G$6-$E$6)*($G$6-$F$6))))</f>
        <v>1.03897051553243</v>
      </c>
      <c r="C830" s="51" t="n">
        <f aca="false">1+IF($G$7=$E$7,$F$7,IF(Q830&lt;($F$7-$E$7)/($G$7-$E$7),$E$7+SQRT(Q830*($G$7-$E$7)*($F$7-$E$7)),$G$7-SQRT((1-Q830)*($G$7-$E$7)*($G$7-$F$7))))</f>
        <v>0.8388032793163</v>
      </c>
      <c r="D830" s="51" t="n">
        <f aca="false">1+IF($G$8=$E$8,$F$8,IF(R830&lt;($F$8-$E$8)/($G$8-$E$8),$E$8+SQRT(R830*($G$8-$E$8)*($F$8-$E$8)),$G$8-SQRT((1-R830)*($G$8-$E$8)*($G$8-$F$8))))</f>
        <v>0.994861479774017</v>
      </c>
      <c r="E830" s="51" t="n">
        <f aca="false">1+IF($G$9=$E$9,$F$9,IF(S830&lt;($F$9-$E$9)/($G$9-$E$9),$E$9+SQRT(S830*($G$9-$E$9)*($F$9-$E$9)),$G$9-SQRT((1-S830)*($G$9-$E$9)*($G$9-$F$9))))</f>
        <v>0.976267548436227</v>
      </c>
      <c r="F830" s="51" t="n">
        <f aca="false">1+IF($G$10=$E$10,$F$10,IF(T830&lt;($F$10-$E$10)/($G$10-$E$10),$E$10+SQRT(T830*($G$10-$E$10)*($F$10-$E$10)),$G$10-SQRT((1-T830)*($G$10-$E$10)*($G$10-$F$10))))</f>
        <v>1.02237243678274</v>
      </c>
      <c r="G830" s="52" t="n">
        <f aca="false">IF($G$11=$E$11,$F$11,IF(U830&lt;($F$11-$E$11)/($G$11-$E$11),$E$11+SQRT(U830*($G$11-$E$11)*($F$11-$E$11)),$G$11-SQRT((1-U830)*($G$11-$E$11)*($G$11-$F$11))))</f>
        <v>0.119172251490789</v>
      </c>
      <c r="H830" s="53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-2044744873.56547</v>
      </c>
      <c r="I830" s="53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380272.324969873</v>
      </c>
      <c r="J830" s="53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287001172.543919</v>
      </c>
      <c r="K830" s="53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624740694.602005</v>
      </c>
      <c r="L830" s="53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750399753.893704</v>
      </c>
      <c r="M830" s="53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916052929.596641</v>
      </c>
      <c r="N830" s="53" t="n">
        <f aca="false">IF(COUNT('Business Case'!B11:G11)=0,"",H830+NPV(G830,I830:M830))</f>
        <v>-369582350.957947</v>
      </c>
      <c r="P830" s="54" t="n">
        <f aca="true">RAND()</f>
        <v>0.983780062983954</v>
      </c>
      <c r="Q830" s="54" t="n">
        <f aca="true">RAND()</f>
        <v>0.142713706288583</v>
      </c>
      <c r="R830" s="54" t="n">
        <f aca="true">RAND()</f>
        <v>0.268340315668609</v>
      </c>
      <c r="S830" s="54" t="n">
        <f aca="true">RAND()</f>
        <v>0.23266955777889</v>
      </c>
      <c r="T830" s="54" t="n">
        <f aca="true">RAND()</f>
        <v>0.309142566183609</v>
      </c>
      <c r="U830" s="54" t="n">
        <f aca="true">RAND()</f>
        <v>0.921839908147515</v>
      </c>
    </row>
    <row r="831" customFormat="false" ht="15" hidden="false" customHeight="false" outlineLevel="0" collapsed="false">
      <c r="A831" s="50" t="n">
        <v>751</v>
      </c>
      <c r="B831" s="51" t="n">
        <f aca="false">1+IF($G$6=$E$6,$F$6,IF(P831&lt;($F$6-$E$6)/($G$6-$E$6),$E$6+SQRT(P831*($G$6-$E$6)*($F$6-$E$6)),$G$6-SQRT((1-P831)*($G$6-$E$6)*($G$6-$F$6))))</f>
        <v>0.97475053302187</v>
      </c>
      <c r="C831" s="51" t="n">
        <f aca="false">1+IF($G$7=$E$7,$F$7,IF(Q831&lt;($F$7-$E$7)/($G$7-$E$7),$E$7+SQRT(Q831*($G$7-$E$7)*($F$7-$E$7)),$G$7-SQRT((1-Q831)*($G$7-$E$7)*($G$7-$F$7))))</f>
        <v>0.92324221538875</v>
      </c>
      <c r="D831" s="51" t="n">
        <f aca="false">1+IF($G$8=$E$8,$F$8,IF(R831&lt;($F$8-$E$8)/($G$8-$E$8),$E$8+SQRT(R831*($G$8-$E$8)*($F$8-$E$8)),$G$8-SQRT((1-R831)*($G$8-$E$8)*($G$8-$F$8))))</f>
        <v>0.95800008537995</v>
      </c>
      <c r="E831" s="51" t="n">
        <f aca="false">1+IF($G$9=$E$9,$F$9,IF(S831&lt;($F$9-$E$9)/($G$9-$E$9),$E$9+SQRT(S831*($G$9-$E$9)*($F$9-$E$9)),$G$9-SQRT((1-S831)*($G$9-$E$9)*($G$9-$F$9))))</f>
        <v>0.94666766141392</v>
      </c>
      <c r="F831" s="51" t="n">
        <f aca="false">1+IF($G$10=$E$10,$F$10,IF(T831&lt;($F$10-$E$10)/($G$10-$E$10),$E$10+SQRT(T831*($G$10-$E$10)*($F$10-$E$10)),$G$10-SQRT((1-T831)*($G$10-$E$10)*($G$10-$F$10))))</f>
        <v>1.03821297630788</v>
      </c>
      <c r="G831" s="52" t="n">
        <f aca="false">IF($G$11=$E$11,$F$11,IF(U831&lt;($F$11-$E$11)/($G$11-$E$11),$E$11+SQRT(U831*($G$11-$E$11)*($F$11-$E$11)),$G$11-SQRT((1-U831)*($G$11-$E$11)*($G$11-$F$11))))</f>
        <v>0.110737135004533</v>
      </c>
      <c r="H831" s="53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-2076425952.61576</v>
      </c>
      <c r="I831" s="53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-757596.401985198</v>
      </c>
      <c r="J831" s="53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283574661.106269</v>
      </c>
      <c r="K831" s="53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619817567.429917</v>
      </c>
      <c r="L831" s="53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745696596.483595</v>
      </c>
      <c r="M831" s="53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916755450.84703</v>
      </c>
      <c r="N831" s="53" t="n">
        <f aca="false">IF(COUNT('Business Case'!B11:G11)=0,"",H831+NPV(G831,I831:M831))</f>
        <v>-362796651.316829</v>
      </c>
      <c r="P831" s="54" t="n">
        <f aca="true">RAND()</f>
        <v>0.37250947913691</v>
      </c>
      <c r="Q831" s="54" t="n">
        <f aca="true">RAND()</f>
        <v>0.369163605419828</v>
      </c>
      <c r="R831" s="54" t="n">
        <f aca="true">RAND()</f>
        <v>0.00853351547819748</v>
      </c>
      <c r="S831" s="54" t="n">
        <f aca="true">RAND()</f>
        <v>0.0871148248737714</v>
      </c>
      <c r="T831" s="54" t="n">
        <f aca="true">RAND()</f>
        <v>0.401950087941785</v>
      </c>
      <c r="U831" s="54" t="n">
        <f aca="true">RAND()</f>
        <v>0.752628021444263</v>
      </c>
    </row>
    <row r="832" customFormat="false" ht="15" hidden="false" customHeight="false" outlineLevel="0" collapsed="false">
      <c r="A832" s="50" t="n">
        <v>752</v>
      </c>
      <c r="B832" s="51" t="n">
        <f aca="false">1+IF($G$6=$E$6,$F$6,IF(P832&lt;($F$6-$E$6)/($G$6-$E$6),$E$6+SQRT(P832*($G$6-$E$6)*($F$6-$E$6)),$G$6-SQRT((1-P832)*($G$6-$E$6)*($G$6-$F$6))))</f>
        <v>1.01801175823087</v>
      </c>
      <c r="C832" s="51" t="n">
        <f aca="false">1+IF($G$7=$E$7,$F$7,IF(Q832&lt;($F$7-$E$7)/($G$7-$E$7),$E$7+SQRT(Q832*($G$7-$E$7)*($F$7-$E$7)),$G$7-SQRT((1-Q832)*($G$7-$E$7)*($G$7-$F$7))))</f>
        <v>1.12476241529322</v>
      </c>
      <c r="D832" s="51" t="n">
        <f aca="false">1+IF($G$8=$E$8,$F$8,IF(R832&lt;($F$8-$E$8)/($G$8-$E$8),$E$8+SQRT(R832*($G$8-$E$8)*($F$8-$E$8)),$G$8-SQRT((1-R832)*($G$8-$E$8)*($G$8-$F$8))))</f>
        <v>1.02577858203889</v>
      </c>
      <c r="E832" s="51" t="n">
        <f aca="false">1+IF($G$9=$E$9,$F$9,IF(S832&lt;($F$9-$E$9)/($G$9-$E$9),$E$9+SQRT(S832*($G$9-$E$9)*($F$9-$E$9)),$G$9-SQRT((1-S832)*($G$9-$E$9)*($G$9-$F$9))))</f>
        <v>0.992631180740945</v>
      </c>
      <c r="F832" s="51" t="n">
        <f aca="false">1+IF($G$10=$E$10,$F$10,IF(T832&lt;($F$10-$E$10)/($G$10-$E$10),$E$10+SQRT(T832*($G$10-$E$10)*($F$10-$E$10)),$G$10-SQRT((1-T832)*($G$10-$E$10)*($G$10-$F$10))))</f>
        <v>1.08490687690551</v>
      </c>
      <c r="G832" s="52" t="n">
        <f aca="false">IF($G$11=$E$11,$F$11,IF(U832&lt;($F$11-$E$11)/($G$11-$E$11),$E$11+SQRT(U832*($G$11-$E$11)*($F$11-$E$11)),$G$11-SQRT((1-U832)*($G$11-$E$11)*($G$11-$F$11))))</f>
        <v>0.109121631983662</v>
      </c>
      <c r="H832" s="53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-2169813753.81103</v>
      </c>
      <c r="I832" s="53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38222806.0254577</v>
      </c>
      <c r="J832" s="53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385446361.151793</v>
      </c>
      <c r="K832" s="53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786915260.123404</v>
      </c>
      <c r="L832" s="53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942228383.504825</v>
      </c>
      <c r="M832" s="53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1159874044.37103</v>
      </c>
      <c r="N832" s="53" t="n">
        <f aca="false">IF(COUNT('Business Case'!B11:G11)=0,"",H832+NPV(G832,I832:M832))</f>
        <v>68437106.5544844</v>
      </c>
      <c r="P832" s="54" t="n">
        <f aca="true">RAND()</f>
        <v>0.86356698513594</v>
      </c>
      <c r="Q832" s="54" t="n">
        <f aca="true">RAND()</f>
        <v>0.990563915824711</v>
      </c>
      <c r="R832" s="54" t="n">
        <f aca="true">RAND()</f>
        <v>0.632745407722768</v>
      </c>
      <c r="S832" s="54" t="n">
        <f aca="true">RAND()</f>
        <v>0.343221425818465</v>
      </c>
      <c r="T832" s="54" t="n">
        <f aca="true">RAND()</f>
        <v>0.636590142758788</v>
      </c>
      <c r="U832" s="54" t="n">
        <f aca="true">RAND()</f>
        <v>0.709395832649564</v>
      </c>
    </row>
    <row r="833" customFormat="false" ht="15" hidden="false" customHeight="false" outlineLevel="0" collapsed="false">
      <c r="A833" s="50" t="n">
        <v>753</v>
      </c>
      <c r="B833" s="51" t="n">
        <f aca="false">1+IF($G$6=$E$6,$F$6,IF(P833&lt;($F$6-$E$6)/($G$6-$E$6),$E$6+SQRT(P833*($G$6-$E$6)*($F$6-$E$6)),$G$6-SQRT((1-P833)*($G$6-$E$6)*($G$6-$F$6))))</f>
        <v>1.00778778456262</v>
      </c>
      <c r="C833" s="51" t="n">
        <f aca="false">1+IF($G$7=$E$7,$F$7,IF(Q833&lt;($F$7-$E$7)/($G$7-$E$7),$E$7+SQRT(Q833*($G$7-$E$7)*($F$7-$E$7)),$G$7-SQRT((1-Q833)*($G$7-$E$7)*($G$7-$F$7))))</f>
        <v>1.10051928361628</v>
      </c>
      <c r="D833" s="51" t="n">
        <f aca="false">1+IF($G$8=$E$8,$F$8,IF(R833&lt;($F$8-$E$8)/($G$8-$E$8),$E$8+SQRT(R833*($G$8-$E$8)*($F$8-$E$8)),$G$8-SQRT((1-R833)*($G$8-$E$8)*($G$8-$F$8))))</f>
        <v>1.0361447370083</v>
      </c>
      <c r="E833" s="51" t="n">
        <f aca="false">1+IF($G$9=$E$9,$F$9,IF(S833&lt;($F$9-$E$9)/($G$9-$E$9),$E$9+SQRT(S833*($G$9-$E$9)*($F$9-$E$9)),$G$9-SQRT((1-S833)*($G$9-$E$9)*($G$9-$F$9))))</f>
        <v>1.02364984224853</v>
      </c>
      <c r="F833" s="51" t="n">
        <f aca="false">1+IF($G$10=$E$10,$F$10,IF(T833&lt;($F$10-$E$10)/($G$10-$E$10),$E$10+SQRT(T833*($G$10-$E$10)*($F$10-$E$10)),$G$10-SQRT((1-T833)*($G$10-$E$10)*($G$10-$F$10))))</f>
        <v>1.05905216767649</v>
      </c>
      <c r="G833" s="52" t="n">
        <f aca="false">IF($G$11=$E$11,$F$11,IF(U833&lt;($F$11-$E$11)/($G$11-$E$11),$E$11+SQRT(U833*($G$11-$E$11)*($F$11-$E$11)),$G$11-SQRT((1-U833)*($G$11-$E$11)*($G$11-$F$11))))</f>
        <v>0.0907088624601126</v>
      </c>
      <c r="H833" s="53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-2118104335.35298</v>
      </c>
      <c r="I833" s="53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15720055.4584695</v>
      </c>
      <c r="J833" s="53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340403555.186429</v>
      </c>
      <c r="K833" s="53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718039663.298212</v>
      </c>
      <c r="L833" s="53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864597643.163599</v>
      </c>
      <c r="M833" s="53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1075413449.58863</v>
      </c>
      <c r="N833" s="53" t="n">
        <f aca="false">IF(COUNT('Business Case'!B11:G11)=0,"",H833+NPV(G833,I833:M833))</f>
        <v>43413637.3128545</v>
      </c>
      <c r="P833" s="54" t="n">
        <f aca="true">RAND()</f>
        <v>0.76241718238244</v>
      </c>
      <c r="Q833" s="54" t="n">
        <f aca="true">RAND()</f>
        <v>0.963728277128199</v>
      </c>
      <c r="R833" s="54" t="n">
        <f aca="true">RAND()</f>
        <v>0.728167025884056</v>
      </c>
      <c r="S833" s="54" t="n">
        <f aca="true">RAND()</f>
        <v>0.574283670298089</v>
      </c>
      <c r="T833" s="54" t="n">
        <f aca="true">RAND()</f>
        <v>0.513852337746031</v>
      </c>
      <c r="U833" s="54" t="n">
        <f aca="true">RAND()</f>
        <v>0.11467973518961</v>
      </c>
    </row>
    <row r="834" customFormat="false" ht="15" hidden="false" customHeight="false" outlineLevel="0" collapsed="false">
      <c r="A834" s="50" t="n">
        <v>754</v>
      </c>
      <c r="B834" s="51" t="n">
        <f aca="false">1+IF($G$6=$E$6,$F$6,IF(P834&lt;($F$6-$E$6)/($G$6-$E$6),$E$6+SQRT(P834*($G$6-$E$6)*($F$6-$E$6)),$G$6-SQRT((1-P834)*($G$6-$E$6)*($G$6-$F$6))))</f>
        <v>0.933509314318894</v>
      </c>
      <c r="C834" s="51" t="n">
        <f aca="false">1+IF($G$7=$E$7,$F$7,IF(Q834&lt;($F$7-$E$7)/($G$7-$E$7),$E$7+SQRT(Q834*($G$7-$E$7)*($F$7-$E$7)),$G$7-SQRT((1-Q834)*($G$7-$E$7)*($G$7-$F$7))))</f>
        <v>0.946207994254342</v>
      </c>
      <c r="D834" s="51" t="n">
        <f aca="false">1+IF($G$8=$E$8,$F$8,IF(R834&lt;($F$8-$E$8)/($G$8-$E$8),$E$8+SQRT(R834*($G$8-$E$8)*($F$8-$E$8)),$G$8-SQRT((1-R834)*($G$8-$E$8)*($G$8-$F$8))))</f>
        <v>0.989617235374369</v>
      </c>
      <c r="E834" s="51" t="n">
        <f aca="false">1+IF($G$9=$E$9,$F$9,IF(S834&lt;($F$9-$E$9)/($G$9-$E$9),$E$9+SQRT(S834*($G$9-$E$9)*($F$9-$E$9)),$G$9-SQRT((1-S834)*($G$9-$E$9)*($G$9-$F$9))))</f>
        <v>0.975573027889207</v>
      </c>
      <c r="F834" s="51" t="n">
        <f aca="false">1+IF($G$10=$E$10,$F$10,IF(T834&lt;($F$10-$E$10)/($G$10-$E$10),$E$10+SQRT(T834*($G$10-$E$10)*($F$10-$E$10)),$G$10-SQRT((1-T834)*($G$10-$E$10)*($G$10-$F$10))))</f>
        <v>0.991855634566514</v>
      </c>
      <c r="G834" s="52" t="n">
        <f aca="false">IF($G$11=$E$11,$F$11,IF(U834&lt;($F$11-$E$11)/($G$11-$E$11),$E$11+SQRT(U834*($G$11-$E$11)*($F$11-$E$11)),$G$11-SQRT((1-U834)*($G$11-$E$11)*($G$11-$F$11))))</f>
        <v>0.0871834938100428</v>
      </c>
      <c r="H834" s="53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-1983711269.13303</v>
      </c>
      <c r="I834" s="53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-39574208.1446458</v>
      </c>
      <c r="J834" s="53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204553591.444868</v>
      </c>
      <c r="K834" s="53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498274172.762708</v>
      </c>
      <c r="L834" s="53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610176745.766988</v>
      </c>
      <c r="M834" s="53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778073264.709752</v>
      </c>
      <c r="N834" s="53" t="n">
        <f aca="false">IF(COUNT('Business Case'!B11:G11)=0,"",H834+NPV(G834,I834:M834))</f>
        <v>-510252866.255857</v>
      </c>
      <c r="P834" s="54" t="n">
        <f aca="true">RAND()</f>
        <v>0.0748582764081618</v>
      </c>
      <c r="Q834" s="54" t="n">
        <f aca="true">RAND()</f>
        <v>0.449025010627747</v>
      </c>
      <c r="R834" s="54" t="n">
        <f aca="true">RAND()</f>
        <v>0.209270045161087</v>
      </c>
      <c r="S834" s="54" t="n">
        <f aca="true">RAND()</f>
        <v>0.228451301773711</v>
      </c>
      <c r="T834" s="54" t="n">
        <f aca="true">RAND()</f>
        <v>0.116792942997703</v>
      </c>
      <c r="U834" s="54" t="n">
        <f aca="true">RAND()</f>
        <v>0.051602583318923</v>
      </c>
    </row>
    <row r="835" customFormat="false" ht="15" hidden="false" customHeight="false" outlineLevel="0" collapsed="false">
      <c r="A835" s="50" t="n">
        <v>755</v>
      </c>
      <c r="B835" s="51" t="n">
        <f aca="false">1+IF($G$6=$E$6,$F$6,IF(P835&lt;($F$6-$E$6)/($G$6-$E$6),$E$6+SQRT(P835*($G$6-$E$6)*($F$6-$E$6)),$G$6-SQRT((1-P835)*($G$6-$E$6)*($G$6-$F$6))))</f>
        <v>0.997059378890919</v>
      </c>
      <c r="C835" s="51" t="n">
        <f aca="false">1+IF($G$7=$E$7,$F$7,IF(Q835&lt;($F$7-$E$7)/($G$7-$E$7),$E$7+SQRT(Q835*($G$7-$E$7)*($F$7-$E$7)),$G$7-SQRT((1-Q835)*($G$7-$E$7)*($G$7-$F$7))))</f>
        <v>1.01234593980318</v>
      </c>
      <c r="D835" s="51" t="n">
        <f aca="false">1+IF($G$8=$E$8,$F$8,IF(R835&lt;($F$8-$E$8)/($G$8-$E$8),$E$8+SQRT(R835*($G$8-$E$8)*($F$8-$E$8)),$G$8-SQRT((1-R835)*($G$8-$E$8)*($G$8-$F$8))))</f>
        <v>0.973336425369713</v>
      </c>
      <c r="E835" s="51" t="n">
        <f aca="false">1+IF($G$9=$E$9,$F$9,IF(S835&lt;($F$9-$E$9)/($G$9-$E$9),$E$9+SQRT(S835*($G$9-$E$9)*($F$9-$E$9)),$G$9-SQRT((1-S835)*($G$9-$E$9)*($G$9-$F$9))))</f>
        <v>1.05628066187474</v>
      </c>
      <c r="F835" s="51" t="n">
        <f aca="false">1+IF($G$10=$E$10,$F$10,IF(T835&lt;($F$10-$E$10)/($G$10-$E$10),$E$10+SQRT(T835*($G$10-$E$10)*($F$10-$E$10)),$G$10-SQRT((1-T835)*($G$10-$E$10)*($G$10-$F$10))))</f>
        <v>1.0222443278446</v>
      </c>
      <c r="G835" s="52" t="n">
        <f aca="false">IF($G$11=$E$11,$F$11,IF(U835&lt;($F$11-$E$11)/($G$11-$E$11),$E$11+SQRT(U835*($G$11-$E$11)*($F$11-$E$11)),$G$11-SQRT((1-U835)*($G$11-$E$11)*($G$11-$F$11))))</f>
        <v>0.100691435435836</v>
      </c>
      <c r="H835" s="53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-2044488655.6892</v>
      </c>
      <c r="I835" s="53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17570665.389788</v>
      </c>
      <c r="J835" s="53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339894563.36646</v>
      </c>
      <c r="K835" s="53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713330677.735362</v>
      </c>
      <c r="L835" s="53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855655770.183477</v>
      </c>
      <c r="M835" s="53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1047516632.35754</v>
      </c>
      <c r="N835" s="53" t="n">
        <f aca="false">IF(COUNT('Business Case'!B11:G11)=0,"",H835+NPV(G835,I835:M835))</f>
        <v>18295299.3394706</v>
      </c>
      <c r="P835" s="54" t="n">
        <f aca="true">RAND()</f>
        <v>0.628034868712728</v>
      </c>
      <c r="Q835" s="54" t="n">
        <f aca="true">RAND()</f>
        <v>0.719279403130799</v>
      </c>
      <c r="R835" s="54" t="n">
        <f aca="true">RAND()</f>
        <v>0.0726118332048234</v>
      </c>
      <c r="S835" s="54" t="n">
        <f aca="true">RAND()</f>
        <v>0.765778284302994</v>
      </c>
      <c r="T835" s="54" t="n">
        <f aca="true">RAND()</f>
        <v>0.308364717347216</v>
      </c>
      <c r="U835" s="54" t="n">
        <f aca="true">RAND()</f>
        <v>0.427338695458809</v>
      </c>
    </row>
    <row r="836" customFormat="false" ht="15" hidden="false" customHeight="false" outlineLevel="0" collapsed="false">
      <c r="A836" s="50" t="n">
        <v>756</v>
      </c>
      <c r="B836" s="51" t="n">
        <f aca="false">1+IF($G$6=$E$6,$F$6,IF(P836&lt;($F$6-$E$6)/($G$6-$E$6),$E$6+SQRT(P836*($G$6-$E$6)*($F$6-$E$6)),$G$6-SQRT((1-P836)*($G$6-$E$6)*($G$6-$F$6))))</f>
        <v>0.988461998782586</v>
      </c>
      <c r="C836" s="51" t="n">
        <f aca="false">1+IF($G$7=$E$7,$F$7,IF(Q836&lt;($F$7-$E$7)/($G$7-$E$7),$E$7+SQRT(Q836*($G$7-$E$7)*($F$7-$E$7)),$G$7-SQRT((1-Q836)*($G$7-$E$7)*($G$7-$F$7))))</f>
        <v>0.909940314398986</v>
      </c>
      <c r="D836" s="51" t="n">
        <f aca="false">1+IF($G$8=$E$8,$F$8,IF(R836&lt;($F$8-$E$8)/($G$8-$E$8),$E$8+SQRT(R836*($G$8-$E$8)*($F$8-$E$8)),$G$8-SQRT((1-R836)*($G$8-$E$8)*($G$8-$F$8))))</f>
        <v>0.97958080712012</v>
      </c>
      <c r="E836" s="51" t="n">
        <f aca="false">1+IF($G$9=$E$9,$F$9,IF(S836&lt;($F$9-$E$9)/($G$9-$E$9),$E$9+SQRT(S836*($G$9-$E$9)*($F$9-$E$9)),$G$9-SQRT((1-S836)*($G$9-$E$9)*($G$9-$F$9))))</f>
        <v>1.02286230404155</v>
      </c>
      <c r="F836" s="51" t="n">
        <f aca="false">1+IF($G$10=$E$10,$F$10,IF(T836&lt;($F$10-$E$10)/($G$10-$E$10),$E$10+SQRT(T836*($G$10-$E$10)*($F$10-$E$10)),$G$10-SQRT((1-T836)*($G$10-$E$10)*($G$10-$F$10))))</f>
        <v>1.11289350331828</v>
      </c>
      <c r="G836" s="52" t="n">
        <f aca="false">IF($G$11=$E$11,$F$11,IF(U836&lt;($F$11-$E$11)/($G$11-$E$11),$E$11+SQRT(U836*($G$11-$E$11)*($F$11-$E$11)),$G$11-SQRT((1-U836)*($G$11-$E$11)*($G$11-$F$11))))</f>
        <v>0.108936277847158</v>
      </c>
      <c r="H836" s="53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-2225787006.63656</v>
      </c>
      <c r="I836" s="53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-22965174.7368054</v>
      </c>
      <c r="J836" s="53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257437063.806486</v>
      </c>
      <c r="K836" s="53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593483977.515691</v>
      </c>
      <c r="L836" s="53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718036085.905828</v>
      </c>
      <c r="M836" s="53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889001911.388882</v>
      </c>
      <c r="N836" s="53" t="n">
        <f aca="false">IF(COUNT('Business Case'!B11:G11)=0,"",H836+NPV(G836,I836:M836))</f>
        <v>-597028506.119959</v>
      </c>
      <c r="P836" s="54" t="n">
        <f aca="true">RAND()</f>
        <v>0.521701681907351</v>
      </c>
      <c r="Q836" s="54" t="n">
        <f aca="true">RAND()</f>
        <v>0.326481004518112</v>
      </c>
      <c r="R836" s="54" t="n">
        <f aca="true">RAND()</f>
        <v>0.116669886650369</v>
      </c>
      <c r="S836" s="54" t="n">
        <f aca="true">RAND()</f>
        <v>0.568960167103375</v>
      </c>
      <c r="T836" s="54" t="n">
        <f aca="true">RAND()</f>
        <v>0.74935744756888</v>
      </c>
      <c r="U836" s="54" t="n">
        <f aca="true">RAND()</f>
        <v>0.704213072711924</v>
      </c>
    </row>
    <row r="837" customFormat="false" ht="15" hidden="false" customHeight="false" outlineLevel="0" collapsed="false">
      <c r="A837" s="50" t="n">
        <v>757</v>
      </c>
      <c r="B837" s="51" t="n">
        <f aca="false">1+IF($G$6=$E$6,$F$6,IF(P837&lt;($F$6-$E$6)/($G$6-$E$6),$E$6+SQRT(P837*($G$6-$E$6)*($F$6-$E$6)),$G$6-SQRT((1-P837)*($G$6-$E$6)*($G$6-$F$6))))</f>
        <v>0.921452719180505</v>
      </c>
      <c r="C837" s="51" t="n">
        <f aca="false">1+IF($G$7=$E$7,$F$7,IF(Q837&lt;($F$7-$E$7)/($G$7-$E$7),$E$7+SQRT(Q837*($G$7-$E$7)*($F$7-$E$7)),$G$7-SQRT((1-Q837)*($G$7-$E$7)*($G$7-$F$7))))</f>
        <v>1.04292891408984</v>
      </c>
      <c r="D837" s="51" t="n">
        <f aca="false">1+IF($G$8=$E$8,$F$8,IF(R837&lt;($F$8-$E$8)/($G$8-$E$8),$E$8+SQRT(R837*($G$8-$E$8)*($F$8-$E$8)),$G$8-SQRT((1-R837)*($G$8-$E$8)*($G$8-$F$8))))</f>
        <v>1.02665234629109</v>
      </c>
      <c r="E837" s="51" t="n">
        <f aca="false">1+IF($G$9=$E$9,$F$9,IF(S837&lt;($F$9-$E$9)/($G$9-$E$9),$E$9+SQRT(S837*($G$9-$E$9)*($F$9-$E$9)),$G$9-SQRT((1-S837)*($G$9-$E$9)*($G$9-$F$9))))</f>
        <v>0.986953342732945</v>
      </c>
      <c r="F837" s="51" t="n">
        <f aca="false">1+IF($G$10=$E$10,$F$10,IF(T837&lt;($F$10-$E$10)/($G$10-$E$10),$E$10+SQRT(T837*($G$10-$E$10)*($F$10-$E$10)),$G$10-SQRT((1-T837)*($G$10-$E$10)*($G$10-$F$10))))</f>
        <v>1.04017154583136</v>
      </c>
      <c r="G837" s="52" t="n">
        <f aca="false">IF($G$11=$E$11,$F$11,IF(U837&lt;($F$11-$E$11)/($G$11-$E$11),$E$11+SQRT(U837*($G$11-$E$11)*($F$11-$E$11)),$G$11-SQRT((1-U837)*($G$11-$E$11)*($G$11-$F$11))))</f>
        <v>0.0968284987484173</v>
      </c>
      <c r="H837" s="53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-2080343091.66272</v>
      </c>
      <c r="I837" s="53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-55170293.4977034</v>
      </c>
      <c r="J837" s="53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183840074.932549</v>
      </c>
      <c r="K837" s="53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474859020.65437</v>
      </c>
      <c r="L837" s="53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587741638.136585</v>
      </c>
      <c r="M837" s="53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770410358.8333</v>
      </c>
      <c r="N837" s="53" t="n">
        <f aca="false">IF(COUNT('Business Case'!B11:G11)=0,"",H837+NPV(G837,I837:M837))</f>
        <v>-726537706.001522</v>
      </c>
      <c r="P837" s="54" t="n">
        <f aca="true">RAND()</f>
        <v>0.0306812773491736</v>
      </c>
      <c r="Q837" s="54" t="n">
        <f aca="true">RAND()</f>
        <v>0.830159741659554</v>
      </c>
      <c r="R837" s="54" t="n">
        <f aca="true">RAND()</f>
        <v>0.641341446359876</v>
      </c>
      <c r="S837" s="54" t="n">
        <f aca="true">RAND()</f>
        <v>0.302435352497323</v>
      </c>
      <c r="T837" s="54" t="n">
        <f aca="true">RAND()</f>
        <v>0.412960264282664</v>
      </c>
      <c r="U837" s="54" t="n">
        <f aca="true">RAND()</f>
        <v>0.283198370125481</v>
      </c>
    </row>
    <row r="838" customFormat="false" ht="15" hidden="false" customHeight="false" outlineLevel="0" collapsed="false">
      <c r="A838" s="50" t="n">
        <v>758</v>
      </c>
      <c r="B838" s="51" t="n">
        <f aca="false">1+IF($G$6=$E$6,$F$6,IF(P838&lt;($F$6-$E$6)/($G$6-$E$6),$E$6+SQRT(P838*($G$6-$E$6)*($F$6-$E$6)),$G$6-SQRT((1-P838)*($G$6-$E$6)*($G$6-$F$6))))</f>
        <v>0.979358834577896</v>
      </c>
      <c r="C838" s="51" t="n">
        <f aca="false">1+IF($G$7=$E$7,$F$7,IF(Q838&lt;($F$7-$E$7)/($G$7-$E$7),$E$7+SQRT(Q838*($G$7-$E$7)*($F$7-$E$7)),$G$7-SQRT((1-Q838)*($G$7-$E$7)*($G$7-$F$7))))</f>
        <v>0.80134650550045</v>
      </c>
      <c r="D838" s="51" t="n">
        <f aca="false">1+IF($G$8=$E$8,$F$8,IF(R838&lt;($F$8-$E$8)/($G$8-$E$8),$E$8+SQRT(R838*($G$8-$E$8)*($F$8-$E$8)),$G$8-SQRT((1-R838)*($G$8-$E$8)*($G$8-$F$8))))</f>
        <v>0.964163784844197</v>
      </c>
      <c r="E838" s="51" t="n">
        <f aca="false">1+IF($G$9=$E$9,$F$9,IF(S838&lt;($F$9-$E$9)/($G$9-$E$9),$E$9+SQRT(S838*($G$9-$E$9)*($F$9-$E$9)),$G$9-SQRT((1-S838)*($G$9-$E$9)*($G$9-$F$9))))</f>
        <v>0.904748110853392</v>
      </c>
      <c r="F838" s="51" t="n">
        <f aca="false">1+IF($G$10=$E$10,$F$10,IF(T838&lt;($F$10-$E$10)/($G$10-$E$10),$E$10+SQRT(T838*($G$10-$E$10)*($F$10-$E$10)),$G$10-SQRT((1-T838)*($G$10-$E$10)*($G$10-$F$10))))</f>
        <v>1.11883597666521</v>
      </c>
      <c r="G838" s="52" t="n">
        <f aca="false">IF($G$11=$E$11,$F$11,IF(U838&lt;($F$11-$E$11)/($G$11-$E$11),$E$11+SQRT(U838*($G$11-$E$11)*($F$11-$E$11)),$G$11-SQRT((1-U838)*($G$11-$E$11)*($G$11-$F$11))))</f>
        <v>0.102592644599734</v>
      </c>
      <c r="H838" s="53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-2237671953.33042</v>
      </c>
      <c r="I838" s="53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-33935051.9154407</v>
      </c>
      <c r="J838" s="53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213353006.819676</v>
      </c>
      <c r="K838" s="53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516582864.388054</v>
      </c>
      <c r="L838" s="53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626135105.046882</v>
      </c>
      <c r="M838" s="53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775310987.656058</v>
      </c>
      <c r="N838" s="53" t="n">
        <f aca="false">IF(COUNT('Business Case'!B11:G11)=0,"",H838+NPV(G838,I838:M838))</f>
        <v>-808143757.798434</v>
      </c>
      <c r="P838" s="54" t="n">
        <f aca="true">RAND()</f>
        <v>0.419854975037461</v>
      </c>
      <c r="Q838" s="54" t="n">
        <f aca="true">RAND()</f>
        <v>0.0760823272381681</v>
      </c>
      <c r="R838" s="54" t="n">
        <f aca="true">RAND()</f>
        <v>0.0267483734816931</v>
      </c>
      <c r="S838" s="54" t="n">
        <f aca="true">RAND()</f>
        <v>0.0009017822670439</v>
      </c>
      <c r="T838" s="54" t="n">
        <f aca="true">RAND()</f>
        <v>0.77061331976841</v>
      </c>
      <c r="U838" s="54" t="n">
        <f aca="true">RAND()</f>
        <v>0.499224579975675</v>
      </c>
    </row>
    <row r="839" customFormat="false" ht="15" hidden="false" customHeight="false" outlineLevel="0" collapsed="false">
      <c r="A839" s="50" t="n">
        <v>759</v>
      </c>
      <c r="B839" s="51" t="n">
        <f aca="false">1+IF($G$6=$E$6,$F$6,IF(P839&lt;($F$6-$E$6)/($G$6-$E$6),$E$6+SQRT(P839*($G$6-$E$6)*($F$6-$E$6)),$G$6-SQRT((1-P839)*($G$6-$E$6)*($G$6-$F$6))))</f>
        <v>0.980096293795676</v>
      </c>
      <c r="C839" s="51" t="n">
        <f aca="false">1+IF($G$7=$E$7,$F$7,IF(Q839&lt;($F$7-$E$7)/($G$7-$E$7),$E$7+SQRT(Q839*($G$7-$E$7)*($F$7-$E$7)),$G$7-SQRT((1-Q839)*($G$7-$E$7)*($G$7-$F$7))))</f>
        <v>1.00046885134189</v>
      </c>
      <c r="D839" s="51" t="n">
        <f aca="false">1+IF($G$8=$E$8,$F$8,IF(R839&lt;($F$8-$E$8)/($G$8-$E$8),$E$8+SQRT(R839*($G$8-$E$8)*($F$8-$E$8)),$G$8-SQRT((1-R839)*($G$8-$E$8)*($G$8-$F$8))))</f>
        <v>0.991523268452977</v>
      </c>
      <c r="E839" s="51" t="n">
        <f aca="false">1+IF($G$9=$E$9,$F$9,IF(S839&lt;($F$9-$E$9)/($G$9-$E$9),$E$9+SQRT(S839*($G$9-$E$9)*($F$9-$E$9)),$G$9-SQRT((1-S839)*($G$9-$E$9)*($G$9-$F$9))))</f>
        <v>1.00789035773405</v>
      </c>
      <c r="F839" s="51" t="n">
        <f aca="false">1+IF($G$10=$E$10,$F$10,IF(T839&lt;($F$10-$E$10)/($G$10-$E$10),$E$10+SQRT(T839*($G$10-$E$10)*($F$10-$E$10)),$G$10-SQRT((1-T839)*($G$10-$E$10)*($G$10-$F$10))))</f>
        <v>1.00020767824641</v>
      </c>
      <c r="G839" s="52" t="n">
        <f aca="false">IF($G$11=$E$11,$F$11,IF(U839&lt;($F$11-$E$11)/($G$11-$E$11),$E$11+SQRT(U839*($G$11-$E$11)*($F$11-$E$11)),$G$11-SQRT((1-U839)*($G$11-$E$11)*($G$11-$F$11))))</f>
        <v>0.121188805078909</v>
      </c>
      <c r="H839" s="53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-2000415356.49282</v>
      </c>
      <c r="I839" s="53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1152449.59536426</v>
      </c>
      <c r="J839" s="53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296479689.244457</v>
      </c>
      <c r="K839" s="53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641817312.805872</v>
      </c>
      <c r="L839" s="53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774147734.92844</v>
      </c>
      <c r="M839" s="53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960531783.912559</v>
      </c>
      <c r="N839" s="53" t="n">
        <f aca="false">IF(COUNT('Business Case'!B11:G11)=0,"",H839+NPV(G839,I839:M839))</f>
        <v>-276105629.758603</v>
      </c>
      <c r="P839" s="54" t="n">
        <f aca="true">RAND()</f>
        <v>0.427694418653545</v>
      </c>
      <c r="Q839" s="54" t="n">
        <f aca="true">RAND()</f>
        <v>0.668747193792399</v>
      </c>
      <c r="R839" s="54" t="n">
        <f aca="true">RAND()</f>
        <v>0.229890909735728</v>
      </c>
      <c r="S839" s="54" t="n">
        <f aca="true">RAND()</f>
        <v>0.461462655334518</v>
      </c>
      <c r="T839" s="54" t="n">
        <f aca="true">RAND()</f>
        <v>0.168050613239363</v>
      </c>
      <c r="U839" s="54" t="n">
        <f aca="true">RAND()</f>
        <v>0.948241896041692</v>
      </c>
    </row>
    <row r="840" customFormat="false" ht="15" hidden="false" customHeight="false" outlineLevel="0" collapsed="false">
      <c r="A840" s="50" t="n">
        <v>760</v>
      </c>
      <c r="B840" s="51" t="n">
        <f aca="false">1+IF($G$6=$E$6,$F$6,IF(P840&lt;($F$6-$E$6)/($G$6-$E$6),$E$6+SQRT(P840*($G$6-$E$6)*($F$6-$E$6)),$G$6-SQRT((1-P840)*($G$6-$E$6)*($G$6-$F$6))))</f>
        <v>1.02352818343216</v>
      </c>
      <c r="C840" s="51" t="n">
        <f aca="false">1+IF($G$7=$E$7,$F$7,IF(Q840&lt;($F$7-$E$7)/($G$7-$E$7),$E$7+SQRT(Q840*($G$7-$E$7)*($F$7-$E$7)),$G$7-SQRT((1-Q840)*($G$7-$E$7)*($G$7-$F$7))))</f>
        <v>0.966827862454595</v>
      </c>
      <c r="D840" s="51" t="n">
        <f aca="false">1+IF($G$8=$E$8,$F$8,IF(R840&lt;($F$8-$E$8)/($G$8-$E$8),$E$8+SQRT(R840*($G$8-$E$8)*($F$8-$E$8)),$G$8-SQRT((1-R840)*($G$8-$E$8)*($G$8-$F$8))))</f>
        <v>0.998181716906538</v>
      </c>
      <c r="E840" s="51" t="n">
        <f aca="false">1+IF($G$9=$E$9,$F$9,IF(S840&lt;($F$9-$E$9)/($G$9-$E$9),$E$9+SQRT(S840*($G$9-$E$9)*($F$9-$E$9)),$G$9-SQRT((1-S840)*($G$9-$E$9)*($G$9-$F$9))))</f>
        <v>1.12029733107669</v>
      </c>
      <c r="F840" s="51" t="n">
        <f aca="false">1+IF($G$10=$E$10,$F$10,IF(T840&lt;($F$10-$E$10)/($G$10-$E$10),$E$10+SQRT(T840*($G$10-$E$10)*($F$10-$E$10)),$G$10-SQRT((1-T840)*($G$10-$E$10)*($G$10-$F$10))))</f>
        <v>1.0073386083563</v>
      </c>
      <c r="G840" s="52" t="n">
        <f aca="false">IF($G$11=$E$11,$F$11,IF(U840&lt;($F$11-$E$11)/($G$11-$E$11),$E$11+SQRT(U840*($G$11-$E$11)*($F$11-$E$11)),$G$11-SQRT((1-U840)*($G$11-$E$11)*($G$11-$F$11))))</f>
        <v>0.116200779762633</v>
      </c>
      <c r="H840" s="53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-2014677216.71259</v>
      </c>
      <c r="I840" s="53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5155318.14085202</v>
      </c>
      <c r="J840" s="53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321650374.924907</v>
      </c>
      <c r="K840" s="53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688512362.126776</v>
      </c>
      <c r="L840" s="53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828210445.940439</v>
      </c>
      <c r="M840" s="53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1016308969.47815</v>
      </c>
      <c r="N840" s="53" t="n">
        <f aca="false">IF(COUNT('Business Case'!B11:G11)=0,"",H840+NPV(G840,I840:M840))</f>
        <v>-136693902.694398</v>
      </c>
      <c r="P840" s="54" t="n">
        <f aca="true">RAND()</f>
        <v>0.906565723679805</v>
      </c>
      <c r="Q840" s="54" t="n">
        <f aca="true">RAND()</f>
        <v>0.527385986533987</v>
      </c>
      <c r="R840" s="54" t="n">
        <f aca="true">RAND()</f>
        <v>0.309530379208239</v>
      </c>
      <c r="S840" s="54" t="n">
        <f aca="true">RAND()</f>
        <v>0.976473372235531</v>
      </c>
      <c r="T840" s="54" t="n">
        <f aca="true">RAND()</f>
        <v>0.214872653407219</v>
      </c>
      <c r="U840" s="54" t="n">
        <f aca="true">RAND()</f>
        <v>0.873054347227087</v>
      </c>
    </row>
    <row r="841" customFormat="false" ht="15" hidden="false" customHeight="false" outlineLevel="0" collapsed="false">
      <c r="A841" s="50" t="n">
        <v>761</v>
      </c>
      <c r="B841" s="51" t="n">
        <f aca="false">1+IF($G$6=$E$6,$F$6,IF(P841&lt;($F$6-$E$6)/($G$6-$E$6),$E$6+SQRT(P841*($G$6-$E$6)*($F$6-$E$6)),$G$6-SQRT((1-P841)*($G$6-$E$6)*($G$6-$F$6))))</f>
        <v>1.0270303290867</v>
      </c>
      <c r="C841" s="51" t="n">
        <f aca="false">1+IF($G$7=$E$7,$F$7,IF(Q841&lt;($F$7-$E$7)/($G$7-$E$7),$E$7+SQRT(Q841*($G$7-$E$7)*($F$7-$E$7)),$G$7-SQRT((1-Q841)*($G$7-$E$7)*($G$7-$F$7))))</f>
        <v>1.03427871106785</v>
      </c>
      <c r="D841" s="51" t="n">
        <f aca="false">1+IF($G$8=$E$8,$F$8,IF(R841&lt;($F$8-$E$8)/($G$8-$E$8),$E$8+SQRT(R841*($G$8-$E$8)*($F$8-$E$8)),$G$8-SQRT((1-R841)*($G$8-$E$8)*($G$8-$F$8))))</f>
        <v>1.06273459823493</v>
      </c>
      <c r="E841" s="51" t="n">
        <f aca="false">1+IF($G$9=$E$9,$F$9,IF(S841&lt;($F$9-$E$9)/($G$9-$E$9),$E$9+SQRT(S841*($G$9-$E$9)*($F$9-$E$9)),$G$9-SQRT((1-S841)*($G$9-$E$9)*($G$9-$F$9))))</f>
        <v>1.06701245446864</v>
      </c>
      <c r="F841" s="51" t="n">
        <f aca="false">1+IF($G$10=$E$10,$F$10,IF(T841&lt;($F$10-$E$10)/($G$10-$E$10),$E$10+SQRT(T841*($G$10-$E$10)*($F$10-$E$10)),$G$10-SQRT((1-T841)*($G$10-$E$10)*($G$10-$F$10))))</f>
        <v>0.98800356462833</v>
      </c>
      <c r="G841" s="52" t="n">
        <f aca="false">IF($G$11=$E$11,$F$11,IF(U841&lt;($F$11-$E$11)/($G$11-$E$11),$E$11+SQRT(U841*($G$11-$E$11)*($F$11-$E$11)),$G$11-SQRT((1-U841)*($G$11-$E$11)*($G$11-$F$11))))</f>
        <v>0.100198966867515</v>
      </c>
      <c r="H841" s="53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-1976007129.25666</v>
      </c>
      <c r="I841" s="53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1767702.82473025</v>
      </c>
      <c r="J841" s="53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309131226.900694</v>
      </c>
      <c r="K841" s="53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665894929.208075</v>
      </c>
      <c r="L841" s="53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805060299.742036</v>
      </c>
      <c r="M841" s="53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1006970043.53956</v>
      </c>
      <c r="N841" s="53" t="n">
        <f aca="false">IF(COUNT('Business Case'!B11:G11)=0,"",H841+NPV(G841,I841:M841))</f>
        <v>-44833760.8804333</v>
      </c>
      <c r="P841" s="54" t="n">
        <f aca="true">RAND()</f>
        <v>0.92965256241797</v>
      </c>
      <c r="Q841" s="54" t="n">
        <f aca="true">RAND()</f>
        <v>0.801608641301956</v>
      </c>
      <c r="R841" s="54" t="n">
        <f aca="true">RAND()</f>
        <v>0.907419322085867</v>
      </c>
      <c r="S841" s="54" t="n">
        <f aca="true">RAND()</f>
        <v>0.816348460978125</v>
      </c>
      <c r="T841" s="54" t="n">
        <f aca="true">RAND()</f>
        <v>0.0962847282973112</v>
      </c>
      <c r="U841" s="54" t="n">
        <f aca="true">RAND()</f>
        <v>0.407932282824359</v>
      </c>
    </row>
    <row r="842" customFormat="false" ht="15" hidden="false" customHeight="false" outlineLevel="0" collapsed="false">
      <c r="A842" s="50" t="n">
        <v>762</v>
      </c>
      <c r="B842" s="51" t="n">
        <f aca="false">1+IF($G$6=$E$6,$F$6,IF(P842&lt;($F$6-$E$6)/($G$6-$E$6),$E$6+SQRT(P842*($G$6-$E$6)*($F$6-$E$6)),$G$6-SQRT((1-P842)*($G$6-$E$6)*($G$6-$F$6))))</f>
        <v>1.02992643497883</v>
      </c>
      <c r="C842" s="51" t="n">
        <f aca="false">1+IF($G$7=$E$7,$F$7,IF(Q842&lt;($F$7-$E$7)/($G$7-$E$7),$E$7+SQRT(Q842*($G$7-$E$7)*($F$7-$E$7)),$G$7-SQRT((1-Q842)*($G$7-$E$7)*($G$7-$F$7))))</f>
        <v>1.09041397930452</v>
      </c>
      <c r="D842" s="51" t="n">
        <f aca="false">1+IF($G$8=$E$8,$F$8,IF(R842&lt;($F$8-$E$8)/($G$8-$E$8),$E$8+SQRT(R842*($G$8-$E$8)*($F$8-$E$8)),$G$8-SQRT((1-R842)*($G$8-$E$8)*($G$8-$F$8))))</f>
        <v>0.998888874533644</v>
      </c>
      <c r="E842" s="51" t="n">
        <f aca="false">1+IF($G$9=$E$9,$F$9,IF(S842&lt;($F$9-$E$9)/($G$9-$E$9),$E$9+SQRT(S842*($G$9-$E$9)*($F$9-$E$9)),$G$9-SQRT((1-S842)*($G$9-$E$9)*($G$9-$F$9))))</f>
        <v>0.938806028789332</v>
      </c>
      <c r="F842" s="51" t="n">
        <f aca="false">1+IF($G$10=$E$10,$F$10,IF(T842&lt;($F$10-$E$10)/($G$10-$E$10),$E$10+SQRT(T842*($G$10-$E$10)*($F$10-$E$10)),$G$10-SQRT((1-T842)*($G$10-$E$10)*($G$10-$F$10))))</f>
        <v>1.00032984528836</v>
      </c>
      <c r="G842" s="52" t="n">
        <f aca="false">IF($G$11=$E$11,$F$11,IF(U842&lt;($F$11-$E$11)/($G$11-$E$11),$E$11+SQRT(U842*($G$11-$E$11)*($F$11-$E$11)),$G$11-SQRT((1-U842)*($G$11-$E$11)*($G$11-$F$11))))</f>
        <v>0.100947431582879</v>
      </c>
      <c r="H842" s="53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-2000659690.57671</v>
      </c>
      <c r="I842" s="53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70521277.9578472</v>
      </c>
      <c r="J842" s="53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432792471.831718</v>
      </c>
      <c r="K842" s="53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845080157.970006</v>
      </c>
      <c r="L842" s="53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1004649698.65686</v>
      </c>
      <c r="M842" s="53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1218118316.99912</v>
      </c>
      <c r="N842" s="53" t="n">
        <f aca="false">IF(COUNT('Business Case'!B11:G11)=0,"",H842+NPV(G842,I842:M842))</f>
        <v>490680318.243928</v>
      </c>
      <c r="P842" s="54" t="n">
        <f aca="true">RAND()</f>
        <v>0.946273598312121</v>
      </c>
      <c r="Q842" s="54" t="n">
        <f aca="true">RAND()</f>
        <v>0.947400090928568</v>
      </c>
      <c r="R842" s="54" t="n">
        <f aca="true">RAND()</f>
        <v>0.31868294042219</v>
      </c>
      <c r="S842" s="54" t="n">
        <f aca="true">RAND()</f>
        <v>0.0602363148159382</v>
      </c>
      <c r="T842" s="54" t="n">
        <f aca="true">RAND()</f>
        <v>0.168864184616852</v>
      </c>
      <c r="U842" s="54" t="n">
        <f aca="true">RAND()</f>
        <v>0.437298845579005</v>
      </c>
    </row>
    <row r="843" customFormat="false" ht="15" hidden="false" customHeight="false" outlineLevel="0" collapsed="false">
      <c r="A843" s="50" t="n">
        <v>763</v>
      </c>
      <c r="B843" s="51" t="n">
        <f aca="false">1+IF($G$6=$E$6,$F$6,IF(P843&lt;($F$6-$E$6)/($G$6-$E$6),$E$6+SQRT(P843*($G$6-$E$6)*($F$6-$E$6)),$G$6-SQRT((1-P843)*($G$6-$E$6)*($G$6-$F$6))))</f>
        <v>1.0275804255713</v>
      </c>
      <c r="C843" s="51" t="n">
        <f aca="false">1+IF($G$7=$E$7,$F$7,IF(Q843&lt;($F$7-$E$7)/($G$7-$E$7),$E$7+SQRT(Q843*($G$7-$E$7)*($F$7-$E$7)),$G$7-SQRT((1-Q843)*($G$7-$E$7)*($G$7-$F$7))))</f>
        <v>0.90470608210371</v>
      </c>
      <c r="D843" s="51" t="n">
        <f aca="false">1+IF($G$8=$E$8,$F$8,IF(R843&lt;($F$8-$E$8)/($G$8-$E$8),$E$8+SQRT(R843*($G$8-$E$8)*($F$8-$E$8)),$G$8-SQRT((1-R843)*($G$8-$E$8)*($G$8-$F$8))))</f>
        <v>1.07751694496258</v>
      </c>
      <c r="E843" s="51" t="n">
        <f aca="false">1+IF($G$9=$E$9,$F$9,IF(S843&lt;($F$9-$E$9)/($G$9-$E$9),$E$9+SQRT(S843*($G$9-$E$9)*($F$9-$E$9)),$G$9-SQRT((1-S843)*($G$9-$E$9)*($G$9-$F$9))))</f>
        <v>1.03909593796935</v>
      </c>
      <c r="F843" s="51" t="n">
        <f aca="false">1+IF($G$10=$E$10,$F$10,IF(T843&lt;($F$10-$E$10)/($G$10-$E$10),$E$10+SQRT(T843*($G$10-$E$10)*($F$10-$E$10)),$G$10-SQRT((1-T843)*($G$10-$E$10)*($G$10-$F$10))))</f>
        <v>1.03765809639553</v>
      </c>
      <c r="G843" s="52" t="n">
        <f aca="false">IF($G$11=$E$11,$F$11,IF(U843&lt;($F$11-$E$11)/($G$11-$E$11),$E$11+SQRT(U843*($G$11-$E$11)*($F$11-$E$11)),$G$11-SQRT((1-U843)*($G$11-$E$11)*($G$11-$F$11))))</f>
        <v>0.0987316346094803</v>
      </c>
      <c r="H843" s="53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-2075316192.79107</v>
      </c>
      <c r="I843" s="53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-37299798.770929</v>
      </c>
      <c r="J843" s="53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225119138.720183</v>
      </c>
      <c r="K843" s="53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539420981.031071</v>
      </c>
      <c r="L843" s="53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659022949.690272</v>
      </c>
      <c r="M843" s="53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835732391.915505</v>
      </c>
      <c r="N843" s="53" t="n">
        <f aca="false">IF(COUNT('Business Case'!B11:G11)=0,"",H843+NPV(G843,I843:M843))</f>
        <v>-541975652.395402</v>
      </c>
      <c r="P843" s="54" t="n">
        <f aca="true">RAND()</f>
        <v>0.932981690991442</v>
      </c>
      <c r="Q843" s="54" t="n">
        <f aca="true">RAND()</f>
        <v>0.310404296668524</v>
      </c>
      <c r="R843" s="54" t="n">
        <f aca="true">RAND()</f>
        <v>0.966300815745627</v>
      </c>
      <c r="S843" s="54" t="n">
        <f aca="true">RAND()</f>
        <v>0.67200770733607</v>
      </c>
      <c r="T843" s="54" t="n">
        <f aca="true">RAND()</f>
        <v>0.398812212981757</v>
      </c>
      <c r="U843" s="54" t="n">
        <f aca="true">RAND()</f>
        <v>0.35087413514308</v>
      </c>
    </row>
    <row r="844" customFormat="false" ht="15" hidden="false" customHeight="false" outlineLevel="0" collapsed="false">
      <c r="A844" s="50" t="n">
        <v>764</v>
      </c>
      <c r="B844" s="51" t="n">
        <f aca="false">1+IF($G$6=$E$6,$F$6,IF(P844&lt;($F$6-$E$6)/($G$6-$E$6),$E$6+SQRT(P844*($G$6-$E$6)*($F$6-$E$6)),$G$6-SQRT((1-P844)*($G$6-$E$6)*($G$6-$F$6))))</f>
        <v>0.956373176107206</v>
      </c>
      <c r="C844" s="51" t="n">
        <f aca="false">1+IF($G$7=$E$7,$F$7,IF(Q844&lt;($F$7-$E$7)/($G$7-$E$7),$E$7+SQRT(Q844*($G$7-$E$7)*($F$7-$E$7)),$G$7-SQRT((1-Q844)*($G$7-$E$7)*($G$7-$F$7))))</f>
        <v>0.890145064104116</v>
      </c>
      <c r="D844" s="51" t="n">
        <f aca="false">1+IF($G$8=$E$8,$F$8,IF(R844&lt;($F$8-$E$8)/($G$8-$E$8),$E$8+SQRT(R844*($G$8-$E$8)*($F$8-$E$8)),$G$8-SQRT((1-R844)*($G$8-$E$8)*($G$8-$F$8))))</f>
        <v>1.08623946500175</v>
      </c>
      <c r="E844" s="51" t="n">
        <f aca="false">1+IF($G$9=$E$9,$F$9,IF(S844&lt;($F$9-$E$9)/($G$9-$E$9),$E$9+SQRT(S844*($G$9-$E$9)*($F$9-$E$9)),$G$9-SQRT((1-S844)*($G$9-$E$9)*($G$9-$F$9))))</f>
        <v>1.06063276502097</v>
      </c>
      <c r="F844" s="51" t="n">
        <f aca="false">1+IF($G$10=$E$10,$F$10,IF(T844&lt;($F$10-$E$10)/($G$10-$E$10),$E$10+SQRT(T844*($G$10-$E$10)*($F$10-$E$10)),$G$10-SQRT((1-T844)*($G$10-$E$10)*($G$10-$F$10))))</f>
        <v>1.1438912385721</v>
      </c>
      <c r="G844" s="52" t="n">
        <f aca="false">IF($G$11=$E$11,$F$11,IF(U844&lt;($F$11-$E$11)/($G$11-$E$11),$E$11+SQRT(U844*($G$11-$E$11)*($F$11-$E$11)),$G$11-SQRT((1-U844)*($G$11-$E$11)*($G$11-$F$11))))</f>
        <v>0.0905976765754921</v>
      </c>
      <c r="H844" s="53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-2287782477.1442</v>
      </c>
      <c r="I844" s="53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-107039092.277335</v>
      </c>
      <c r="J844" s="53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95264873.5825554</v>
      </c>
      <c r="K844" s="53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354763401.371051</v>
      </c>
      <c r="L844" s="53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451619360.053702</v>
      </c>
      <c r="M844" s="53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613436528.731821</v>
      </c>
      <c r="N844" s="53" t="n">
        <f aca="false">IF(COUNT('Business Case'!B11:G11)=0,"",H844+NPV(G844,I844:M844))</f>
        <v>-1315504523.7145</v>
      </c>
      <c r="P844" s="54" t="n">
        <f aca="true">RAND()</f>
        <v>0.211862332294268</v>
      </c>
      <c r="Q844" s="54" t="n">
        <f aca="true">RAND()</f>
        <v>0.267815891875246</v>
      </c>
      <c r="R844" s="54" t="n">
        <f aca="true">RAND()</f>
        <v>0.987376511770804</v>
      </c>
      <c r="S844" s="54" t="n">
        <f aca="true">RAND()</f>
        <v>0.787026594992081</v>
      </c>
      <c r="T844" s="54" t="n">
        <f aca="true">RAND()</f>
        <v>0.849879076643161</v>
      </c>
      <c r="U844" s="54" t="n">
        <f aca="true">RAND()</f>
        <v>0.112310748798734</v>
      </c>
    </row>
    <row r="845" customFormat="false" ht="15" hidden="false" customHeight="false" outlineLevel="0" collapsed="false">
      <c r="A845" s="50" t="n">
        <v>765</v>
      </c>
      <c r="B845" s="51" t="n">
        <f aca="false">1+IF($G$6=$E$6,$F$6,IF(P845&lt;($F$6-$E$6)/($G$6-$E$6),$E$6+SQRT(P845*($G$6-$E$6)*($F$6-$E$6)),$G$6-SQRT((1-P845)*($G$6-$E$6)*($G$6-$F$6))))</f>
        <v>0.963219420362804</v>
      </c>
      <c r="C845" s="51" t="n">
        <f aca="false">1+IF($G$7=$E$7,$F$7,IF(Q845&lt;($F$7-$E$7)/($G$7-$E$7),$E$7+SQRT(Q845*($G$7-$E$7)*($F$7-$E$7)),$G$7-SQRT((1-Q845)*($G$7-$E$7)*($G$7-$F$7))))</f>
        <v>1.04776717354078</v>
      </c>
      <c r="D845" s="51" t="n">
        <f aca="false">1+IF($G$8=$E$8,$F$8,IF(R845&lt;($F$8-$E$8)/($G$8-$E$8),$E$8+SQRT(R845*($G$8-$E$8)*($F$8-$E$8)),$G$8-SQRT((1-R845)*($G$8-$E$8)*($G$8-$F$8))))</f>
        <v>1.02219900569686</v>
      </c>
      <c r="E845" s="51" t="n">
        <f aca="false">1+IF($G$9=$E$9,$F$9,IF(S845&lt;($F$9-$E$9)/($G$9-$E$9),$E$9+SQRT(S845*($G$9-$E$9)*($F$9-$E$9)),$G$9-SQRT((1-S845)*($G$9-$E$9)*($G$9-$F$9))))</f>
        <v>0.951107048893817</v>
      </c>
      <c r="F845" s="51" t="n">
        <f aca="false">1+IF($G$10=$E$10,$F$10,IF(T845&lt;($F$10-$E$10)/($G$10-$E$10),$E$10+SQRT(T845*($G$10-$E$10)*($F$10-$E$10)),$G$10-SQRT((1-T845)*($G$10-$E$10)*($G$10-$F$10))))</f>
        <v>0.993468929919686</v>
      </c>
      <c r="G845" s="52" t="n">
        <f aca="false">IF($G$11=$E$11,$F$11,IF(U845&lt;($F$11-$E$11)/($G$11-$E$11),$E$11+SQRT(U845*($G$11-$E$11)*($F$11-$E$11)),$G$11-SQRT((1-U845)*($G$11-$E$11)*($G$11-$F$11))))</f>
        <v>0.104618801616914</v>
      </c>
      <c r="H845" s="53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-1986937859.83937</v>
      </c>
      <c r="I845" s="53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-8560920.28260055</v>
      </c>
      <c r="J845" s="53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269790941.886939</v>
      </c>
      <c r="K845" s="53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597816250.552463</v>
      </c>
      <c r="L845" s="53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725479182.680624</v>
      </c>
      <c r="M845" s="53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917313562.074684</v>
      </c>
      <c r="N845" s="53" t="n">
        <f aca="false">IF(COUNT('Business Case'!B11:G11)=0,"",H845+NPV(G845,I845:M845))</f>
        <v>-284996499.969685</v>
      </c>
      <c r="P845" s="54" t="n">
        <f aca="true">RAND()</f>
        <v>0.266446340733924</v>
      </c>
      <c r="Q845" s="54" t="n">
        <f aca="true">RAND()</f>
        <v>0.845162210283852</v>
      </c>
      <c r="R845" s="54" t="n">
        <f aca="true">RAND()</f>
        <v>0.596467019029488</v>
      </c>
      <c r="S845" s="54" t="n">
        <f aca="true">RAND()</f>
        <v>0.1044772178654</v>
      </c>
      <c r="T845" s="54" t="n">
        <f aca="true">RAND()</f>
        <v>0.125969857890836</v>
      </c>
      <c r="U845" s="54" t="n">
        <f aca="true">RAND()</f>
        <v>0.570529845758946</v>
      </c>
    </row>
    <row r="846" customFormat="false" ht="15" hidden="false" customHeight="false" outlineLevel="0" collapsed="false">
      <c r="A846" s="50" t="n">
        <v>766</v>
      </c>
      <c r="B846" s="51" t="n">
        <f aca="false">1+IF($G$6=$E$6,$F$6,IF(P846&lt;($F$6-$E$6)/($G$6-$E$6),$E$6+SQRT(P846*($G$6-$E$6)*($F$6-$E$6)),$G$6-SQRT((1-P846)*($G$6-$E$6)*($G$6-$F$6))))</f>
        <v>0.998006084019035</v>
      </c>
      <c r="C846" s="51" t="n">
        <f aca="false">1+IF($G$7=$E$7,$F$7,IF(Q846&lt;($F$7-$E$7)/($G$7-$E$7),$E$7+SQRT(Q846*($G$7-$E$7)*($F$7-$E$7)),$G$7-SQRT((1-Q846)*($G$7-$E$7)*($G$7-$F$7))))</f>
        <v>1.12743558773063</v>
      </c>
      <c r="D846" s="51" t="n">
        <f aca="false">1+IF($G$8=$E$8,$F$8,IF(R846&lt;($F$8-$E$8)/($G$8-$E$8),$E$8+SQRT(R846*($G$8-$E$8)*($F$8-$E$8)),$G$8-SQRT((1-R846)*($G$8-$E$8)*($G$8-$F$8))))</f>
        <v>0.988991438281486</v>
      </c>
      <c r="E846" s="51" t="n">
        <f aca="false">1+IF($G$9=$E$9,$F$9,IF(S846&lt;($F$9-$E$9)/($G$9-$E$9),$E$9+SQRT(S846*($G$9-$E$9)*($F$9-$E$9)),$G$9-SQRT((1-S846)*($G$9-$E$9)*($G$9-$F$9))))</f>
        <v>1.0090002189783</v>
      </c>
      <c r="F846" s="51" t="n">
        <f aca="false">1+IF($G$10=$E$10,$F$10,IF(T846&lt;($F$10-$E$10)/($G$10-$E$10),$E$10+SQRT(T846*($G$10-$E$10)*($F$10-$E$10)),$G$10-SQRT((1-T846)*($G$10-$E$10)*($G$10-$F$10))))</f>
        <v>1.02584934363208</v>
      </c>
      <c r="G846" s="52" t="n">
        <f aca="false">IF($G$11=$E$11,$F$11,IF(U846&lt;($F$11-$E$11)/($G$11-$E$11),$E$11+SQRT(U846*($G$11-$E$11)*($F$11-$E$11)),$G$11-SQRT((1-U846)*($G$11-$E$11)*($G$11-$F$11))))</f>
        <v>0.10425593958513</v>
      </c>
      <c r="H846" s="53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-2051698687.26416</v>
      </c>
      <c r="I846" s="53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46411989.1969552</v>
      </c>
      <c r="J846" s="53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397218467.830215</v>
      </c>
      <c r="K846" s="53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799317413.64508</v>
      </c>
      <c r="L846" s="53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955139389.145755</v>
      </c>
      <c r="M846" s="53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1169015043.57183</v>
      </c>
      <c r="N846" s="53" t="n">
        <f aca="false">IF(COUNT('Business Case'!B11:G11)=0,"",H846+NPV(G846,I846:M846))</f>
        <v>264067249.752129</v>
      </c>
      <c r="P846" s="54" t="n">
        <f aca="true">RAND()</f>
        <v>0.640346166983071</v>
      </c>
      <c r="Q846" s="54" t="n">
        <f aca="true">RAND()</f>
        <v>0.9924569970213</v>
      </c>
      <c r="R846" s="54" t="n">
        <f aca="true">RAND()</f>
        <v>0.20271096790119</v>
      </c>
      <c r="S846" s="54" t="n">
        <f aca="true">RAND()</f>
        <v>0.469841646715507</v>
      </c>
      <c r="T846" s="54" t="n">
        <f aca="true">RAND()</f>
        <v>0.330086443331072</v>
      </c>
      <c r="U846" s="54" t="n">
        <f aca="true">RAND()</f>
        <v>0.558162235570361</v>
      </c>
    </row>
    <row r="847" customFormat="false" ht="15" hidden="false" customHeight="false" outlineLevel="0" collapsed="false">
      <c r="A847" s="50" t="n">
        <v>767</v>
      </c>
      <c r="B847" s="51" t="n">
        <f aca="false">1+IF($G$6=$E$6,$F$6,IF(P847&lt;($F$6-$E$6)/($G$6-$E$6),$E$6+SQRT(P847*($G$6-$E$6)*($F$6-$E$6)),$G$6-SQRT((1-P847)*($G$6-$E$6)*($G$6-$F$6))))</f>
        <v>0.999846342268909</v>
      </c>
      <c r="C847" s="51" t="n">
        <f aca="false">1+IF($G$7=$E$7,$F$7,IF(Q847&lt;($F$7-$E$7)/($G$7-$E$7),$E$7+SQRT(Q847*($G$7-$E$7)*($F$7-$E$7)),$G$7-SQRT((1-Q847)*($G$7-$E$7)*($G$7-$F$7))))</f>
        <v>0.934353306247611</v>
      </c>
      <c r="D847" s="51" t="n">
        <f aca="false">1+IF($G$8=$E$8,$F$8,IF(R847&lt;($F$8-$E$8)/($G$8-$E$8),$E$8+SQRT(R847*($G$8-$E$8)*($F$8-$E$8)),$G$8-SQRT((1-R847)*($G$8-$E$8)*($G$8-$F$8))))</f>
        <v>0.959757158500272</v>
      </c>
      <c r="E847" s="51" t="n">
        <f aca="false">1+IF($G$9=$E$9,$F$9,IF(S847&lt;($F$9-$E$9)/($G$9-$E$9),$E$9+SQRT(S847*($G$9-$E$9)*($F$9-$E$9)),$G$9-SQRT((1-S847)*($G$9-$E$9)*($G$9-$F$9))))</f>
        <v>0.93649972613716</v>
      </c>
      <c r="F847" s="51" t="n">
        <f aca="false">1+IF($G$10=$E$10,$F$10,IF(T847&lt;($F$10-$E$10)/($G$10-$E$10),$E$10+SQRT(T847*($G$10-$E$10)*($F$10-$E$10)),$G$10-SQRT((1-T847)*($G$10-$E$10)*($G$10-$F$10))))</f>
        <v>1.11992967270022</v>
      </c>
      <c r="G847" s="52" t="n">
        <f aca="false">IF($G$11=$E$11,$F$11,IF(U847&lt;($F$11-$E$11)/($G$11-$E$11),$E$11+SQRT(U847*($G$11-$E$11)*($F$11-$E$11)),$G$11-SQRT((1-U847)*($G$11-$E$11)*($G$11-$F$11))))</f>
        <v>0.117612556468702</v>
      </c>
      <c r="H847" s="53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-2239859345.40044</v>
      </c>
      <c r="I847" s="53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12526951.3379928</v>
      </c>
      <c r="J847" s="53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318646563.698213</v>
      </c>
      <c r="K847" s="53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680762659.693445</v>
      </c>
      <c r="L847" s="53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815088818.943853</v>
      </c>
      <c r="M847" s="53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992663405.494026</v>
      </c>
      <c r="N847" s="53" t="n">
        <f aca="false">IF(COUNT('Business Case'!B11:G11)=0,"",H847+NPV(G847,I847:M847))</f>
        <v>-394125801.919847</v>
      </c>
      <c r="P847" s="54" t="n">
        <f aca="true">RAND()</f>
        <v>0.664619470965336</v>
      </c>
      <c r="Q847" s="54" t="n">
        <f aca="true">RAND()</f>
        <v>0.406825719623605</v>
      </c>
      <c r="R847" s="54" t="n">
        <f aca="true">RAND()</f>
        <v>0.0126936189332565</v>
      </c>
      <c r="S847" s="54" t="n">
        <f aca="true">RAND()</f>
        <v>0.0532892003235058</v>
      </c>
      <c r="T847" s="54" t="n">
        <f aca="true">RAND()</f>
        <v>0.774422799415034</v>
      </c>
      <c r="U847" s="54" t="n">
        <f aca="true">RAND()</f>
        <v>0.897700828505929</v>
      </c>
    </row>
    <row r="848" customFormat="false" ht="15" hidden="false" customHeight="false" outlineLevel="0" collapsed="false">
      <c r="A848" s="50" t="n">
        <v>768</v>
      </c>
      <c r="B848" s="51" t="n">
        <f aca="false">1+IF($G$6=$E$6,$F$6,IF(P848&lt;($F$6-$E$6)/($G$6-$E$6),$E$6+SQRT(P848*($G$6-$E$6)*($F$6-$E$6)),$G$6-SQRT((1-P848)*($G$6-$E$6)*($G$6-$F$6))))</f>
        <v>0.942703267168571</v>
      </c>
      <c r="C848" s="51" t="n">
        <f aca="false">1+IF($G$7=$E$7,$F$7,IF(Q848&lt;($F$7-$E$7)/($G$7-$E$7),$E$7+SQRT(Q848*($G$7-$E$7)*($F$7-$E$7)),$G$7-SQRT((1-Q848)*($G$7-$E$7)*($G$7-$F$7))))</f>
        <v>1.08484117590411</v>
      </c>
      <c r="D848" s="51" t="n">
        <f aca="false">1+IF($G$8=$E$8,$F$8,IF(R848&lt;($F$8-$E$8)/($G$8-$E$8),$E$8+SQRT(R848*($G$8-$E$8)*($F$8-$E$8)),$G$8-SQRT((1-R848)*($G$8-$E$8)*($G$8-$F$8))))</f>
        <v>1.00926681474227</v>
      </c>
      <c r="E848" s="51" t="n">
        <f aca="false">1+IF($G$9=$E$9,$F$9,IF(S848&lt;($F$9-$E$9)/($G$9-$E$9),$E$9+SQRT(S848*($G$9-$E$9)*($F$9-$E$9)),$G$9-SQRT((1-S848)*($G$9-$E$9)*($G$9-$F$9))))</f>
        <v>1.04671381033419</v>
      </c>
      <c r="F848" s="51" t="n">
        <f aca="false">1+IF($G$10=$E$10,$F$10,IF(T848&lt;($F$10-$E$10)/($G$10-$E$10),$E$10+SQRT(T848*($G$10-$E$10)*($F$10-$E$10)),$G$10-SQRT((1-T848)*($G$10-$E$10)*($G$10-$F$10))))</f>
        <v>0.984631594420993</v>
      </c>
      <c r="G848" s="52" t="n">
        <f aca="false">IF($G$11=$E$11,$F$11,IF(U848&lt;($F$11-$E$11)/($G$11-$E$11),$E$11+SQRT(U848*($G$11-$E$11)*($F$11-$E$11)),$G$11-SQRT((1-U848)*($G$11-$E$11)*($G$11-$F$11))))</f>
        <v>0.128290118996085</v>
      </c>
      <c r="H848" s="53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-1969263188.84199</v>
      </c>
      <c r="I848" s="53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-23168731.517726</v>
      </c>
      <c r="J848" s="53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253984303.590785</v>
      </c>
      <c r="K848" s="53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580368918.420345</v>
      </c>
      <c r="L848" s="53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708097199.02626</v>
      </c>
      <c r="M848" s="53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902488844.659853</v>
      </c>
      <c r="N848" s="53" t="n">
        <f aca="false">IF(COUNT('Business Case'!B11:G11)=0,"",H848+NPV(G848,I848:M848))</f>
        <v>-455745509.936475</v>
      </c>
      <c r="P848" s="54" t="n">
        <f aca="true">RAND()</f>
        <v>0.121571268458021</v>
      </c>
      <c r="Q848" s="54" t="n">
        <f aca="true">RAND()</f>
        <v>0.937101150258386</v>
      </c>
      <c r="R848" s="54" t="n">
        <f aca="true">RAND()</f>
        <v>0.451165939532446</v>
      </c>
      <c r="S848" s="54" t="n">
        <f aca="true">RAND()</f>
        <v>0.715519013981806</v>
      </c>
      <c r="T848" s="54" t="n">
        <f aca="true">RAND()</f>
        <v>0.0799564888093415</v>
      </c>
      <c r="U848" s="54" t="n">
        <f aca="true">RAND()</f>
        <v>0.998050871301633</v>
      </c>
    </row>
    <row r="849" customFormat="false" ht="15" hidden="false" customHeight="false" outlineLevel="0" collapsed="false">
      <c r="A849" s="50" t="n">
        <v>769</v>
      </c>
      <c r="B849" s="51" t="n">
        <f aca="false">1+IF($G$6=$E$6,$F$6,IF(P849&lt;($F$6-$E$6)/($G$6-$E$6),$E$6+SQRT(P849*($G$6-$E$6)*($F$6-$E$6)),$G$6-SQRT((1-P849)*($G$6-$E$6)*($G$6-$F$6))))</f>
        <v>0.987790303440774</v>
      </c>
      <c r="C849" s="51" t="n">
        <f aca="false">1+IF($G$7=$E$7,$F$7,IF(Q849&lt;($F$7-$E$7)/($G$7-$E$7),$E$7+SQRT(Q849*($G$7-$E$7)*($F$7-$E$7)),$G$7-SQRT((1-Q849)*($G$7-$E$7)*($G$7-$F$7))))</f>
        <v>0.85857577849689</v>
      </c>
      <c r="D849" s="51" t="n">
        <f aca="false">1+IF($G$8=$E$8,$F$8,IF(R849&lt;($F$8-$E$8)/($G$8-$E$8),$E$8+SQRT(R849*($G$8-$E$8)*($F$8-$E$8)),$G$8-SQRT((1-R849)*($G$8-$E$8)*($G$8-$F$8))))</f>
        <v>1.03777527683124</v>
      </c>
      <c r="E849" s="51" t="n">
        <f aca="false">1+IF($G$9=$E$9,$F$9,IF(S849&lt;($F$9-$E$9)/($G$9-$E$9),$E$9+SQRT(S849*($G$9-$E$9)*($F$9-$E$9)),$G$9-SQRT((1-S849)*($G$9-$E$9)*($G$9-$F$9))))</f>
        <v>1.01205880115613</v>
      </c>
      <c r="F849" s="51" t="n">
        <f aca="false">1+IF($G$10=$E$10,$F$10,IF(T849&lt;($F$10-$E$10)/($G$10-$E$10),$E$10+SQRT(T849*($G$10-$E$10)*($F$10-$E$10)),$G$10-SQRT((1-T849)*($G$10-$E$10)*($G$10-$F$10))))</f>
        <v>1.11742346855814</v>
      </c>
      <c r="G849" s="52" t="n">
        <f aca="false">IF($G$11=$E$11,$F$11,IF(U849&lt;($F$11-$E$11)/($G$11-$E$11),$E$11+SQRT(U849*($G$11-$E$11)*($F$11-$E$11)),$G$11-SQRT((1-U849)*($G$11-$E$11)*($G$11-$F$11))))</f>
        <v>0.10998635749484</v>
      </c>
      <c r="H849" s="53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-2234846937.11628</v>
      </c>
      <c r="I849" s="53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-61098333.1809526</v>
      </c>
      <c r="J849" s="53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177425574.261662</v>
      </c>
      <c r="K849" s="53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471820655.132183</v>
      </c>
      <c r="L849" s="53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580638712.441956</v>
      </c>
      <c r="M849" s="53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741844197.334242</v>
      </c>
      <c r="N849" s="53" t="n">
        <f aca="false">IF(COUNT('Business Case'!B11:G11)=0,"",H849+NPV(G849,I849:M849))</f>
        <v>-978102135.066633</v>
      </c>
      <c r="P849" s="54" t="n">
        <f aca="true">RAND()</f>
        <v>0.513809158548207</v>
      </c>
      <c r="Q849" s="54" t="n">
        <f aca="true">RAND()</f>
        <v>0.186268722414035</v>
      </c>
      <c r="R849" s="54" t="n">
        <f aca="true">RAND()</f>
        <v>0.741872255104728</v>
      </c>
      <c r="S849" s="54" t="n">
        <f aca="true">RAND()</f>
        <v>0.492592684307119</v>
      </c>
      <c r="T849" s="54" t="n">
        <f aca="true">RAND()</f>
        <v>0.765646177477947</v>
      </c>
      <c r="U849" s="54" t="n">
        <f aca="true">RAND()</f>
        <v>0.732969409117103</v>
      </c>
    </row>
    <row r="850" customFormat="false" ht="15" hidden="false" customHeight="false" outlineLevel="0" collapsed="false">
      <c r="A850" s="50" t="n">
        <v>770</v>
      </c>
      <c r="B850" s="51" t="n">
        <f aca="false">1+IF($G$6=$E$6,$F$6,IF(P850&lt;($F$6-$E$6)/($G$6-$E$6),$E$6+SQRT(P850*($G$6-$E$6)*($F$6-$E$6)),$G$6-SQRT((1-P850)*($G$6-$E$6)*($G$6-$F$6))))</f>
        <v>0.994918761591999</v>
      </c>
      <c r="C850" s="51" t="n">
        <f aca="false">1+IF($G$7=$E$7,$F$7,IF(Q850&lt;($F$7-$E$7)/($G$7-$E$7),$E$7+SQRT(Q850*($G$7-$E$7)*($F$7-$E$7)),$G$7-SQRT((1-Q850)*($G$7-$E$7)*($G$7-$F$7))))</f>
        <v>1.12121716053692</v>
      </c>
      <c r="D850" s="51" t="n">
        <f aca="false">1+IF($G$8=$E$8,$F$8,IF(R850&lt;($F$8-$E$8)/($G$8-$E$8),$E$8+SQRT(R850*($G$8-$E$8)*($F$8-$E$8)),$G$8-SQRT((1-R850)*($G$8-$E$8)*($G$8-$F$8))))</f>
        <v>1.01428812097006</v>
      </c>
      <c r="E850" s="51" t="n">
        <f aca="false">1+IF($G$9=$E$9,$F$9,IF(S850&lt;($F$9-$E$9)/($G$9-$E$9),$E$9+SQRT(S850*($G$9-$E$9)*($F$9-$E$9)),$G$9-SQRT((1-S850)*($G$9-$E$9)*($G$9-$F$9))))</f>
        <v>0.984391895361698</v>
      </c>
      <c r="F850" s="51" t="n">
        <f aca="false">1+IF($G$10=$E$10,$F$10,IF(T850&lt;($F$10-$E$10)/($G$10-$E$10),$E$10+SQRT(T850*($G$10-$E$10)*($F$10-$E$10)),$G$10-SQRT((1-T850)*($G$10-$E$10)*($G$10-$F$10))))</f>
        <v>1.22551931358577</v>
      </c>
      <c r="G850" s="52" t="n">
        <f aca="false">IF($G$11=$E$11,$F$11,IF(U850&lt;($F$11-$E$11)/($G$11-$E$11),$E$11+SQRT(U850*($G$11-$E$11)*($F$11-$E$11)),$G$11-SQRT((1-U850)*($G$11-$E$11)*($G$11-$F$11))))</f>
        <v>0.0882458984479883</v>
      </c>
      <c r="H850" s="53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-2451038627.17155</v>
      </c>
      <c r="I850" s="53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11155681.7324927</v>
      </c>
      <c r="J850" s="53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342672378.565311</v>
      </c>
      <c r="K850" s="53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735465041.077417</v>
      </c>
      <c r="L850" s="53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884522977.502567</v>
      </c>
      <c r="M850" s="53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1096561016.98072</v>
      </c>
      <c r="N850" s="53" t="n">
        <f aca="false">IF(COUNT('Business Case'!B11:G11)=0,"",H850+NPV(G850,I850:M850))</f>
        <v>-231651963.762318</v>
      </c>
      <c r="P850" s="54" t="n">
        <f aca="true">RAND()</f>
        <v>0.600638086810588</v>
      </c>
      <c r="Q850" s="54" t="n">
        <f aca="true">RAND()</f>
        <v>0.987726639295442</v>
      </c>
      <c r="R850" s="54" t="n">
        <f aca="true">RAND()</f>
        <v>0.510231586210404</v>
      </c>
      <c r="S850" s="54" t="n">
        <f aca="true">RAND()</f>
        <v>0.284879680109589</v>
      </c>
      <c r="T850" s="54" t="n">
        <f aca="true">RAND()</f>
        <v>0.992009279902511</v>
      </c>
      <c r="U850" s="54" t="n">
        <f aca="true">RAND()</f>
        <v>0.0679948412145363</v>
      </c>
    </row>
    <row r="851" customFormat="false" ht="15" hidden="false" customHeight="false" outlineLevel="0" collapsed="false">
      <c r="A851" s="50" t="n">
        <v>771</v>
      </c>
      <c r="B851" s="51" t="n">
        <f aca="false">1+IF($G$6=$E$6,$F$6,IF(P851&lt;($F$6-$E$6)/($G$6-$E$6),$E$6+SQRT(P851*($G$6-$E$6)*($F$6-$E$6)),$G$6-SQRT((1-P851)*($G$6-$E$6)*($G$6-$F$6))))</f>
        <v>1.02433239093704</v>
      </c>
      <c r="C851" s="51" t="n">
        <f aca="false">1+IF($G$7=$E$7,$F$7,IF(Q851&lt;($F$7-$E$7)/($G$7-$E$7),$E$7+SQRT(Q851*($G$7-$E$7)*($F$7-$E$7)),$G$7-SQRT((1-Q851)*($G$7-$E$7)*($G$7-$F$7))))</f>
        <v>1.11636972418681</v>
      </c>
      <c r="D851" s="51" t="n">
        <f aca="false">1+IF($G$8=$E$8,$F$8,IF(R851&lt;($F$8-$E$8)/($G$8-$E$8),$E$8+SQRT(R851*($G$8-$E$8)*($F$8-$E$8)),$G$8-SQRT((1-R851)*($G$8-$E$8)*($G$8-$F$8))))</f>
        <v>1.0215170104905</v>
      </c>
      <c r="E851" s="51" t="n">
        <f aca="false">1+IF($G$9=$E$9,$F$9,IF(S851&lt;($F$9-$E$9)/($G$9-$E$9),$E$9+SQRT(S851*($G$9-$E$9)*($F$9-$E$9)),$G$9-SQRT((1-S851)*($G$9-$E$9)*($G$9-$F$9))))</f>
        <v>0.968377998715936</v>
      </c>
      <c r="F851" s="51" t="n">
        <f aca="false">1+IF($G$10=$E$10,$F$10,IF(T851&lt;($F$10-$E$10)/($G$10-$E$10),$E$10+SQRT(T851*($G$10-$E$10)*($F$10-$E$10)),$G$10-SQRT((1-T851)*($G$10-$E$10)*($G$10-$F$10))))</f>
        <v>1.03573424672591</v>
      </c>
      <c r="G851" s="52" t="n">
        <f aca="false">IF($G$11=$E$11,$F$11,IF(U851&lt;($F$11-$E$11)/($G$11-$E$11),$E$11+SQRT(U851*($G$11-$E$11)*($F$11-$E$11)),$G$11-SQRT((1-U851)*($G$11-$E$11)*($G$11-$F$11))))</f>
        <v>0.0975396193371127</v>
      </c>
      <c r="H851" s="53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-2071468493.45182</v>
      </c>
      <c r="I851" s="53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52290059.3166472</v>
      </c>
      <c r="J851" s="53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405137680.111084</v>
      </c>
      <c r="K851" s="53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809772013.241816</v>
      </c>
      <c r="L851" s="53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966908410.431823</v>
      </c>
      <c r="M851" s="53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1184271290.18706</v>
      </c>
      <c r="N851" s="53" t="n">
        <f aca="false">IF(COUNT('Business Case'!B11:G11)=0,"",H851+NPV(G851,I851:M851))</f>
        <v>334968004.781618</v>
      </c>
      <c r="P851" s="54" t="n">
        <f aca="true">RAND()</f>
        <v>0.912156512665462</v>
      </c>
      <c r="Q851" s="54" t="n">
        <f aca="true">RAND()</f>
        <v>0.98324451183302</v>
      </c>
      <c r="R851" s="54" t="n">
        <f aca="true">RAND()</f>
        <v>0.589361357176731</v>
      </c>
      <c r="S851" s="54" t="n">
        <f aca="true">RAND()</f>
        <v>0.187022028335859</v>
      </c>
      <c r="T851" s="54" t="n">
        <f aca="true">RAND()</f>
        <v>0.387869159651812</v>
      </c>
      <c r="U851" s="54" t="n">
        <f aca="true">RAND()</f>
        <v>0.307638246490818</v>
      </c>
    </row>
    <row r="852" customFormat="false" ht="15" hidden="false" customHeight="false" outlineLevel="0" collapsed="false">
      <c r="A852" s="50" t="n">
        <v>772</v>
      </c>
      <c r="B852" s="51" t="n">
        <f aca="false">1+IF($G$6=$E$6,$F$6,IF(P852&lt;($F$6-$E$6)/($G$6-$E$6),$E$6+SQRT(P852*($G$6-$E$6)*($F$6-$E$6)),$G$6-SQRT((1-P852)*($G$6-$E$6)*($G$6-$F$6))))</f>
        <v>1.02675768988149</v>
      </c>
      <c r="C852" s="51" t="n">
        <f aca="false">1+IF($G$7=$E$7,$F$7,IF(Q852&lt;($F$7-$E$7)/($G$7-$E$7),$E$7+SQRT(Q852*($G$7-$E$7)*($F$7-$E$7)),$G$7-SQRT((1-Q852)*($G$7-$E$7)*($G$7-$F$7))))</f>
        <v>0.816104856788346</v>
      </c>
      <c r="D852" s="51" t="n">
        <f aca="false">1+IF($G$8=$E$8,$F$8,IF(R852&lt;($F$8-$E$8)/($G$8-$E$8),$E$8+SQRT(R852*($G$8-$E$8)*($F$8-$E$8)),$G$8-SQRT((1-R852)*($G$8-$E$8)*($G$8-$F$8))))</f>
        <v>1.00925283420203</v>
      </c>
      <c r="E852" s="51" t="n">
        <f aca="false">1+IF($G$9=$E$9,$F$9,IF(S852&lt;($F$9-$E$9)/($G$9-$E$9),$E$9+SQRT(S852*($G$9-$E$9)*($F$9-$E$9)),$G$9-SQRT((1-S852)*($G$9-$E$9)*($G$9-$F$9))))</f>
        <v>0.982437593787078</v>
      </c>
      <c r="F852" s="51" t="n">
        <f aca="false">1+IF($G$10=$E$10,$F$10,IF(T852&lt;($F$10-$E$10)/($G$10-$E$10),$E$10+SQRT(T852*($G$10-$E$10)*($F$10-$E$10)),$G$10-SQRT((1-T852)*($G$10-$E$10)*($G$10-$F$10))))</f>
        <v>1.0552361504842</v>
      </c>
      <c r="G852" s="52" t="n">
        <f aca="false">IF($G$11=$E$11,$F$11,IF(U852&lt;($F$11-$E$11)/($G$11-$E$11),$E$11+SQRT(U852*($G$11-$E$11)*($F$11-$E$11)),$G$11-SQRT((1-U852)*($G$11-$E$11)*($G$11-$F$11))))</f>
        <v>0.119714406228755</v>
      </c>
      <c r="H852" s="53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-2110472300.96841</v>
      </c>
      <c r="I852" s="53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-23976423.3711822</v>
      </c>
      <c r="J852" s="53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240712304.180353</v>
      </c>
      <c r="K852" s="53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558162839.256098</v>
      </c>
      <c r="L852" s="53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675351688.465125</v>
      </c>
      <c r="M852" s="53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834627691.936964</v>
      </c>
      <c r="N852" s="53" t="n">
        <f aca="false">IF(COUNT('Business Case'!B11:G11)=0,"",H852+NPV(G852,I852:M852))</f>
        <v>-638468944.110781</v>
      </c>
      <c r="P852" s="54" t="n">
        <f aca="true">RAND()</f>
        <v>0.927972669380649</v>
      </c>
      <c r="Q852" s="54" t="n">
        <f aca="true">RAND()</f>
        <v>0.0998543538506845</v>
      </c>
      <c r="R852" s="54" t="n">
        <f aca="true">RAND()</f>
        <v>0.450996793309018</v>
      </c>
      <c r="S852" s="54" t="n">
        <f aca="true">RAND()</f>
        <v>0.271838274776128</v>
      </c>
      <c r="T852" s="54" t="n">
        <f aca="true">RAND()</f>
        <v>0.494227238957181</v>
      </c>
      <c r="U852" s="54" t="n">
        <f aca="true">RAND()</f>
        <v>0.92947104051528</v>
      </c>
    </row>
    <row r="853" customFormat="false" ht="15" hidden="false" customHeight="false" outlineLevel="0" collapsed="false">
      <c r="A853" s="50" t="n">
        <v>773</v>
      </c>
      <c r="B853" s="51" t="n">
        <f aca="false">1+IF($G$6=$E$6,$F$6,IF(P853&lt;($F$6-$E$6)/($G$6-$E$6),$E$6+SQRT(P853*($G$6-$E$6)*($F$6-$E$6)),$G$6-SQRT((1-P853)*($G$6-$E$6)*($G$6-$F$6))))</f>
        <v>0.975309492762169</v>
      </c>
      <c r="C853" s="51" t="n">
        <f aca="false">1+IF($G$7=$E$7,$F$7,IF(Q853&lt;($F$7-$E$7)/($G$7-$E$7),$E$7+SQRT(Q853*($G$7-$E$7)*($F$7-$E$7)),$G$7-SQRT((1-Q853)*($G$7-$E$7)*($G$7-$F$7))))</f>
        <v>0.948410408289717</v>
      </c>
      <c r="D853" s="51" t="n">
        <f aca="false">1+IF($G$8=$E$8,$F$8,IF(R853&lt;($F$8-$E$8)/($G$8-$E$8),$E$8+SQRT(R853*($G$8-$E$8)*($F$8-$E$8)),$G$8-SQRT((1-R853)*($G$8-$E$8)*($G$8-$F$8))))</f>
        <v>1.02062494488058</v>
      </c>
      <c r="E853" s="51" t="n">
        <f aca="false">1+IF($G$9=$E$9,$F$9,IF(S853&lt;($F$9-$E$9)/($G$9-$E$9),$E$9+SQRT(S853*($G$9-$E$9)*($F$9-$E$9)),$G$9-SQRT((1-S853)*($G$9-$E$9)*($G$9-$F$9))))</f>
        <v>1.00456944884914</v>
      </c>
      <c r="F853" s="51" t="n">
        <f aca="false">1+IF($G$10=$E$10,$F$10,IF(T853&lt;($F$10-$E$10)/($G$10-$E$10),$E$10+SQRT(T853*($G$10-$E$10)*($F$10-$E$10)),$G$10-SQRT((1-T853)*($G$10-$E$10)*($G$10-$F$10))))</f>
        <v>0.989321832522727</v>
      </c>
      <c r="G853" s="52" t="n">
        <f aca="false">IF($G$11=$E$11,$F$11,IF(U853&lt;($F$11-$E$11)/($G$11-$E$11),$E$11+SQRT(U853*($G$11-$E$11)*($F$11-$E$11)),$G$11-SQRT((1-U853)*($G$11-$E$11)*($G$11-$F$11))))</f>
        <v>0.0835286801754233</v>
      </c>
      <c r="H853" s="53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-1978643665.04545</v>
      </c>
      <c r="I853" s="53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-27621090.6895653</v>
      </c>
      <c r="J853" s="53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234491449.57206</v>
      </c>
      <c r="K853" s="53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546070081.459822</v>
      </c>
      <c r="L853" s="53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665408709.595411</v>
      </c>
      <c r="M853" s="53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841231507.194837</v>
      </c>
      <c r="N853" s="53" t="n">
        <f aca="false">IF(COUNT('Business Case'!B11:G11)=0,"",H853+NPV(G853,I853:M853))</f>
        <v>-329116502.395155</v>
      </c>
      <c r="P853" s="54" t="n">
        <f aca="true">RAND()</f>
        <v>0.378101313339682</v>
      </c>
      <c r="Q853" s="54" t="n">
        <f aca="true">RAND()</f>
        <v>0.45709430330862</v>
      </c>
      <c r="R853" s="54" t="n">
        <f aca="true">RAND()</f>
        <v>0.579973374985914</v>
      </c>
      <c r="S853" s="54" t="n">
        <f aca="true">RAND()</f>
        <v>0.43599879445217</v>
      </c>
      <c r="T853" s="54" t="n">
        <f aca="true">RAND()</f>
        <v>0.103080434196361</v>
      </c>
      <c r="U853" s="54" t="n">
        <f aca="true">RAND()</f>
        <v>0.0124515837804255</v>
      </c>
    </row>
    <row r="854" customFormat="false" ht="15" hidden="false" customHeight="false" outlineLevel="0" collapsed="false">
      <c r="A854" s="50" t="n">
        <v>774</v>
      </c>
      <c r="B854" s="51" t="n">
        <f aca="false">1+IF($G$6=$E$6,$F$6,IF(P854&lt;($F$6-$E$6)/($G$6-$E$6),$E$6+SQRT(P854*($G$6-$E$6)*($F$6-$E$6)),$G$6-SQRT((1-P854)*($G$6-$E$6)*($G$6-$F$6))))</f>
        <v>0.942791271268691</v>
      </c>
      <c r="C854" s="51" t="n">
        <f aca="false">1+IF($G$7=$E$7,$F$7,IF(Q854&lt;($F$7-$E$7)/($G$7-$E$7),$E$7+SQRT(Q854*($G$7-$E$7)*($F$7-$E$7)),$G$7-SQRT((1-Q854)*($G$7-$E$7)*($G$7-$F$7))))</f>
        <v>0.972213677654174</v>
      </c>
      <c r="D854" s="51" t="n">
        <f aca="false">1+IF($G$8=$E$8,$F$8,IF(R854&lt;($F$8-$E$8)/($G$8-$E$8),$E$8+SQRT(R854*($G$8-$E$8)*($F$8-$E$8)),$G$8-SQRT((1-R854)*($G$8-$E$8)*($G$8-$F$8))))</f>
        <v>0.974009898954236</v>
      </c>
      <c r="E854" s="51" t="n">
        <f aca="false">1+IF($G$9=$E$9,$F$9,IF(S854&lt;($F$9-$E$9)/($G$9-$E$9),$E$9+SQRT(S854*($G$9-$E$9)*($F$9-$E$9)),$G$9-SQRT((1-S854)*($G$9-$E$9)*($G$9-$F$9))))</f>
        <v>1.03908931900076</v>
      </c>
      <c r="F854" s="51" t="n">
        <f aca="false">1+IF($G$10=$E$10,$F$10,IF(T854&lt;($F$10-$E$10)/($G$10-$E$10),$E$10+SQRT(T854*($G$10-$E$10)*($F$10-$E$10)),$G$10-SQRT((1-T854)*($G$10-$E$10)*($G$10-$F$10))))</f>
        <v>1.10000898533806</v>
      </c>
      <c r="G854" s="52" t="n">
        <f aca="false">IF($G$11=$E$11,$F$11,IF(U854&lt;($F$11-$E$11)/($G$11-$E$11),$E$11+SQRT(U854*($G$11-$E$11)*($F$11-$E$11)),$G$11-SQRT((1-U854)*($G$11-$E$11)*($G$11-$F$11))))</f>
        <v>0.0933931650650901</v>
      </c>
      <c r="H854" s="53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-2200017970.67612</v>
      </c>
      <c r="I854" s="53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-39279181.5141502</v>
      </c>
      <c r="J854" s="53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226717299.129577</v>
      </c>
      <c r="K854" s="53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547714229.040208</v>
      </c>
      <c r="L854" s="53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668057230.896226</v>
      </c>
      <c r="M854" s="53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842283526.590828</v>
      </c>
      <c r="N854" s="53" t="n">
        <f aca="false">IF(COUNT('Business Case'!B11:G11)=0,"",H854+NPV(G854,I854:M854))</f>
        <v>-620884808.031711</v>
      </c>
      <c r="P854" s="54" t="n">
        <f aca="true">RAND()</f>
        <v>0.122072859786049</v>
      </c>
      <c r="Q854" s="54" t="n">
        <f aca="true">RAND()</f>
        <v>0.548891009644522</v>
      </c>
      <c r="R854" s="54" t="n">
        <f aca="true">RAND()</f>
        <v>0.0768633663723484</v>
      </c>
      <c r="S854" s="54" t="n">
        <f aca="true">RAND()</f>
        <v>0.67196855574091</v>
      </c>
      <c r="T854" s="54" t="n">
        <f aca="true">RAND()</f>
        <v>0.700035940275761</v>
      </c>
      <c r="U854" s="54" t="n">
        <f aca="true">RAND()</f>
        <v>0.17937687046075</v>
      </c>
    </row>
    <row r="855" customFormat="false" ht="15" hidden="false" customHeight="false" outlineLevel="0" collapsed="false">
      <c r="A855" s="50" t="n">
        <v>775</v>
      </c>
      <c r="B855" s="51" t="n">
        <f aca="false">1+IF($G$6=$E$6,$F$6,IF(P855&lt;($F$6-$E$6)/($G$6-$E$6),$E$6+SQRT(P855*($G$6-$E$6)*($F$6-$E$6)),$G$6-SQRT((1-P855)*($G$6-$E$6)*($G$6-$F$6))))</f>
        <v>0.998037743230366</v>
      </c>
      <c r="C855" s="51" t="n">
        <f aca="false">1+IF($G$7=$E$7,$F$7,IF(Q855&lt;($F$7-$E$7)/($G$7-$E$7),$E$7+SQRT(Q855*($G$7-$E$7)*($F$7-$E$7)),$G$7-SQRT((1-Q855)*($G$7-$E$7)*($G$7-$F$7))))</f>
        <v>1.04921796913318</v>
      </c>
      <c r="D855" s="51" t="n">
        <f aca="false">1+IF($G$8=$E$8,$F$8,IF(R855&lt;($F$8-$E$8)/($G$8-$E$8),$E$8+SQRT(R855*($G$8-$E$8)*($F$8-$E$8)),$G$8-SQRT((1-R855)*($G$8-$E$8)*($G$8-$F$8))))</f>
        <v>0.99681575058409</v>
      </c>
      <c r="E855" s="51" t="n">
        <f aca="false">1+IF($G$9=$E$9,$F$9,IF(S855&lt;($F$9-$E$9)/($G$9-$E$9),$E$9+SQRT(S855*($G$9-$E$9)*($F$9-$E$9)),$G$9-SQRT((1-S855)*($G$9-$E$9)*($G$9-$F$9))))</f>
        <v>1.00948399907432</v>
      </c>
      <c r="F855" s="51" t="n">
        <f aca="false">1+IF($G$10=$E$10,$F$10,IF(T855&lt;($F$10-$E$10)/($G$10-$E$10),$E$10+SQRT(T855*($G$10-$E$10)*($F$10-$E$10)),$G$10-SQRT((1-T855)*($G$10-$E$10)*($G$10-$F$10))))</f>
        <v>1.11652290855288</v>
      </c>
      <c r="G855" s="52" t="n">
        <f aca="false">IF($G$11=$E$11,$F$11,IF(U855&lt;($F$11-$E$11)/($G$11-$E$11),$E$11+SQRT(U855*($G$11-$E$11)*($F$11-$E$11)),$G$11-SQRT((1-U855)*($G$11-$E$11)*($G$11-$F$11))))</f>
        <v>0.102826903636298</v>
      </c>
      <c r="H855" s="53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-2233045817.10576</v>
      </c>
      <c r="I855" s="53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12807728.7042218</v>
      </c>
      <c r="J855" s="53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335101102.44231</v>
      </c>
      <c r="K855" s="53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713220621.608043</v>
      </c>
      <c r="L855" s="53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856841565.86088</v>
      </c>
      <c r="M855" s="53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1055885574.06499</v>
      </c>
      <c r="N855" s="53" t="n">
        <f aca="false">IF(COUNT('Business Case'!B11:G11)=0,"",H855+NPV(G855,I855:M855))</f>
        <v>-187645372.994862</v>
      </c>
      <c r="P855" s="54" t="n">
        <f aca="true">RAND()</f>
        <v>0.640759939846876</v>
      </c>
      <c r="Q855" s="54" t="n">
        <f aca="true">RAND()</f>
        <v>0.849525663027532</v>
      </c>
      <c r="R855" s="54" t="n">
        <f aca="true">RAND()</f>
        <v>0.2922286003669</v>
      </c>
      <c r="S855" s="54" t="n">
        <f aca="true">RAND()</f>
        <v>0.473473426236097</v>
      </c>
      <c r="T855" s="54" t="n">
        <f aca="true">RAND()</f>
        <v>0.762451547450898</v>
      </c>
      <c r="U855" s="54" t="n">
        <f aca="true">RAND()</f>
        <v>0.507748556005975</v>
      </c>
    </row>
    <row r="856" customFormat="false" ht="15" hidden="false" customHeight="false" outlineLevel="0" collapsed="false">
      <c r="A856" s="50" t="n">
        <v>776</v>
      </c>
      <c r="B856" s="51" t="n">
        <f aca="false">1+IF($G$6=$E$6,$F$6,IF(P856&lt;($F$6-$E$6)/($G$6-$E$6),$E$6+SQRT(P856*($G$6-$E$6)*($F$6-$E$6)),$G$6-SQRT((1-P856)*($G$6-$E$6)*($G$6-$F$6))))</f>
        <v>0.996728215709497</v>
      </c>
      <c r="C856" s="51" t="n">
        <f aca="false">1+IF($G$7=$E$7,$F$7,IF(Q856&lt;($F$7-$E$7)/($G$7-$E$7),$E$7+SQRT(Q856*($G$7-$E$7)*($F$7-$E$7)),$G$7-SQRT((1-Q856)*($G$7-$E$7)*($G$7-$F$7))))</f>
        <v>0.908763344033318</v>
      </c>
      <c r="D856" s="51" t="n">
        <f aca="false">1+IF($G$8=$E$8,$F$8,IF(R856&lt;($F$8-$E$8)/($G$8-$E$8),$E$8+SQRT(R856*($G$8-$E$8)*($F$8-$E$8)),$G$8-SQRT((1-R856)*($G$8-$E$8)*($G$8-$F$8))))</f>
        <v>1.00570070563774</v>
      </c>
      <c r="E856" s="51" t="n">
        <f aca="false">1+IF($G$9=$E$9,$F$9,IF(S856&lt;($F$9-$E$9)/($G$9-$E$9),$E$9+SQRT(S856*($G$9-$E$9)*($F$9-$E$9)),$G$9-SQRT((1-S856)*($G$9-$E$9)*($G$9-$F$9))))</f>
        <v>0.973223856125388</v>
      </c>
      <c r="F856" s="51" t="n">
        <f aca="false">1+IF($G$10=$E$10,$F$10,IF(T856&lt;($F$10-$E$10)/($G$10-$E$10),$E$10+SQRT(T856*($G$10-$E$10)*($F$10-$E$10)),$G$10-SQRT((1-T856)*($G$10-$E$10)*($G$10-$F$10))))</f>
        <v>0.971437110575789</v>
      </c>
      <c r="G856" s="52" t="n">
        <f aca="false">IF($G$11=$E$11,$F$11,IF(U856&lt;($F$11-$E$11)/($G$11-$E$11),$E$11+SQRT(U856*($G$11-$E$11)*($F$11-$E$11)),$G$11-SQRT((1-U856)*($G$11-$E$11)*($G$11-$F$11))))</f>
        <v>0.106844323705957</v>
      </c>
      <c r="H856" s="53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-1942874221.15158</v>
      </c>
      <c r="I856" s="53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-8451199.0713255</v>
      </c>
      <c r="J856" s="53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265589902.298161</v>
      </c>
      <c r="K856" s="53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588202859.196438</v>
      </c>
      <c r="L856" s="53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710853997.681069</v>
      </c>
      <c r="M856" s="53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883026573.502481</v>
      </c>
      <c r="N856" s="53" t="n">
        <f aca="false">IF(COUNT('Business Case'!B11:G11)=0,"",H856+NPV(G856,I856:M856))</f>
        <v>-294771179.534762</v>
      </c>
      <c r="P856" s="54" t="n">
        <f aca="true">RAND()</f>
        <v>0.623756514289533</v>
      </c>
      <c r="Q856" s="54" t="n">
        <f aca="true">RAND()</f>
        <v>0.322830620829434</v>
      </c>
      <c r="R856" s="54" t="n">
        <f aca="true">RAND()</f>
        <v>0.407176205518592</v>
      </c>
      <c r="S856" s="54" t="n">
        <f aca="true">RAND()</f>
        <v>0.214469324234862</v>
      </c>
      <c r="T856" s="54" t="n">
        <f aca="true">RAND()</f>
        <v>0.030636647322573</v>
      </c>
      <c r="U856" s="54" t="n">
        <f aca="true">RAND()</f>
        <v>0.642543103577004</v>
      </c>
    </row>
    <row r="857" customFormat="false" ht="15" hidden="false" customHeight="false" outlineLevel="0" collapsed="false">
      <c r="A857" s="50" t="n">
        <v>777</v>
      </c>
      <c r="B857" s="51" t="n">
        <f aca="false">1+IF($G$6=$E$6,$F$6,IF(P857&lt;($F$6-$E$6)/($G$6-$E$6),$E$6+SQRT(P857*($G$6-$E$6)*($F$6-$E$6)),$G$6-SQRT((1-P857)*($G$6-$E$6)*($G$6-$F$6))))</f>
        <v>0.946967094320864</v>
      </c>
      <c r="C857" s="51" t="n">
        <f aca="false">1+IF($G$7=$E$7,$F$7,IF(Q857&lt;($F$7-$E$7)/($G$7-$E$7),$E$7+SQRT(Q857*($G$7-$E$7)*($F$7-$E$7)),$G$7-SQRT((1-Q857)*($G$7-$E$7)*($G$7-$F$7))))</f>
        <v>0.839517566501588</v>
      </c>
      <c r="D857" s="51" t="n">
        <f aca="false">1+IF($G$8=$E$8,$F$8,IF(R857&lt;($F$8-$E$8)/($G$8-$E$8),$E$8+SQRT(R857*($G$8-$E$8)*($F$8-$E$8)),$G$8-SQRT((1-R857)*($G$8-$E$8)*($G$8-$F$8))))</f>
        <v>1.04059637001926</v>
      </c>
      <c r="E857" s="51" t="n">
        <f aca="false">1+IF($G$9=$E$9,$F$9,IF(S857&lt;($F$9-$E$9)/($G$9-$E$9),$E$9+SQRT(S857*($G$9-$E$9)*($F$9-$E$9)),$G$9-SQRT((1-S857)*($G$9-$E$9)*($G$9-$F$9))))</f>
        <v>1.01946119119179</v>
      </c>
      <c r="F857" s="51" t="n">
        <f aca="false">1+IF($G$10=$E$10,$F$10,IF(T857&lt;($F$10-$E$10)/($G$10-$E$10),$E$10+SQRT(T857*($G$10-$E$10)*($F$10-$E$10)),$G$10-SQRT((1-T857)*($G$10-$E$10)*($G$10-$F$10))))</f>
        <v>1.05162798582509</v>
      </c>
      <c r="G857" s="52" t="n">
        <f aca="false">IF($G$11=$E$11,$F$11,IF(U857&lt;($F$11-$E$11)/($G$11-$E$11),$E$11+SQRT(U857*($G$11-$E$11)*($F$11-$E$11)),$G$11-SQRT((1-U857)*($G$11-$E$11)*($G$11-$F$11))))</f>
        <v>0.106189171294212</v>
      </c>
      <c r="H857" s="53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-2103255971.65018</v>
      </c>
      <c r="I857" s="53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-87396949.802771</v>
      </c>
      <c r="J857" s="53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116548847.632976</v>
      </c>
      <c r="K857" s="53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373076044.359977</v>
      </c>
      <c r="L857" s="53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468533021.68425</v>
      </c>
      <c r="M857" s="53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619645768.33555</v>
      </c>
      <c r="N857" s="53" t="n">
        <f aca="false">IF(COUNT('Business Case'!B11:G11)=0,"",H857+NPV(G857,I857:M857))</f>
        <v>-1124377851.69664</v>
      </c>
      <c r="P857" s="54" t="n">
        <f aca="true">RAND()</f>
        <v>0.14706052992966</v>
      </c>
      <c r="Q857" s="54" t="n">
        <f aca="true">RAND()</f>
        <v>0.144186306389073</v>
      </c>
      <c r="R857" s="54" t="n">
        <f aca="true">RAND()</f>
        <v>0.76474724967412</v>
      </c>
      <c r="S857" s="54" t="n">
        <f aca="true">RAND()</f>
        <v>0.545589850531558</v>
      </c>
      <c r="T857" s="54" t="n">
        <f aca="true">RAND()</f>
        <v>0.475313919895861</v>
      </c>
      <c r="U857" s="54" t="n">
        <f aca="true">RAND()</f>
        <v>0.622029624229079</v>
      </c>
    </row>
    <row r="858" customFormat="false" ht="15" hidden="false" customHeight="false" outlineLevel="0" collapsed="false">
      <c r="A858" s="50" t="n">
        <v>778</v>
      </c>
      <c r="B858" s="51" t="n">
        <f aca="false">1+IF($G$6=$E$6,$F$6,IF(P858&lt;($F$6-$E$6)/($G$6-$E$6),$E$6+SQRT(P858*($G$6-$E$6)*($F$6-$E$6)),$G$6-SQRT((1-P858)*($G$6-$E$6)*($G$6-$F$6))))</f>
        <v>1.01941494266051</v>
      </c>
      <c r="C858" s="51" t="n">
        <f aca="false">1+IF($G$7=$E$7,$F$7,IF(Q858&lt;($F$7-$E$7)/($G$7-$E$7),$E$7+SQRT(Q858*($G$7-$E$7)*($F$7-$E$7)),$G$7-SQRT((1-Q858)*($G$7-$E$7)*($G$7-$F$7))))</f>
        <v>0.963891494588451</v>
      </c>
      <c r="D858" s="51" t="n">
        <f aca="false">1+IF($G$8=$E$8,$F$8,IF(R858&lt;($F$8-$E$8)/($G$8-$E$8),$E$8+SQRT(R858*($G$8-$E$8)*($F$8-$E$8)),$G$8-SQRT((1-R858)*($G$8-$E$8)*($G$8-$F$8))))</f>
        <v>1.01301945979911</v>
      </c>
      <c r="E858" s="51" t="n">
        <f aca="false">1+IF($G$9=$E$9,$F$9,IF(S858&lt;($F$9-$E$9)/($G$9-$E$9),$E$9+SQRT(S858*($G$9-$E$9)*($F$9-$E$9)),$G$9-SQRT((1-S858)*($G$9-$E$9)*($G$9-$F$9))))</f>
        <v>0.992700481567351</v>
      </c>
      <c r="F858" s="51" t="n">
        <f aca="false">1+IF($G$10=$E$10,$F$10,IF(T858&lt;($F$10-$E$10)/($G$10-$E$10),$E$10+SQRT(T858*($G$10-$E$10)*($F$10-$E$10)),$G$10-SQRT((1-T858)*($G$10-$E$10)*($G$10-$F$10))))</f>
        <v>1.05297084548923</v>
      </c>
      <c r="G858" s="52" t="n">
        <f aca="false">IF($G$11=$E$11,$F$11,IF(U858&lt;($F$11-$E$11)/($G$11-$E$11),$E$11+SQRT(U858*($G$11-$E$11)*($F$11-$E$11)),$G$11-SQRT((1-U858)*($G$11-$E$11)*($G$11-$F$11))))</f>
        <v>0.121745255079718</v>
      </c>
      <c r="H858" s="53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-2105941690.97847</v>
      </c>
      <c r="I858" s="53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7567612.21108884</v>
      </c>
      <c r="J858" s="53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312532581.006864</v>
      </c>
      <c r="K858" s="53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670146092.077101</v>
      </c>
      <c r="L858" s="53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805759924.04695</v>
      </c>
      <c r="M858" s="53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992533557.088863</v>
      </c>
      <c r="N858" s="53" t="n">
        <f aca="false">IF(COUNT('Business Case'!B11:G11)=0,"",H858+NPV(G858,I858:M858))</f>
        <v>-308328948.652146</v>
      </c>
      <c r="P858" s="54" t="n">
        <f aca="true">RAND()</f>
        <v>0.875273902338643</v>
      </c>
      <c r="Q858" s="54" t="n">
        <f aca="true">RAND()</f>
        <v>0.515842377156492</v>
      </c>
      <c r="R858" s="54" t="n">
        <f aca="true">RAND()</f>
        <v>0.495625708424041</v>
      </c>
      <c r="S858" s="54" t="n">
        <f aca="true">RAND()</f>
        <v>0.343735171312747</v>
      </c>
      <c r="T858" s="54" t="n">
        <f aca="true">RAND()</f>
        <v>0.482393496970307</v>
      </c>
      <c r="U858" s="54" t="n">
        <f aca="true">RAND()</f>
        <v>0.954572790867391</v>
      </c>
    </row>
    <row r="859" customFormat="false" ht="15" hidden="false" customHeight="false" outlineLevel="0" collapsed="false">
      <c r="A859" s="50" t="n">
        <v>779</v>
      </c>
      <c r="B859" s="51" t="n">
        <f aca="false">1+IF($G$6=$E$6,$F$6,IF(P859&lt;($F$6-$E$6)/($G$6-$E$6),$E$6+SQRT(P859*($G$6-$E$6)*($F$6-$E$6)),$G$6-SQRT((1-P859)*($G$6-$E$6)*($G$6-$F$6))))</f>
        <v>1.00746381473995</v>
      </c>
      <c r="C859" s="51" t="n">
        <f aca="false">1+IF($G$7=$E$7,$F$7,IF(Q859&lt;($F$7-$E$7)/($G$7-$E$7),$E$7+SQRT(Q859*($G$7-$E$7)*($F$7-$E$7)),$G$7-SQRT((1-Q859)*($G$7-$E$7)*($G$7-$F$7))))</f>
        <v>0.920348513023221</v>
      </c>
      <c r="D859" s="51" t="n">
        <f aca="false">1+IF($G$8=$E$8,$F$8,IF(R859&lt;($F$8-$E$8)/($G$8-$E$8),$E$8+SQRT(R859*($G$8-$E$8)*($F$8-$E$8)),$G$8-SQRT((1-R859)*($G$8-$E$8)*($G$8-$F$8))))</f>
        <v>1.03211038360068</v>
      </c>
      <c r="E859" s="51" t="n">
        <f aca="false">1+IF($G$9=$E$9,$F$9,IF(S859&lt;($F$9-$E$9)/($G$9-$E$9),$E$9+SQRT(S859*($G$9-$E$9)*($F$9-$E$9)),$G$9-SQRT((1-S859)*($G$9-$E$9)*($G$9-$F$9))))</f>
        <v>1.02708595281221</v>
      </c>
      <c r="F859" s="51" t="n">
        <f aca="false">1+IF($G$10=$E$10,$F$10,IF(T859&lt;($F$10-$E$10)/($G$10-$E$10),$E$10+SQRT(T859*($G$10-$E$10)*($F$10-$E$10)),$G$10-SQRT((1-T859)*($G$10-$E$10)*($G$10-$F$10))))</f>
        <v>1.0146062938512</v>
      </c>
      <c r="G859" s="52" t="n">
        <f aca="false">IF($G$11=$E$11,$F$11,IF(U859&lt;($F$11-$E$11)/($G$11-$E$11),$E$11+SQRT(U859*($G$11-$E$11)*($F$11-$E$11)),$G$11-SQRT((1-U859)*($G$11-$E$11)*($G$11-$F$11))))</f>
        <v>0.106064749201263</v>
      </c>
      <c r="H859" s="53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-2029212587.70241</v>
      </c>
      <c r="I859" s="53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-22394517.8621622</v>
      </c>
      <c r="J859" s="53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250790188.137553</v>
      </c>
      <c r="K859" s="53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574705208.829829</v>
      </c>
      <c r="L859" s="53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697811425.487641</v>
      </c>
      <c r="M859" s="53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874056989.439463</v>
      </c>
      <c r="N859" s="53" t="n">
        <f aca="false">IF(COUNT('Business Case'!B11:G11)=0,"",H859+NPV(G859,I859:M859))</f>
        <v>-425490407.814633</v>
      </c>
      <c r="P859" s="54" t="n">
        <f aca="true">RAND()</f>
        <v>0.758756392469698</v>
      </c>
      <c r="Q859" s="54" t="n">
        <f aca="true">RAND()</f>
        <v>0.35965531252996</v>
      </c>
      <c r="R859" s="54" t="n">
        <f aca="true">RAND()</f>
        <v>0.692733332343559</v>
      </c>
      <c r="S859" s="54" t="n">
        <f aca="true">RAND()</f>
        <v>0.597123653437826</v>
      </c>
      <c r="T859" s="54" t="n">
        <f aca="true">RAND()</f>
        <v>0.26119737474045</v>
      </c>
      <c r="U859" s="54" t="n">
        <f aca="true">RAND()</f>
        <v>0.618069179467703</v>
      </c>
    </row>
    <row r="860" customFormat="false" ht="15" hidden="false" customHeight="false" outlineLevel="0" collapsed="false">
      <c r="A860" s="50" t="n">
        <v>780</v>
      </c>
      <c r="B860" s="51" t="n">
        <f aca="false">1+IF($G$6=$E$6,$F$6,IF(P860&lt;($F$6-$E$6)/($G$6-$E$6),$E$6+SQRT(P860*($G$6-$E$6)*($F$6-$E$6)),$G$6-SQRT((1-P860)*($G$6-$E$6)*($G$6-$F$6))))</f>
        <v>0.9978580128703</v>
      </c>
      <c r="C860" s="51" t="n">
        <f aca="false">1+IF($G$7=$E$7,$F$7,IF(Q860&lt;($F$7-$E$7)/($G$7-$E$7),$E$7+SQRT(Q860*($G$7-$E$7)*($F$7-$E$7)),$G$7-SQRT((1-Q860)*($G$7-$E$7)*($G$7-$F$7))))</f>
        <v>0.932693926656456</v>
      </c>
      <c r="D860" s="51" t="n">
        <f aca="false">1+IF($G$8=$E$8,$F$8,IF(R860&lt;($F$8-$E$8)/($G$8-$E$8),$E$8+SQRT(R860*($G$8-$E$8)*($F$8-$E$8)),$G$8-SQRT((1-R860)*($G$8-$E$8)*($G$8-$F$8))))</f>
        <v>1.00548653956727</v>
      </c>
      <c r="E860" s="51" t="n">
        <f aca="false">1+IF($G$9=$E$9,$F$9,IF(S860&lt;($F$9-$E$9)/($G$9-$E$9),$E$9+SQRT(S860*($G$9-$E$9)*($F$9-$E$9)),$G$9-SQRT((1-S860)*($G$9-$E$9)*($G$9-$F$9))))</f>
        <v>0.949159507919688</v>
      </c>
      <c r="F860" s="51" t="n">
        <f aca="false">1+IF($G$10=$E$10,$F$10,IF(T860&lt;($F$10-$E$10)/($G$10-$E$10),$E$10+SQRT(T860*($G$10-$E$10)*($F$10-$E$10)),$G$10-SQRT((1-T860)*($G$10-$E$10)*($G$10-$F$10))))</f>
        <v>1.03407272278647</v>
      </c>
      <c r="G860" s="52" t="n">
        <f aca="false">IF($G$11=$E$11,$F$11,IF(U860&lt;($F$11-$E$11)/($G$11-$E$11),$E$11+SQRT(U860*($G$11-$E$11)*($F$11-$E$11)),$G$11-SQRT((1-U860)*($G$11-$E$11)*($G$11-$F$11))))</f>
        <v>0.0992769458081329</v>
      </c>
      <c r="H860" s="53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-2068145445.57295</v>
      </c>
      <c r="I860" s="53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-4402221.52988878</v>
      </c>
      <c r="J860" s="53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277820597.497746</v>
      </c>
      <c r="K860" s="53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611747052.664704</v>
      </c>
      <c r="L860" s="53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737986183.175714</v>
      </c>
      <c r="M860" s="53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914892899.435601</v>
      </c>
      <c r="N860" s="53" t="n">
        <f aca="false">IF(COUNT('Business Case'!B11:G11)=0,"",H860+NPV(G860,I860:M860))</f>
        <v>-306392779.449835</v>
      </c>
      <c r="P860" s="54" t="n">
        <f aca="true">RAND()</f>
        <v>0.638412712194923</v>
      </c>
      <c r="Q860" s="54" t="n">
        <f aca="true">RAND()</f>
        <v>0.401084914835556</v>
      </c>
      <c r="R860" s="54" t="n">
        <f aca="true">RAND()</f>
        <v>0.404480386468669</v>
      </c>
      <c r="S860" s="54" t="n">
        <f aca="true">RAND()</f>
        <v>0.0966662887562364</v>
      </c>
      <c r="T860" s="54" t="n">
        <f aca="true">RAND()</f>
        <v>0.378338812735373</v>
      </c>
      <c r="U860" s="54" t="n">
        <f aca="true">RAND()</f>
        <v>0.371600639689694</v>
      </c>
    </row>
    <row r="861" customFormat="false" ht="15" hidden="false" customHeight="false" outlineLevel="0" collapsed="false">
      <c r="A861" s="50" t="n">
        <v>781</v>
      </c>
      <c r="B861" s="51" t="n">
        <f aca="false">1+IF($G$6=$E$6,$F$6,IF(P861&lt;($F$6-$E$6)/($G$6-$E$6),$E$6+SQRT(P861*($G$6-$E$6)*($F$6-$E$6)),$G$6-SQRT((1-P861)*($G$6-$E$6)*($G$6-$F$6))))</f>
        <v>1.00634748072036</v>
      </c>
      <c r="C861" s="51" t="n">
        <f aca="false">1+IF($G$7=$E$7,$F$7,IF(Q861&lt;($F$7-$E$7)/($G$7-$E$7),$E$7+SQRT(Q861*($G$7-$E$7)*($F$7-$E$7)),$G$7-SQRT((1-Q861)*($G$7-$E$7)*($G$7-$F$7))))</f>
        <v>1.06551388821058</v>
      </c>
      <c r="D861" s="51" t="n">
        <f aca="false">1+IF($G$8=$E$8,$F$8,IF(R861&lt;($F$8-$E$8)/($G$8-$E$8),$E$8+SQRT(R861*($G$8-$E$8)*($F$8-$E$8)),$G$8-SQRT((1-R861)*($G$8-$E$8)*($G$8-$F$8))))</f>
        <v>1.03467960924724</v>
      </c>
      <c r="E861" s="51" t="n">
        <f aca="false">1+IF($G$9=$E$9,$F$9,IF(S861&lt;($F$9-$E$9)/($G$9-$E$9),$E$9+SQRT(S861*($G$9-$E$9)*($F$9-$E$9)),$G$9-SQRT((1-S861)*($G$9-$E$9)*($G$9-$F$9))))</f>
        <v>1.06887494590742</v>
      </c>
      <c r="F861" s="51" t="n">
        <f aca="false">1+IF($G$10=$E$10,$F$10,IF(T861&lt;($F$10-$E$10)/($G$10-$E$10),$E$10+SQRT(T861*($G$10-$E$10)*($F$10-$E$10)),$G$10-SQRT((1-T861)*($G$10-$E$10)*($G$10-$F$10))))</f>
        <v>0.989874407367918</v>
      </c>
      <c r="G861" s="52" t="n">
        <f aca="false">IF($G$11=$E$11,$F$11,IF(U861&lt;($F$11-$E$11)/($G$11-$E$11),$E$11+SQRT(U861*($G$11-$E$11)*($F$11-$E$11)),$G$11-SQRT((1-U861)*($G$11-$E$11)*($G$11-$F$11))))</f>
        <v>0.102359898080932</v>
      </c>
      <c r="H861" s="53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-1979748814.73584</v>
      </c>
      <c r="I861" s="53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7329800.33157744</v>
      </c>
      <c r="J861" s="53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321227909.641061</v>
      </c>
      <c r="K861" s="53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684619739.318939</v>
      </c>
      <c r="L861" s="53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826310343.044152</v>
      </c>
      <c r="M861" s="53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1030128796.46544</v>
      </c>
      <c r="N861" s="53" t="n">
        <f aca="false">IF(COUNT('Business Case'!B11:G11)=0,"",H861+NPV(G861,I861:M861))</f>
        <v>-5313411.84425664</v>
      </c>
      <c r="P861" s="54" t="n">
        <f aca="true">RAND()</f>
        <v>0.745927674738703</v>
      </c>
      <c r="Q861" s="54" t="n">
        <f aca="true">RAND()</f>
        <v>0.894253287625259</v>
      </c>
      <c r="R861" s="54" t="n">
        <f aca="true">RAND()</f>
        <v>0.715549770127145</v>
      </c>
      <c r="S861" s="54" t="n">
        <f aca="true">RAND()</f>
        <v>0.824499349292713</v>
      </c>
      <c r="T861" s="54" t="n">
        <f aca="true">RAND()</f>
        <v>0.105997890862842</v>
      </c>
      <c r="U861" s="54" t="n">
        <f aca="true">RAND()</f>
        <v>0.490683177269017</v>
      </c>
    </row>
    <row r="862" customFormat="false" ht="15" hidden="false" customHeight="false" outlineLevel="0" collapsed="false">
      <c r="A862" s="50" t="n">
        <v>782</v>
      </c>
      <c r="B862" s="51" t="n">
        <f aca="false">1+IF($G$6=$E$6,$F$6,IF(P862&lt;($F$6-$E$6)/($G$6-$E$6),$E$6+SQRT(P862*($G$6-$E$6)*($F$6-$E$6)),$G$6-SQRT((1-P862)*($G$6-$E$6)*($G$6-$F$6))))</f>
        <v>0.969364998669108</v>
      </c>
      <c r="C862" s="51" t="n">
        <f aca="false">1+IF($G$7=$E$7,$F$7,IF(Q862&lt;($F$7-$E$7)/($G$7-$E$7),$E$7+SQRT(Q862*($G$7-$E$7)*($F$7-$E$7)),$G$7-SQRT((1-Q862)*($G$7-$E$7)*($G$7-$F$7))))</f>
        <v>0.971743511210659</v>
      </c>
      <c r="D862" s="51" t="n">
        <f aca="false">1+IF($G$8=$E$8,$F$8,IF(R862&lt;($F$8-$E$8)/($G$8-$E$8),$E$8+SQRT(R862*($G$8-$E$8)*($F$8-$E$8)),$G$8-SQRT((1-R862)*($G$8-$E$8)*($G$8-$F$8))))</f>
        <v>0.96807046597074</v>
      </c>
      <c r="E862" s="51" t="n">
        <f aca="false">1+IF($G$9=$E$9,$F$9,IF(S862&lt;($F$9-$E$9)/($G$9-$E$9),$E$9+SQRT(S862*($G$9-$E$9)*($F$9-$E$9)),$G$9-SQRT((1-S862)*($G$9-$E$9)*($G$9-$F$9))))</f>
        <v>1.0948726293572</v>
      </c>
      <c r="F862" s="51" t="n">
        <f aca="false">1+IF($G$10=$E$10,$F$10,IF(T862&lt;($F$10-$E$10)/($G$10-$E$10),$E$10+SQRT(T862*($G$10-$E$10)*($F$10-$E$10)),$G$10-SQRT((1-T862)*($G$10-$E$10)*($G$10-$F$10))))</f>
        <v>1.03905166702416</v>
      </c>
      <c r="G862" s="52" t="n">
        <f aca="false">IF($G$11=$E$11,$F$11,IF(U862&lt;($F$11-$E$11)/($G$11-$E$11),$E$11+SQRT(U862*($G$11-$E$11)*($F$11-$E$11)),$G$11-SQRT((1-U862)*($G$11-$E$11)*($G$11-$F$11))))</f>
        <v>0.114152460741461</v>
      </c>
      <c r="H862" s="53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-2078103334.04832</v>
      </c>
      <c r="I862" s="53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-18454779.3793487</v>
      </c>
      <c r="J862" s="53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271518435.642195</v>
      </c>
      <c r="K862" s="53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613444234.014947</v>
      </c>
      <c r="L862" s="53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742656598.891383</v>
      </c>
      <c r="M862" s="53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921707044.838951</v>
      </c>
      <c r="N862" s="53" t="n">
        <f aca="false">IF(COUNT('Business Case'!B11:G11)=0,"",H862+NPV(G862,I862:M862))</f>
        <v>-413558624.511108</v>
      </c>
      <c r="P862" s="54" t="n">
        <f aca="true">RAND()</f>
        <v>0.320766869357692</v>
      </c>
      <c r="Q862" s="54" t="n">
        <f aca="true">RAND()</f>
        <v>0.546996562111832</v>
      </c>
      <c r="R862" s="54" t="n">
        <f aca="true">RAND()</f>
        <v>0.0435388987199581</v>
      </c>
      <c r="S862" s="54" t="n">
        <f aca="true">RAND()</f>
        <v>0.918959280160307</v>
      </c>
      <c r="T862" s="54" t="n">
        <f aca="true">RAND()</f>
        <v>0.406677344196193</v>
      </c>
      <c r="U862" s="54" t="n">
        <f aca="true">RAND()</f>
        <v>0.832570332966042</v>
      </c>
    </row>
    <row r="863" customFormat="false" ht="15" hidden="false" customHeight="false" outlineLevel="0" collapsed="false">
      <c r="A863" s="50" t="n">
        <v>783</v>
      </c>
      <c r="B863" s="51" t="n">
        <f aca="false">1+IF($G$6=$E$6,$F$6,IF(P863&lt;($F$6-$E$6)/($G$6-$E$6),$E$6+SQRT(P863*($G$6-$E$6)*($F$6-$E$6)),$G$6-SQRT((1-P863)*($G$6-$E$6)*($G$6-$F$6))))</f>
        <v>0.921371721999885</v>
      </c>
      <c r="C863" s="51" t="n">
        <f aca="false">1+IF($G$7=$E$7,$F$7,IF(Q863&lt;($F$7-$E$7)/($G$7-$E$7),$E$7+SQRT(Q863*($G$7-$E$7)*($F$7-$E$7)),$G$7-SQRT((1-Q863)*($G$7-$E$7)*($G$7-$F$7))))</f>
        <v>1.09018181982962</v>
      </c>
      <c r="D863" s="51" t="n">
        <f aca="false">1+IF($G$8=$E$8,$F$8,IF(R863&lt;($F$8-$E$8)/($G$8-$E$8),$E$8+SQRT(R863*($G$8-$E$8)*($F$8-$E$8)),$G$8-SQRT((1-R863)*($G$8-$E$8)*($G$8-$F$8))))</f>
        <v>1.03062027416071</v>
      </c>
      <c r="E863" s="51" t="n">
        <f aca="false">1+IF($G$9=$E$9,$F$9,IF(S863&lt;($F$9-$E$9)/($G$9-$E$9),$E$9+SQRT(S863*($G$9-$E$9)*($F$9-$E$9)),$G$9-SQRT((1-S863)*($G$9-$E$9)*($G$9-$F$9))))</f>
        <v>1.00800312168457</v>
      </c>
      <c r="F863" s="51" t="n">
        <f aca="false">1+IF($G$10=$E$10,$F$10,IF(T863&lt;($F$10-$E$10)/($G$10-$E$10),$E$10+SQRT(T863*($G$10-$E$10)*($F$10-$E$10)),$G$10-SQRT((1-T863)*($G$10-$E$10)*($G$10-$F$10))))</f>
        <v>1.02242819680967</v>
      </c>
      <c r="G863" s="52" t="n">
        <f aca="false">IF($G$11=$E$11,$F$11,IF(U863&lt;($F$11-$E$11)/($G$11-$E$11),$E$11+SQRT(U863*($G$11-$E$11)*($F$11-$E$11)),$G$11-SQRT((1-U863)*($G$11-$E$11)*($G$11-$F$11))))</f>
        <v>0.10396000730506</v>
      </c>
      <c r="H863" s="53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-2044856393.61935</v>
      </c>
      <c r="I863" s="53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-50099556.627712</v>
      </c>
      <c r="J863" s="53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197453096.729717</v>
      </c>
      <c r="K863" s="53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496127159.927629</v>
      </c>
      <c r="L863" s="53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613358941.980523</v>
      </c>
      <c r="M863" s="53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804287212.116157</v>
      </c>
      <c r="N863" s="53" t="n">
        <f aca="false">IF(COUNT('Business Case'!B11:G11)=0,"",H863+NPV(G863,I863:M863))</f>
        <v>-656011669.054201</v>
      </c>
      <c r="P863" s="54" t="n">
        <f aca="true">RAND()</f>
        <v>0.0304500334160244</v>
      </c>
      <c r="Q863" s="54" t="n">
        <f aca="true">RAND()</f>
        <v>0.946989412164498</v>
      </c>
      <c r="R863" s="54" t="n">
        <f aca="true">RAND()</f>
        <v>0.679096909497653</v>
      </c>
      <c r="S863" s="54" t="n">
        <f aca="true">RAND()</f>
        <v>0.462316974631297</v>
      </c>
      <c r="T863" s="54" t="n">
        <f aca="true">RAND()</f>
        <v>0.309480991902705</v>
      </c>
      <c r="U863" s="54" t="n">
        <f aca="true">RAND()</f>
        <v>0.547945853631662</v>
      </c>
    </row>
    <row r="864" customFormat="false" ht="15" hidden="false" customHeight="false" outlineLevel="0" collapsed="false">
      <c r="A864" s="50" t="n">
        <v>784</v>
      </c>
      <c r="B864" s="51" t="n">
        <f aca="false">1+IF($G$6=$E$6,$F$6,IF(P864&lt;($F$6-$E$6)/($G$6-$E$6),$E$6+SQRT(P864*($G$6-$E$6)*($F$6-$E$6)),$G$6-SQRT((1-P864)*($G$6-$E$6)*($G$6-$F$6))))</f>
        <v>0.98134388345054</v>
      </c>
      <c r="C864" s="51" t="n">
        <f aca="false">1+IF($G$7=$E$7,$F$7,IF(Q864&lt;($F$7-$E$7)/($G$7-$E$7),$E$7+SQRT(Q864*($G$7-$E$7)*($F$7-$E$7)),$G$7-SQRT((1-Q864)*($G$7-$E$7)*($G$7-$F$7))))</f>
        <v>0.951422209772959</v>
      </c>
      <c r="D864" s="51" t="n">
        <f aca="false">1+IF($G$8=$E$8,$F$8,IF(R864&lt;($F$8-$E$8)/($G$8-$E$8),$E$8+SQRT(R864*($G$8-$E$8)*($F$8-$E$8)),$G$8-SQRT((1-R864)*($G$8-$E$8)*($G$8-$F$8))))</f>
        <v>1.06930379788651</v>
      </c>
      <c r="E864" s="51" t="n">
        <f aca="false">1+IF($G$9=$E$9,$F$9,IF(S864&lt;($F$9-$E$9)/($G$9-$E$9),$E$9+SQRT(S864*($G$9-$E$9)*($F$9-$E$9)),$G$9-SQRT((1-S864)*($G$9-$E$9)*($G$9-$F$9))))</f>
        <v>0.998429048088801</v>
      </c>
      <c r="F864" s="51" t="n">
        <f aca="false">1+IF($G$10=$E$10,$F$10,IF(T864&lt;($F$10-$E$10)/($G$10-$E$10),$E$10+SQRT(T864*($G$10-$E$10)*($F$10-$E$10)),$G$10-SQRT((1-T864)*($G$10-$E$10)*($G$10-$F$10))))</f>
        <v>1.08001099169488</v>
      </c>
      <c r="G864" s="52" t="n">
        <f aca="false">IF($G$11=$E$11,$F$11,IF(U864&lt;($F$11-$E$11)/($G$11-$E$11),$E$11+SQRT(U864*($G$11-$E$11)*($F$11-$E$11)),$G$11-SQRT((1-U864)*($G$11-$E$11)*($G$11-$F$11))))</f>
        <v>0.118118983124887</v>
      </c>
      <c r="H864" s="53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-2160021983.38975</v>
      </c>
      <c r="I864" s="53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-54441007.9785924</v>
      </c>
      <c r="J864" s="53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189497269.311212</v>
      </c>
      <c r="K864" s="53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487436096.18576</v>
      </c>
      <c r="L864" s="53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601016572.256149</v>
      </c>
      <c r="M864" s="53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778489015.611982</v>
      </c>
      <c r="N864" s="53" t="n">
        <f aca="false">IF(COUNT('Business Case'!B11:G11)=0,"",H864+NPV(G864,I864:M864))</f>
        <v>-878438256.200646</v>
      </c>
      <c r="P864" s="54" t="n">
        <f aca="true">RAND()</f>
        <v>0.441121824987668</v>
      </c>
      <c r="Q864" s="54" t="n">
        <f aca="true">RAND()</f>
        <v>0.468245389386058</v>
      </c>
      <c r="R864" s="54" t="n">
        <f aca="true">RAND()</f>
        <v>0.937182878387201</v>
      </c>
      <c r="S864" s="54" t="n">
        <f aca="true">RAND()</f>
        <v>0.387531100306702</v>
      </c>
      <c r="T864" s="54" t="n">
        <f aca="true">RAND()</f>
        <v>0.614716494072542</v>
      </c>
      <c r="U864" s="54" t="n">
        <f aca="true">RAND()</f>
        <v>0.905894292008854</v>
      </c>
    </row>
    <row r="865" customFormat="false" ht="15" hidden="false" customHeight="false" outlineLevel="0" collapsed="false">
      <c r="A865" s="50" t="n">
        <v>785</v>
      </c>
      <c r="B865" s="51" t="n">
        <f aca="false">1+IF($G$6=$E$6,$F$6,IF(P865&lt;($F$6-$E$6)/($G$6-$E$6),$E$6+SQRT(P865*($G$6-$E$6)*($F$6-$E$6)),$G$6-SQRT((1-P865)*($G$6-$E$6)*($G$6-$F$6))))</f>
        <v>0.966457085320817</v>
      </c>
      <c r="C865" s="51" t="n">
        <f aca="false">1+IF($G$7=$E$7,$F$7,IF(Q865&lt;($F$7-$E$7)/($G$7-$E$7),$E$7+SQRT(Q865*($G$7-$E$7)*($F$7-$E$7)),$G$7-SQRT((1-Q865)*($G$7-$E$7)*($G$7-$F$7))))</f>
        <v>0.770603795118626</v>
      </c>
      <c r="D865" s="51" t="n">
        <f aca="false">1+IF($G$8=$E$8,$F$8,IF(R865&lt;($F$8-$E$8)/($G$8-$E$8),$E$8+SQRT(R865*($G$8-$E$8)*($F$8-$E$8)),$G$8-SQRT((1-R865)*($G$8-$E$8)*($G$8-$F$8))))</f>
        <v>0.967222294987115</v>
      </c>
      <c r="E865" s="51" t="n">
        <f aca="false">1+IF($G$9=$E$9,$F$9,IF(S865&lt;($F$9-$E$9)/($G$9-$E$9),$E$9+SQRT(S865*($G$9-$E$9)*($F$9-$E$9)),$G$9-SQRT((1-S865)*($G$9-$E$9)*($G$9-$F$9))))</f>
        <v>1.11056668828245</v>
      </c>
      <c r="F865" s="51" t="n">
        <f aca="false">1+IF($G$10=$E$10,$F$10,IF(T865&lt;($F$10-$E$10)/($G$10-$E$10),$E$10+SQRT(T865*($G$10-$E$10)*($F$10-$E$10)),$G$10-SQRT((1-T865)*($G$10-$E$10)*($G$10-$F$10))))</f>
        <v>0.978964713542575</v>
      </c>
      <c r="G865" s="52" t="n">
        <f aca="false">IF($G$11=$E$11,$F$11,IF(U865&lt;($F$11-$E$11)/($G$11-$E$11),$E$11+SQRT(U865*($G$11-$E$11)*($F$11-$E$11)),$G$11-SQRT((1-U865)*($G$11-$E$11)*($G$11-$F$11))))</f>
        <v>0.0853114303483414</v>
      </c>
      <c r="H865" s="53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-1957929427.08515</v>
      </c>
      <c r="I865" s="53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-65975904.4262564</v>
      </c>
      <c r="J865" s="53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162475370.579777</v>
      </c>
      <c r="K865" s="53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439874881.262938</v>
      </c>
      <c r="L865" s="53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541764056.267794</v>
      </c>
      <c r="M865" s="53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683327181.283442</v>
      </c>
      <c r="N865" s="53" t="n">
        <f aca="false">IF(COUNT('Business Case'!B11:G11)=0,"",H865+NPV(G865,I865:M865))</f>
        <v>-692431188.539406</v>
      </c>
      <c r="P865" s="54" t="n">
        <f aca="true">RAND()</f>
        <v>0.294436279289223</v>
      </c>
      <c r="Q865" s="54" t="n">
        <f aca="true">RAND()</f>
        <v>0.0369251547048367</v>
      </c>
      <c r="R865" s="54" t="n">
        <f aca="true">RAND()</f>
        <v>0.0395476592830947</v>
      </c>
      <c r="S865" s="54" t="n">
        <f aca="true">RAND()</f>
        <v>0.958533704719639</v>
      </c>
      <c r="T865" s="54" t="n">
        <f aca="true">RAND()</f>
        <v>0.0559303087068961</v>
      </c>
      <c r="U865" s="54" t="n">
        <f aca="true">RAND()</f>
        <v>0.0282112923452815</v>
      </c>
    </row>
    <row r="866" customFormat="false" ht="15" hidden="false" customHeight="false" outlineLevel="0" collapsed="false">
      <c r="A866" s="50" t="n">
        <v>786</v>
      </c>
      <c r="B866" s="51" t="n">
        <f aca="false">1+IF($G$6=$E$6,$F$6,IF(P866&lt;($F$6-$E$6)/($G$6-$E$6),$E$6+SQRT(P866*($G$6-$E$6)*($F$6-$E$6)),$G$6-SQRT((1-P866)*($G$6-$E$6)*($G$6-$F$6))))</f>
        <v>0.944085854398331</v>
      </c>
      <c r="C866" s="51" t="n">
        <f aca="false">1+IF($G$7=$E$7,$F$7,IF(Q866&lt;($F$7-$E$7)/($G$7-$E$7),$E$7+SQRT(Q866*($G$7-$E$7)*($F$7-$E$7)),$G$7-SQRT((1-Q866)*($G$7-$E$7)*($G$7-$F$7))))</f>
        <v>0.896294373725997</v>
      </c>
      <c r="D866" s="51" t="n">
        <f aca="false">1+IF($G$8=$E$8,$F$8,IF(R866&lt;($F$8-$E$8)/($G$8-$E$8),$E$8+SQRT(R866*($G$8-$E$8)*($F$8-$E$8)),$G$8-SQRT((1-R866)*($G$8-$E$8)*($G$8-$F$8))))</f>
        <v>1.02254362268709</v>
      </c>
      <c r="E866" s="51" t="n">
        <f aca="false">1+IF($G$9=$E$9,$F$9,IF(S866&lt;($F$9-$E$9)/($G$9-$E$9),$E$9+SQRT(S866*($G$9-$E$9)*($F$9-$E$9)),$G$9-SQRT((1-S866)*($G$9-$E$9)*($G$9-$F$9))))</f>
        <v>0.991235259854579</v>
      </c>
      <c r="F866" s="51" t="n">
        <f aca="false">1+IF($G$10=$E$10,$F$10,IF(T866&lt;($F$10-$E$10)/($G$10-$E$10),$E$10+SQRT(T866*($G$10-$E$10)*($F$10-$E$10)),$G$10-SQRT((1-T866)*($G$10-$E$10)*($G$10-$F$10))))</f>
        <v>1.11857539758974</v>
      </c>
      <c r="G866" s="52" t="n">
        <f aca="false">IF($G$11=$E$11,$F$11,IF(U866&lt;($F$11-$E$11)/($G$11-$E$11),$E$11+SQRT(U866*($G$11-$E$11)*($F$11-$E$11)),$G$11-SQRT((1-U866)*($G$11-$E$11)*($G$11-$F$11))))</f>
        <v>0.0930509457048707</v>
      </c>
      <c r="H866" s="53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-2237150795.17947</v>
      </c>
      <c r="I866" s="53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-72770439.332557</v>
      </c>
      <c r="J866" s="53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151136226.090642</v>
      </c>
      <c r="K866" s="53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430971661.393329</v>
      </c>
      <c r="L866" s="53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534851157.231369</v>
      </c>
      <c r="M866" s="53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695692831.064728</v>
      </c>
      <c r="N866" s="53" t="n">
        <f aca="false">IF(COUNT('Business Case'!B11:G11)=0,"",H866+NPV(G866,I866:M866))</f>
        <v>-1026650043.81014</v>
      </c>
      <c r="P866" s="54" t="n">
        <f aca="true">RAND()</f>
        <v>0.129570837202058</v>
      </c>
      <c r="Q866" s="54" t="n">
        <f aca="true">RAND()</f>
        <v>0.285418378936898</v>
      </c>
      <c r="R866" s="54" t="n">
        <f aca="true">RAND()</f>
        <v>0.600033974237323</v>
      </c>
      <c r="S866" s="54" t="n">
        <f aca="true">RAND()</f>
        <v>0.332954905629302</v>
      </c>
      <c r="T866" s="54" t="n">
        <f aca="true">RAND()</f>
        <v>0.769700985084053</v>
      </c>
      <c r="U866" s="54" t="n">
        <f aca="true">RAND()</f>
        <v>0.170327183791483</v>
      </c>
    </row>
    <row r="867" customFormat="false" ht="15" hidden="false" customHeight="false" outlineLevel="0" collapsed="false">
      <c r="A867" s="50" t="n">
        <v>787</v>
      </c>
      <c r="B867" s="51" t="n">
        <f aca="false">1+IF($G$6=$E$6,$F$6,IF(P867&lt;($F$6-$E$6)/($G$6-$E$6),$E$6+SQRT(P867*($G$6-$E$6)*($F$6-$E$6)),$G$6-SQRT((1-P867)*($G$6-$E$6)*($G$6-$F$6))))</f>
        <v>0.979560548464542</v>
      </c>
      <c r="C867" s="51" t="n">
        <f aca="false">1+IF($G$7=$E$7,$F$7,IF(Q867&lt;($F$7-$E$7)/($G$7-$E$7),$E$7+SQRT(Q867*($G$7-$E$7)*($F$7-$E$7)),$G$7-SQRT((1-Q867)*($G$7-$E$7)*($G$7-$F$7))))</f>
        <v>0.945098746814682</v>
      </c>
      <c r="D867" s="51" t="n">
        <f aca="false">1+IF($G$8=$E$8,$F$8,IF(R867&lt;($F$8-$E$8)/($G$8-$E$8),$E$8+SQRT(R867*($G$8-$E$8)*($F$8-$E$8)),$G$8-SQRT((1-R867)*($G$8-$E$8)*($G$8-$F$8))))</f>
        <v>0.969395377110329</v>
      </c>
      <c r="E867" s="51" t="n">
        <f aca="false">1+IF($G$9=$E$9,$F$9,IF(S867&lt;($F$9-$E$9)/($G$9-$E$9),$E$9+SQRT(S867*($G$9-$E$9)*($F$9-$E$9)),$G$9-SQRT((1-S867)*($G$9-$E$9)*($G$9-$F$9))))</f>
        <v>1.02346156177067</v>
      </c>
      <c r="F867" s="51" t="n">
        <f aca="false">1+IF($G$10=$E$10,$F$10,IF(T867&lt;($F$10-$E$10)/($G$10-$E$10),$E$10+SQRT(T867*($G$10-$E$10)*($F$10-$E$10)),$G$10-SQRT((1-T867)*($G$10-$E$10)*($G$10-$F$10))))</f>
        <v>0.995888991259035</v>
      </c>
      <c r="G867" s="52" t="n">
        <f aca="false">IF($G$11=$E$11,$F$11,IF(U867&lt;($F$11-$E$11)/($G$11-$E$11),$E$11+SQRT(U867*($G$11-$E$11)*($F$11-$E$11)),$G$11-SQRT((1-U867)*($G$11-$E$11)*($G$11-$F$11))))</f>
        <v>0.0950472656666606</v>
      </c>
      <c r="H867" s="53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-1991777982.51807</v>
      </c>
      <c r="I867" s="53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-3843958.59339485</v>
      </c>
      <c r="J867" s="53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285429726.22413</v>
      </c>
      <c r="K867" s="53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624497860.604607</v>
      </c>
      <c r="L867" s="53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752917429.011267</v>
      </c>
      <c r="M867" s="53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928889966.415768</v>
      </c>
      <c r="N867" s="53" t="n">
        <f aca="false">IF(COUNT('Business Case'!B11:G11)=0,"",H867+NPV(G867,I867:M867))</f>
        <v>-168118844.541363</v>
      </c>
      <c r="P867" s="54" t="n">
        <f aca="true">RAND()</f>
        <v>0.421992058131913</v>
      </c>
      <c r="Q867" s="54" t="n">
        <f aca="true">RAND()</f>
        <v>0.444988116223168</v>
      </c>
      <c r="R867" s="54" t="n">
        <f aca="true">RAND()</f>
        <v>0.0501574204335841</v>
      </c>
      <c r="S867" s="54" t="n">
        <f aca="true">RAND()</f>
        <v>0.573013964012827</v>
      </c>
      <c r="T867" s="54" t="n">
        <f aca="true">RAND()</f>
        <v>0.140386634584783</v>
      </c>
      <c r="U867" s="54" t="n">
        <f aca="true">RAND()</f>
        <v>0.226420204043063</v>
      </c>
    </row>
    <row r="868" customFormat="false" ht="15" hidden="false" customHeight="false" outlineLevel="0" collapsed="false">
      <c r="A868" s="50" t="n">
        <v>788</v>
      </c>
      <c r="B868" s="51" t="n">
        <f aca="false">1+IF($G$6=$E$6,$F$6,IF(P868&lt;($F$6-$E$6)/($G$6-$E$6),$E$6+SQRT(P868*($G$6-$E$6)*($F$6-$E$6)),$G$6-SQRT((1-P868)*($G$6-$E$6)*($G$6-$F$6))))</f>
        <v>0.976077695070166</v>
      </c>
      <c r="C868" s="51" t="n">
        <f aca="false">1+IF($G$7=$E$7,$F$7,IF(Q868&lt;($F$7-$E$7)/($G$7-$E$7),$E$7+SQRT(Q868*($G$7-$E$7)*($F$7-$E$7)),$G$7-SQRT((1-Q868)*($G$7-$E$7)*($G$7-$F$7))))</f>
        <v>1.02535838205288</v>
      </c>
      <c r="D868" s="51" t="n">
        <f aca="false">1+IF($G$8=$E$8,$F$8,IF(R868&lt;($F$8-$E$8)/($G$8-$E$8),$E$8+SQRT(R868*($G$8-$E$8)*($F$8-$E$8)),$G$8-SQRT((1-R868)*($G$8-$E$8)*($G$8-$F$8))))</f>
        <v>0.98537965557914</v>
      </c>
      <c r="E868" s="51" t="n">
        <f aca="false">1+IF($G$9=$E$9,$F$9,IF(S868&lt;($F$9-$E$9)/($G$9-$E$9),$E$9+SQRT(S868*($G$9-$E$9)*($F$9-$E$9)),$G$9-SQRT((1-S868)*($G$9-$E$9)*($G$9-$F$9))))</f>
        <v>1.05852887202855</v>
      </c>
      <c r="F868" s="51" t="n">
        <f aca="false">1+IF($G$10=$E$10,$F$10,IF(T868&lt;($F$10-$E$10)/($G$10-$E$10),$E$10+SQRT(T868*($G$10-$E$10)*($F$10-$E$10)),$G$10-SQRT((1-T868)*($G$10-$E$10)*($G$10-$F$10))))</f>
        <v>1.00834298556014</v>
      </c>
      <c r="G868" s="52" t="n">
        <f aca="false">IF($G$11=$E$11,$F$11,IF(U868&lt;($F$11-$E$11)/($G$11-$E$11),$E$11+SQRT(U868*($G$11-$E$11)*($F$11-$E$11)),$G$11-SQRT((1-U868)*($G$11-$E$11)*($G$11-$F$11))))</f>
        <v>0.0873636329606734</v>
      </c>
      <c r="H868" s="53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-2016685971.12028</v>
      </c>
      <c r="I868" s="53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-715949.276004508</v>
      </c>
      <c r="J868" s="53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301808204.09618</v>
      </c>
      <c r="K868" s="53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654749506.746372</v>
      </c>
      <c r="L868" s="53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790179556.863576</v>
      </c>
      <c r="M868" s="53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980417217.99253</v>
      </c>
      <c r="N868" s="53" t="n">
        <f aca="false">IF(COUNT('Business Case'!B11:G11)=0,"",H868+NPV(G868,I868:M868))</f>
        <v>-42614128.3159175</v>
      </c>
      <c r="P868" s="54" t="n">
        <f aca="true">RAND()</f>
        <v>0.385854379145948</v>
      </c>
      <c r="Q868" s="54" t="n">
        <f aca="true">RAND()</f>
        <v>0.769843956674442</v>
      </c>
      <c r="R868" s="54" t="n">
        <f aca="true">RAND()</f>
        <v>0.166896003853145</v>
      </c>
      <c r="S868" s="54" t="n">
        <f aca="true">RAND()</f>
        <v>0.776880873270163</v>
      </c>
      <c r="T868" s="54" t="n">
        <f aca="true">RAND()</f>
        <v>0.22135849829351</v>
      </c>
      <c r="U868" s="54" t="n">
        <f aca="true">RAND()</f>
        <v>0.0542230903795153</v>
      </c>
    </row>
    <row r="869" customFormat="false" ht="15" hidden="false" customHeight="false" outlineLevel="0" collapsed="false">
      <c r="A869" s="50" t="n">
        <v>789</v>
      </c>
      <c r="B869" s="51" t="n">
        <f aca="false">1+IF($G$6=$E$6,$F$6,IF(P869&lt;($F$6-$E$6)/($G$6-$E$6),$E$6+SQRT(P869*($G$6-$E$6)*($F$6-$E$6)),$G$6-SQRT((1-P869)*($G$6-$E$6)*($G$6-$F$6))))</f>
        <v>1.00397889423533</v>
      </c>
      <c r="C869" s="51" t="n">
        <f aca="false">1+IF($G$7=$E$7,$F$7,IF(Q869&lt;($F$7-$E$7)/($G$7-$E$7),$E$7+SQRT(Q869*($G$7-$E$7)*($F$7-$E$7)),$G$7-SQRT((1-Q869)*($G$7-$E$7)*($G$7-$F$7))))</f>
        <v>1.08456681238533</v>
      </c>
      <c r="D869" s="51" t="n">
        <f aca="false">1+IF($G$8=$E$8,$F$8,IF(R869&lt;($F$8-$E$8)/($G$8-$E$8),$E$8+SQRT(R869*($G$8-$E$8)*($F$8-$E$8)),$G$8-SQRT((1-R869)*($G$8-$E$8)*($G$8-$F$8))))</f>
        <v>1.02701399994451</v>
      </c>
      <c r="E869" s="51" t="n">
        <f aca="false">1+IF($G$9=$E$9,$F$9,IF(S869&lt;($F$9-$E$9)/($G$9-$E$9),$E$9+SQRT(S869*($G$9-$E$9)*($F$9-$E$9)),$G$9-SQRT((1-S869)*($G$9-$E$9)*($G$9-$F$9))))</f>
        <v>1.05425834299415</v>
      </c>
      <c r="F869" s="51" t="n">
        <f aca="false">1+IF($G$10=$E$10,$F$10,IF(T869&lt;($F$10-$E$10)/($G$10-$E$10),$E$10+SQRT(T869*($G$10-$E$10)*($F$10-$E$10)),$G$10-SQRT((1-T869)*($G$10-$E$10)*($G$10-$F$10))))</f>
        <v>1.04803312318996</v>
      </c>
      <c r="G869" s="52" t="n">
        <f aca="false">IF($G$11=$E$11,$F$11,IF(U869&lt;($F$11-$E$11)/($G$11-$E$11),$E$11+SQRT(U869*($G$11-$E$11)*($F$11-$E$11)),$G$11-SQRT((1-U869)*($G$11-$E$11)*($G$11-$F$11))))</f>
        <v>0.119605330812101</v>
      </c>
      <c r="H869" s="53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-2096066246.37992</v>
      </c>
      <c r="I869" s="53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10496486.4799147</v>
      </c>
      <c r="J869" s="53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332159474.331543</v>
      </c>
      <c r="K869" s="53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706224118.34267</v>
      </c>
      <c r="L869" s="53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851076882.745846</v>
      </c>
      <c r="M869" s="53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1058051609.23533</v>
      </c>
      <c r="N869" s="53" t="n">
        <f aca="false">IF(COUNT('Business Case'!B11:G11)=0,"",H869+NPV(G869,I869:M869))</f>
        <v>-175437095.056036</v>
      </c>
      <c r="P869" s="54" t="n">
        <f aca="true">RAND()</f>
        <v>0.717607709892919</v>
      </c>
      <c r="Q869" s="54" t="n">
        <f aca="true">RAND()</f>
        <v>0.936570340127164</v>
      </c>
      <c r="R869" s="54" t="n">
        <f aca="true">RAND()</f>
        <v>0.644869586393309</v>
      </c>
      <c r="S869" s="54" t="n">
        <f aca="true">RAND()</f>
        <v>0.755560936367286</v>
      </c>
      <c r="T869" s="54" t="n">
        <f aca="true">RAND()</f>
        <v>0.456125075621311</v>
      </c>
      <c r="U869" s="54" t="n">
        <f aca="true">RAND()</f>
        <v>0.927967234982755</v>
      </c>
    </row>
    <row r="870" customFormat="false" ht="15" hidden="false" customHeight="false" outlineLevel="0" collapsed="false">
      <c r="A870" s="50" t="n">
        <v>790</v>
      </c>
      <c r="B870" s="51" t="n">
        <f aca="false">1+IF($G$6=$E$6,$F$6,IF(P870&lt;($F$6-$E$6)/($G$6-$E$6),$E$6+SQRT(P870*($G$6-$E$6)*($F$6-$E$6)),$G$6-SQRT((1-P870)*($G$6-$E$6)*($G$6-$F$6))))</f>
        <v>0.966902669614445</v>
      </c>
      <c r="C870" s="51" t="n">
        <f aca="false">1+IF($G$7=$E$7,$F$7,IF(Q870&lt;($F$7-$E$7)/($G$7-$E$7),$E$7+SQRT(Q870*($G$7-$E$7)*($F$7-$E$7)),$G$7-SQRT((1-Q870)*($G$7-$E$7)*($G$7-$F$7))))</f>
        <v>0.985141366944408</v>
      </c>
      <c r="D870" s="51" t="n">
        <f aca="false">1+IF($G$8=$E$8,$F$8,IF(R870&lt;($F$8-$E$8)/($G$8-$E$8),$E$8+SQRT(R870*($G$8-$E$8)*($F$8-$E$8)),$G$8-SQRT((1-R870)*($G$8-$E$8)*($G$8-$F$8))))</f>
        <v>1.00073720170083</v>
      </c>
      <c r="E870" s="51" t="n">
        <f aca="false">1+IF($G$9=$E$9,$F$9,IF(S870&lt;($F$9-$E$9)/($G$9-$E$9),$E$9+SQRT(S870*($G$9-$E$9)*($F$9-$E$9)),$G$9-SQRT((1-S870)*($G$9-$E$9)*($G$9-$F$9))))</f>
        <v>0.975897519366571</v>
      </c>
      <c r="F870" s="51" t="n">
        <f aca="false">1+IF($G$10=$E$10,$F$10,IF(T870&lt;($F$10-$E$10)/($G$10-$E$10),$E$10+SQRT(T870*($G$10-$E$10)*($F$10-$E$10)),$G$10-SQRT((1-T870)*($G$10-$E$10)*($G$10-$F$10))))</f>
        <v>1.05525656812588</v>
      </c>
      <c r="G870" s="52" t="n">
        <f aca="false">IF($G$11=$E$11,$F$11,IF(U870&lt;($F$11-$E$11)/($G$11-$E$11),$E$11+SQRT(U870*($G$11-$E$11)*($F$11-$E$11)),$G$11-SQRT((1-U870)*($G$11-$E$11)*($G$11-$F$11))))</f>
        <v>0.116277649363792</v>
      </c>
      <c r="H870" s="53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-2110513136.25175</v>
      </c>
      <c r="I870" s="53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-18167673.0088867</v>
      </c>
      <c r="J870" s="53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257342394.835518</v>
      </c>
      <c r="K870" s="53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585615291.086218</v>
      </c>
      <c r="L870" s="53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710371618.225537</v>
      </c>
      <c r="M870" s="53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891429626.443722</v>
      </c>
      <c r="N870" s="53" t="n">
        <f aca="false">IF(COUNT('Business Case'!B11:G11)=0,"",H870+NPV(G870,I870:M870))</f>
        <v>-527435881.971782</v>
      </c>
      <c r="P870" s="54" t="n">
        <f aca="true">RAND()</f>
        <v>0.298397813435975</v>
      </c>
      <c r="Q870" s="54" t="n">
        <f aca="true">RAND()</f>
        <v>0.602263697355003</v>
      </c>
      <c r="R870" s="54" t="n">
        <f aca="true">RAND()</f>
        <v>0.343126458254558</v>
      </c>
      <c r="S870" s="54" t="n">
        <f aca="true">RAND()</f>
        <v>0.230417337839963</v>
      </c>
      <c r="T870" s="54" t="n">
        <f aca="true">RAND()</f>
        <v>0.494333276558518</v>
      </c>
      <c r="U870" s="54" t="n">
        <f aca="true">RAND()</f>
        <v>0.87446472867797</v>
      </c>
    </row>
    <row r="871" customFormat="false" ht="15" hidden="false" customHeight="false" outlineLevel="0" collapsed="false">
      <c r="A871" s="50" t="n">
        <v>791</v>
      </c>
      <c r="B871" s="51" t="n">
        <f aca="false">1+IF($G$6=$E$6,$F$6,IF(P871&lt;($F$6-$E$6)/($G$6-$E$6),$E$6+SQRT(P871*($G$6-$E$6)*($F$6-$E$6)),$G$6-SQRT((1-P871)*($G$6-$E$6)*($G$6-$F$6))))</f>
        <v>1.00541155476474</v>
      </c>
      <c r="C871" s="51" t="n">
        <f aca="false">1+IF($G$7=$E$7,$F$7,IF(Q871&lt;($F$7-$E$7)/($G$7-$E$7),$E$7+SQRT(Q871*($G$7-$E$7)*($F$7-$E$7)),$G$7-SQRT((1-Q871)*($G$7-$E$7)*($G$7-$F$7))))</f>
        <v>0.935535523447403</v>
      </c>
      <c r="D871" s="51" t="n">
        <f aca="false">1+IF($G$8=$E$8,$F$8,IF(R871&lt;($F$8-$E$8)/($G$8-$E$8),$E$8+SQRT(R871*($G$8-$E$8)*($F$8-$E$8)),$G$8-SQRT((1-R871)*($G$8-$E$8)*($G$8-$F$8))))</f>
        <v>1.03262684614568</v>
      </c>
      <c r="E871" s="51" t="n">
        <f aca="false">1+IF($G$9=$E$9,$F$9,IF(S871&lt;($F$9-$E$9)/($G$9-$E$9),$E$9+SQRT(S871*($G$9-$E$9)*($F$9-$E$9)),$G$9-SQRT((1-S871)*($G$9-$E$9)*($G$9-$F$9))))</f>
        <v>1.07544475622919</v>
      </c>
      <c r="F871" s="51" t="n">
        <f aca="false">1+IF($G$10=$E$10,$F$10,IF(T871&lt;($F$10-$E$10)/($G$10-$E$10),$E$10+SQRT(T871*($G$10-$E$10)*($F$10-$E$10)),$G$10-SQRT((1-T871)*($G$10-$E$10)*($G$10-$F$10))))</f>
        <v>1.21120610151895</v>
      </c>
      <c r="G871" s="52" t="n">
        <f aca="false">IF($G$11=$E$11,$F$11,IF(U871&lt;($F$11-$E$11)/($G$11-$E$11),$E$11+SQRT(U871*($G$11-$E$11)*($F$11-$E$11)),$G$11-SQRT((1-U871)*($G$11-$E$11)*($G$11-$F$11))))</f>
        <v>0.0983380086181228</v>
      </c>
      <c r="H871" s="53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-2422412203.0379</v>
      </c>
      <c r="I871" s="53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-46936769.950464</v>
      </c>
      <c r="J871" s="53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228935926.579409</v>
      </c>
      <c r="K871" s="53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565368928.18523</v>
      </c>
      <c r="L871" s="53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689833568.356956</v>
      </c>
      <c r="M871" s="53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868622478.996679</v>
      </c>
      <c r="N871" s="53" t="n">
        <f aca="false">IF(COUNT('Business Case'!B11:G11)=0,"",H871+NPV(G871,I871:M871))</f>
        <v>-831205866.220558</v>
      </c>
      <c r="P871" s="54" t="n">
        <f aca="true">RAND()</f>
        <v>0.734916073533578</v>
      </c>
      <c r="Q871" s="54" t="n">
        <f aca="true">RAND()</f>
        <v>0.410940613375127</v>
      </c>
      <c r="R871" s="54" t="n">
        <f aca="true">RAND()</f>
        <v>0.697390542648166</v>
      </c>
      <c r="S871" s="54" t="n">
        <f aca="true">RAND()</f>
        <v>0.851773750033999</v>
      </c>
      <c r="T871" s="54" t="n">
        <f aca="true">RAND()</f>
        <v>0.979933779208558</v>
      </c>
      <c r="U871" s="54" t="n">
        <f aca="true">RAND()</f>
        <v>0.336282560078347</v>
      </c>
    </row>
    <row r="872" customFormat="false" ht="15" hidden="false" customHeight="false" outlineLevel="0" collapsed="false">
      <c r="A872" s="50" t="n">
        <v>792</v>
      </c>
      <c r="B872" s="51" t="n">
        <f aca="false">1+IF($G$6=$E$6,$F$6,IF(P872&lt;($F$6-$E$6)/($G$6-$E$6),$E$6+SQRT(P872*($G$6-$E$6)*($F$6-$E$6)),$G$6-SQRT((1-P872)*($G$6-$E$6)*($G$6-$F$6))))</f>
        <v>0.936630539272987</v>
      </c>
      <c r="C872" s="51" t="n">
        <f aca="false">1+IF($G$7=$E$7,$F$7,IF(Q872&lt;($F$7-$E$7)/($G$7-$E$7),$E$7+SQRT(Q872*($G$7-$E$7)*($F$7-$E$7)),$G$7-SQRT((1-Q872)*($G$7-$E$7)*($G$7-$F$7))))</f>
        <v>0.922821564985419</v>
      </c>
      <c r="D872" s="51" t="n">
        <f aca="false">1+IF($G$8=$E$8,$F$8,IF(R872&lt;($F$8-$E$8)/($G$8-$E$8),$E$8+SQRT(R872*($G$8-$E$8)*($F$8-$E$8)),$G$8-SQRT((1-R872)*($G$8-$E$8)*($G$8-$F$8))))</f>
        <v>0.968700633495934</v>
      </c>
      <c r="E872" s="51" t="n">
        <f aca="false">1+IF($G$9=$E$9,$F$9,IF(S872&lt;($F$9-$E$9)/($G$9-$E$9),$E$9+SQRT(S872*($G$9-$E$9)*($F$9-$E$9)),$G$9-SQRT((1-S872)*($G$9-$E$9)*($G$9-$F$9))))</f>
        <v>0.960973194873202</v>
      </c>
      <c r="F872" s="51" t="n">
        <f aca="false">1+IF($G$10=$E$10,$F$10,IF(T872&lt;($F$10-$E$10)/($G$10-$E$10),$E$10+SQRT(T872*($G$10-$E$10)*($F$10-$E$10)),$G$10-SQRT((1-T872)*($G$10-$E$10)*($G$10-$F$10))))</f>
        <v>1.11322068287822</v>
      </c>
      <c r="G872" s="52" t="n">
        <f aca="false">IF($G$11=$E$11,$F$11,IF(U872&lt;($F$11-$E$11)/($G$11-$E$11),$E$11+SQRT(U872*($G$11-$E$11)*($F$11-$E$11)),$G$11-SQRT((1-U872)*($G$11-$E$11)*($G$11-$F$11))))</f>
        <v>0.108842222442818</v>
      </c>
      <c r="H872" s="53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-2226441365.75643</v>
      </c>
      <c r="I872" s="53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-42445611.6764091</v>
      </c>
      <c r="J872" s="53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207888767.111744</v>
      </c>
      <c r="K872" s="53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513884180.043808</v>
      </c>
      <c r="L872" s="53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627200662.217041</v>
      </c>
      <c r="M872" s="53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791494953.058203</v>
      </c>
      <c r="N872" s="53" t="n">
        <f aca="false">IF(COUNT('Business Case'!B11:G11)=0,"",H872+NPV(G872,I872:M872))</f>
        <v>-831659121.346253</v>
      </c>
      <c r="P872" s="54" t="n">
        <f aca="true">RAND()</f>
        <v>0.0894530938286577</v>
      </c>
      <c r="Q872" s="54" t="n">
        <f aca="true">RAND()</f>
        <v>0.367773702389268</v>
      </c>
      <c r="R872" s="54" t="n">
        <f aca="true">RAND()</f>
        <v>0.0466284924199019</v>
      </c>
      <c r="S872" s="54" t="n">
        <f aca="true">RAND()</f>
        <v>0.148709219721818</v>
      </c>
      <c r="T872" s="54" t="n">
        <f aca="true">RAND()</f>
        <v>0.750552245435979</v>
      </c>
      <c r="U872" s="54" t="n">
        <f aca="true">RAND()</f>
        <v>0.701565632560547</v>
      </c>
    </row>
    <row r="873" customFormat="false" ht="15" hidden="false" customHeight="false" outlineLevel="0" collapsed="false">
      <c r="A873" s="50" t="n">
        <v>793</v>
      </c>
      <c r="B873" s="51" t="n">
        <f aca="false">1+IF($G$6=$E$6,$F$6,IF(P873&lt;($F$6-$E$6)/($G$6-$E$6),$E$6+SQRT(P873*($G$6-$E$6)*($F$6-$E$6)),$G$6-SQRT((1-P873)*($G$6-$E$6)*($G$6-$F$6))))</f>
        <v>0.996865327558593</v>
      </c>
      <c r="C873" s="51" t="n">
        <f aca="false">1+IF($G$7=$E$7,$F$7,IF(Q873&lt;($F$7-$E$7)/($G$7-$E$7),$E$7+SQRT(Q873*($G$7-$E$7)*($F$7-$E$7)),$G$7-SQRT((1-Q873)*($G$7-$E$7)*($G$7-$F$7))))</f>
        <v>0.935441409519096</v>
      </c>
      <c r="D873" s="51" t="n">
        <f aca="false">1+IF($G$8=$E$8,$F$8,IF(R873&lt;($F$8-$E$8)/($G$8-$E$8),$E$8+SQRT(R873*($G$8-$E$8)*($F$8-$E$8)),$G$8-SQRT((1-R873)*($G$8-$E$8)*($G$8-$F$8))))</f>
        <v>0.994815171111071</v>
      </c>
      <c r="E873" s="51" t="n">
        <f aca="false">1+IF($G$9=$E$9,$F$9,IF(S873&lt;($F$9-$E$9)/($G$9-$E$9),$E$9+SQRT(S873*($G$9-$E$9)*($F$9-$E$9)),$G$9-SQRT((1-S873)*($G$9-$E$9)*($G$9-$F$9))))</f>
        <v>1.0237911949023</v>
      </c>
      <c r="F873" s="51" t="n">
        <f aca="false">1+IF($G$10=$E$10,$F$10,IF(T873&lt;($F$10-$E$10)/($G$10-$E$10),$E$10+SQRT(T873*($G$10-$E$10)*($F$10-$E$10)),$G$10-SQRT((1-T873)*($G$10-$E$10)*($G$10-$F$10))))</f>
        <v>1.11311568508313</v>
      </c>
      <c r="G873" s="52" t="n">
        <f aca="false">IF($G$11=$E$11,$F$11,IF(U873&lt;($F$11-$E$11)/($G$11-$E$11),$E$11+SQRT(U873*($G$11-$E$11)*($F$11-$E$11)),$G$11-SQRT((1-U873)*($G$11-$E$11)*($G$11-$F$11))))</f>
        <v>0.104739092827768</v>
      </c>
      <c r="H873" s="53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-2226231370.16625</v>
      </c>
      <c r="I873" s="53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-17832150.4591613</v>
      </c>
      <c r="J873" s="53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269571647.61779</v>
      </c>
      <c r="K873" s="53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612631229.948897</v>
      </c>
      <c r="L873" s="53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740660010.716342</v>
      </c>
      <c r="M873" s="53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917911341.796215</v>
      </c>
      <c r="N873" s="53" t="n">
        <f aca="false">IF(COUNT('Business Case'!B11:G11)=0,"",H873+NPV(G873,I873:M873))</f>
        <v>-512026606.500341</v>
      </c>
      <c r="P873" s="54" t="n">
        <f aca="true">RAND()</f>
        <v>0.625526112202235</v>
      </c>
      <c r="Q873" s="54" t="n">
        <f aca="true">RAND()</f>
        <v>0.410612276417322</v>
      </c>
      <c r="R873" s="54" t="n">
        <f aca="true">RAND()</f>
        <v>0.267786608228612</v>
      </c>
      <c r="S873" s="54" t="n">
        <f aca="true">RAND()</f>
        <v>0.575235667088275</v>
      </c>
      <c r="T873" s="54" t="n">
        <f aca="true">RAND()</f>
        <v>0.750169124396512</v>
      </c>
      <c r="U873" s="54" t="n">
        <f aca="true">RAND()</f>
        <v>0.574591045890585</v>
      </c>
    </row>
    <row r="874" customFormat="false" ht="15" hidden="false" customHeight="false" outlineLevel="0" collapsed="false">
      <c r="A874" s="50" t="n">
        <v>794</v>
      </c>
      <c r="B874" s="51" t="n">
        <f aca="false">1+IF($G$6=$E$6,$F$6,IF(P874&lt;($F$6-$E$6)/($G$6-$E$6),$E$6+SQRT(P874*($G$6-$E$6)*($F$6-$E$6)),$G$6-SQRT((1-P874)*($G$6-$E$6)*($G$6-$F$6))))</f>
        <v>1.00061053048381</v>
      </c>
      <c r="C874" s="51" t="n">
        <f aca="false">1+IF($G$7=$E$7,$F$7,IF(Q874&lt;($F$7-$E$7)/($G$7-$E$7),$E$7+SQRT(Q874*($G$7-$E$7)*($F$7-$E$7)),$G$7-SQRT((1-Q874)*($G$7-$E$7)*($G$7-$F$7))))</f>
        <v>1.00766187162457</v>
      </c>
      <c r="D874" s="51" t="n">
        <f aca="false">1+IF($G$8=$E$8,$F$8,IF(R874&lt;($F$8-$E$8)/($G$8-$E$8),$E$8+SQRT(R874*($G$8-$E$8)*($F$8-$E$8)),$G$8-SQRT((1-R874)*($G$8-$E$8)*($G$8-$F$8))))</f>
        <v>1.03085662020746</v>
      </c>
      <c r="E874" s="51" t="n">
        <f aca="false">1+IF($G$9=$E$9,$F$9,IF(S874&lt;($F$9-$E$9)/($G$9-$E$9),$E$9+SQRT(S874*($G$9-$E$9)*($F$9-$E$9)),$G$9-SQRT((1-S874)*($G$9-$E$9)*($G$9-$F$9))))</f>
        <v>0.996096093454302</v>
      </c>
      <c r="F874" s="51" t="n">
        <f aca="false">1+IF($G$10=$E$10,$F$10,IF(T874&lt;($F$10-$E$10)/($G$10-$E$10),$E$10+SQRT(T874*($G$10-$E$10)*($F$10-$E$10)),$G$10-SQRT((1-T874)*($G$10-$E$10)*($G$10-$F$10))))</f>
        <v>1.01186832315564</v>
      </c>
      <c r="G874" s="52" t="n">
        <f aca="false">IF($G$11=$E$11,$F$11,IF(U874&lt;($F$11-$E$11)/($G$11-$E$11),$E$11+SQRT(U874*($G$11-$E$11)*($F$11-$E$11)),$G$11-SQRT((1-U874)*($G$11-$E$11)*($G$11-$F$11))))</f>
        <v>0.0973617169847307</v>
      </c>
      <c r="H874" s="53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-2023736646.31127</v>
      </c>
      <c r="I874" s="53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-1008670.41779773</v>
      </c>
      <c r="J874" s="53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293083439.791941</v>
      </c>
      <c r="K874" s="53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637768966.159462</v>
      </c>
      <c r="L874" s="53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770645725.444557</v>
      </c>
      <c r="M874" s="53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962299032.794718</v>
      </c>
      <c r="N874" s="53" t="n">
        <f aca="false">IF(COUNT('Business Case'!B11:G11)=0,"",H874+NPV(G874,I874:M874))</f>
        <v>-162471483.314915</v>
      </c>
      <c r="P874" s="54" t="n">
        <f aca="true">RAND()</f>
        <v>0.674757373454597</v>
      </c>
      <c r="Q874" s="54" t="n">
        <f aca="true">RAND()</f>
        <v>0.699849736453032</v>
      </c>
      <c r="R874" s="54" t="n">
        <f aca="true">RAND()</f>
        <v>0.681279535390979</v>
      </c>
      <c r="S874" s="54" t="n">
        <f aca="true">RAND()</f>
        <v>0.369378367087121</v>
      </c>
      <c r="T874" s="54" t="n">
        <f aca="true">RAND()</f>
        <v>0.243910726443894</v>
      </c>
      <c r="U874" s="54" t="n">
        <f aca="true">RAND()</f>
        <v>0.301429216657888</v>
      </c>
    </row>
    <row r="875" customFormat="false" ht="15" hidden="false" customHeight="false" outlineLevel="0" collapsed="false">
      <c r="A875" s="50" t="n">
        <v>795</v>
      </c>
      <c r="B875" s="51" t="n">
        <f aca="false">1+IF($G$6=$E$6,$F$6,IF(P875&lt;($F$6-$E$6)/($G$6-$E$6),$E$6+SQRT(P875*($G$6-$E$6)*($F$6-$E$6)),$G$6-SQRT((1-P875)*($G$6-$E$6)*($G$6-$F$6))))</f>
        <v>0.976775884567136</v>
      </c>
      <c r="C875" s="51" t="n">
        <f aca="false">1+IF($G$7=$E$7,$F$7,IF(Q875&lt;($F$7-$E$7)/($G$7-$E$7),$E$7+SQRT(Q875*($G$7-$E$7)*($F$7-$E$7)),$G$7-SQRT((1-Q875)*($G$7-$E$7)*($G$7-$F$7))))</f>
        <v>0.872884749865546</v>
      </c>
      <c r="D875" s="51" t="n">
        <f aca="false">1+IF($G$8=$E$8,$F$8,IF(R875&lt;($F$8-$E$8)/($G$8-$E$8),$E$8+SQRT(R875*($G$8-$E$8)*($F$8-$E$8)),$G$8-SQRT((1-R875)*($G$8-$E$8)*($G$8-$F$8))))</f>
        <v>0.991569076546017</v>
      </c>
      <c r="E875" s="51" t="n">
        <f aca="false">1+IF($G$9=$E$9,$F$9,IF(S875&lt;($F$9-$E$9)/($G$9-$E$9),$E$9+SQRT(S875*($G$9-$E$9)*($F$9-$E$9)),$G$9-SQRT((1-S875)*($G$9-$E$9)*($G$9-$F$9))))</f>
        <v>1.00621320759642</v>
      </c>
      <c r="F875" s="51" t="n">
        <f aca="false">1+IF($G$10=$E$10,$F$10,IF(T875&lt;($F$10-$E$10)/($G$10-$E$10),$E$10+SQRT(T875*($G$10-$E$10)*($F$10-$E$10)),$G$10-SQRT((1-T875)*($G$10-$E$10)*($G$10-$F$10))))</f>
        <v>1.10025965919254</v>
      </c>
      <c r="G875" s="52" t="n">
        <f aca="false">IF($G$11=$E$11,$F$11,IF(U875&lt;($F$11-$E$11)/($G$11-$E$11),$E$11+SQRT(U875*($G$11-$E$11)*($F$11-$E$11)),$G$11-SQRT((1-U875)*($G$11-$E$11)*($G$11-$F$11))))</f>
        <v>0.0944961793347938</v>
      </c>
      <c r="H875" s="53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-2200519318.38508</v>
      </c>
      <c r="I875" s="53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-42037507.4070601</v>
      </c>
      <c r="J875" s="53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213233915.412661</v>
      </c>
      <c r="K875" s="53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523518321.19201</v>
      </c>
      <c r="L875" s="53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638075092.923462</v>
      </c>
      <c r="M875" s="53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800139728.943621</v>
      </c>
      <c r="N875" s="53" t="n">
        <f aca="false">IF(COUNT('Business Case'!B11:G11)=0,"",H875+NPV(G875,I875:M875))</f>
        <v>-707545350.905785</v>
      </c>
      <c r="P875" s="54" t="n">
        <f aca="true">RAND()</f>
        <v>0.392969096737742</v>
      </c>
      <c r="Q875" s="54" t="n">
        <f aca="true">RAND()</f>
        <v>0.221401012859797</v>
      </c>
      <c r="R875" s="54" t="n">
        <f aca="true">RAND()</f>
        <v>0.230398416651813</v>
      </c>
      <c r="S875" s="54" t="n">
        <f aca="true">RAND()</f>
        <v>0.44867622214107</v>
      </c>
      <c r="T875" s="54" t="n">
        <f aca="true">RAND()</f>
        <v>0.701037737798216</v>
      </c>
      <c r="U875" s="54" t="n">
        <f aca="true">RAND()</f>
        <v>0.210139215306502</v>
      </c>
    </row>
    <row r="876" customFormat="false" ht="15" hidden="false" customHeight="false" outlineLevel="0" collapsed="false">
      <c r="A876" s="50" t="n">
        <v>796</v>
      </c>
      <c r="B876" s="51" t="n">
        <f aca="false">1+IF($G$6=$E$6,$F$6,IF(P876&lt;($F$6-$E$6)/($G$6-$E$6),$E$6+SQRT(P876*($G$6-$E$6)*($F$6-$E$6)),$G$6-SQRT((1-P876)*($G$6-$E$6)*($G$6-$F$6))))</f>
        <v>0.928199849148812</v>
      </c>
      <c r="C876" s="51" t="n">
        <f aca="false">1+IF($G$7=$E$7,$F$7,IF(Q876&lt;($F$7-$E$7)/($G$7-$E$7),$E$7+SQRT(Q876*($G$7-$E$7)*($F$7-$E$7)),$G$7-SQRT((1-Q876)*($G$7-$E$7)*($G$7-$F$7))))</f>
        <v>0.949686705972354</v>
      </c>
      <c r="D876" s="51" t="n">
        <f aca="false">1+IF($G$8=$E$8,$F$8,IF(R876&lt;($F$8-$E$8)/($G$8-$E$8),$E$8+SQRT(R876*($G$8-$E$8)*($F$8-$E$8)),$G$8-SQRT((1-R876)*($G$8-$E$8)*($G$8-$F$8))))</f>
        <v>1.00889238153968</v>
      </c>
      <c r="E876" s="51" t="n">
        <f aca="false">1+IF($G$9=$E$9,$F$9,IF(S876&lt;($F$9-$E$9)/($G$9-$E$9),$E$9+SQRT(S876*($G$9-$E$9)*($F$9-$E$9)),$G$9-SQRT((1-S876)*($G$9-$E$9)*($G$9-$F$9))))</f>
        <v>1.03718275819103</v>
      </c>
      <c r="F876" s="51" t="n">
        <f aca="false">1+IF($G$10=$E$10,$F$10,IF(T876&lt;($F$10-$E$10)/($G$10-$E$10),$E$10+SQRT(T876*($G$10-$E$10)*($F$10-$E$10)),$G$10-SQRT((1-T876)*($G$10-$E$10)*($G$10-$F$10))))</f>
        <v>0.978420810393422</v>
      </c>
      <c r="G876" s="52" t="n">
        <f aca="false">IF($G$11=$E$11,$F$11,IF(U876&lt;($F$11-$E$11)/($G$11-$E$11),$E$11+SQRT(U876*($G$11-$E$11)*($F$11-$E$11)),$G$11-SQRT((1-U876)*($G$11-$E$11)*($G$11-$F$11))))</f>
        <v>0.115466516127354</v>
      </c>
      <c r="H876" s="53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-1956841620.78684</v>
      </c>
      <c r="I876" s="53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-59501955.491395</v>
      </c>
      <c r="J876" s="53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172022469.397714</v>
      </c>
      <c r="K876" s="53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452467934.806494</v>
      </c>
      <c r="L876" s="53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560107350.520461</v>
      </c>
      <c r="M876" s="53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727662691.317251</v>
      </c>
      <c r="N876" s="53" t="n">
        <f aca="false">IF(COUNT('Business Case'!B11:G11)=0,"",H876+NPV(G876,I876:M876))</f>
        <v>-762796866.255263</v>
      </c>
      <c r="P876" s="54" t="n">
        <f aca="true">RAND()</f>
        <v>0.0530154328010486</v>
      </c>
      <c r="Q876" s="54" t="n">
        <f aca="true">RAND()</f>
        <v>0.461803341772775</v>
      </c>
      <c r="R876" s="54" t="n">
        <f aca="true">RAND()</f>
        <v>0.446626790565871</v>
      </c>
      <c r="S876" s="54" t="n">
        <f aca="true">RAND()</f>
        <v>0.66059386534976</v>
      </c>
      <c r="T876" s="54" t="n">
        <f aca="true">RAND()</f>
        <v>0.0538494975612568</v>
      </c>
      <c r="U876" s="54" t="n">
        <f aca="true">RAND()</f>
        <v>0.859185231015686</v>
      </c>
    </row>
    <row r="877" customFormat="false" ht="15" hidden="false" customHeight="false" outlineLevel="0" collapsed="false">
      <c r="A877" s="50" t="n">
        <v>797</v>
      </c>
      <c r="B877" s="51" t="n">
        <f aca="false">1+IF($G$6=$E$6,$F$6,IF(P877&lt;($F$6-$E$6)/($G$6-$E$6),$E$6+SQRT(P877*($G$6-$E$6)*($F$6-$E$6)),$G$6-SQRT((1-P877)*($G$6-$E$6)*($G$6-$F$6))))</f>
        <v>0.965989532950362</v>
      </c>
      <c r="C877" s="51" t="n">
        <f aca="false">1+IF($G$7=$E$7,$F$7,IF(Q877&lt;($F$7-$E$7)/($G$7-$E$7),$E$7+SQRT(Q877*($G$7-$E$7)*($F$7-$E$7)),$G$7-SQRT((1-Q877)*($G$7-$E$7)*($G$7-$F$7))))</f>
        <v>0.854708738187239</v>
      </c>
      <c r="D877" s="51" t="n">
        <f aca="false">1+IF($G$8=$E$8,$F$8,IF(R877&lt;($F$8-$E$8)/($G$8-$E$8),$E$8+SQRT(R877*($G$8-$E$8)*($F$8-$E$8)),$G$8-SQRT((1-R877)*($G$8-$E$8)*($G$8-$F$8))))</f>
        <v>1.0291619514062</v>
      </c>
      <c r="E877" s="51" t="n">
        <f aca="false">1+IF($G$9=$E$9,$F$9,IF(S877&lt;($F$9-$E$9)/($G$9-$E$9),$E$9+SQRT(S877*($G$9-$E$9)*($F$9-$E$9)),$G$9-SQRT((1-S877)*($G$9-$E$9)*($G$9-$F$9))))</f>
        <v>1.03231748896627</v>
      </c>
      <c r="F877" s="51" t="n">
        <f aca="false">1+IF($G$10=$E$10,$F$10,IF(T877&lt;($F$10-$E$10)/($G$10-$E$10),$E$10+SQRT(T877*($G$10-$E$10)*($F$10-$E$10)),$G$10-SQRT((1-T877)*($G$10-$E$10)*($G$10-$F$10))))</f>
        <v>1.1221239753773</v>
      </c>
      <c r="G877" s="52" t="n">
        <f aca="false">IF($G$11=$E$11,$F$11,IF(U877&lt;($F$11-$E$11)/($G$11-$E$11),$E$11+SQRT(U877*($G$11-$E$11)*($F$11-$E$11)),$G$11-SQRT((1-U877)*($G$11-$E$11)*($G$11-$F$11))))</f>
        <v>0.122132276235023</v>
      </c>
      <c r="H877" s="53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-2244247950.7546</v>
      </c>
      <c r="I877" s="53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-75852840.4360499</v>
      </c>
      <c r="J877" s="53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150103425.375588</v>
      </c>
      <c r="K877" s="53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432165889.956091</v>
      </c>
      <c r="L877" s="53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536018753.079274</v>
      </c>
      <c r="M877" s="53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692956346.268775</v>
      </c>
      <c r="N877" s="53" t="n">
        <f aca="false">IF(COUNT('Business Case'!B11:G11)=0,"",H877+NPV(G877,I877:M877))</f>
        <v>-1159232711.69679</v>
      </c>
      <c r="P877" s="54" t="n">
        <f aca="true">RAND()</f>
        <v>0.290307897267129</v>
      </c>
      <c r="Q877" s="54" t="n">
        <f aca="true">RAND()</f>
        <v>0.177294767936945</v>
      </c>
      <c r="R877" s="54" t="n">
        <f aca="true">RAND()</f>
        <v>0.665464724761538</v>
      </c>
      <c r="S877" s="54" t="n">
        <f aca="true">RAND()</f>
        <v>0.630688709247871</v>
      </c>
      <c r="T877" s="54" t="n">
        <f aca="true">RAND()</f>
        <v>0.781969631022602</v>
      </c>
      <c r="U877" s="54" t="n">
        <f aca="true">RAND()</f>
        <v>0.958732615172015</v>
      </c>
    </row>
    <row r="878" customFormat="false" ht="15" hidden="false" customHeight="false" outlineLevel="0" collapsed="false">
      <c r="A878" s="50" t="n">
        <v>798</v>
      </c>
      <c r="B878" s="51" t="n">
        <f aca="false">1+IF($G$6=$E$6,$F$6,IF(P878&lt;($F$6-$E$6)/($G$6-$E$6),$E$6+SQRT(P878*($G$6-$E$6)*($F$6-$E$6)),$G$6-SQRT((1-P878)*($G$6-$E$6)*($G$6-$F$6))))</f>
        <v>0.93322625263334</v>
      </c>
      <c r="C878" s="51" t="n">
        <f aca="false">1+IF($G$7=$E$7,$F$7,IF(Q878&lt;($F$7-$E$7)/($G$7-$E$7),$E$7+SQRT(Q878*($G$7-$E$7)*($F$7-$E$7)),$G$7-SQRT((1-Q878)*($G$7-$E$7)*($G$7-$F$7))))</f>
        <v>0.907963708057868</v>
      </c>
      <c r="D878" s="51" t="n">
        <f aca="false">1+IF($G$8=$E$8,$F$8,IF(R878&lt;($F$8-$E$8)/($G$8-$E$8),$E$8+SQRT(R878*($G$8-$E$8)*($F$8-$E$8)),$G$8-SQRT((1-R878)*($G$8-$E$8)*($G$8-$F$8))))</f>
        <v>1.01760801916819</v>
      </c>
      <c r="E878" s="51" t="n">
        <f aca="false">1+IF($G$9=$E$9,$F$9,IF(S878&lt;($F$9-$E$9)/($G$9-$E$9),$E$9+SQRT(S878*($G$9-$E$9)*($F$9-$E$9)),$G$9-SQRT((1-S878)*($G$9-$E$9)*($G$9-$F$9))))</f>
        <v>1.02356733689626</v>
      </c>
      <c r="F878" s="51" t="n">
        <f aca="false">1+IF($G$10=$E$10,$F$10,IF(T878&lt;($F$10-$E$10)/($G$10-$E$10),$E$10+SQRT(T878*($G$10-$E$10)*($F$10-$E$10)),$G$10-SQRT((1-T878)*($G$10-$E$10)*($G$10-$F$10))))</f>
        <v>1.10809858476638</v>
      </c>
      <c r="G878" s="52" t="n">
        <f aca="false">IF($G$11=$E$11,$F$11,IF(U878&lt;($F$11-$E$11)/($G$11-$E$11),$E$11+SQRT(U878*($G$11-$E$11)*($F$11-$E$11)),$G$11-SQRT((1-U878)*($G$11-$E$11)*($G$11-$F$11))))</f>
        <v>0.120970955143223</v>
      </c>
      <c r="H878" s="53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-2216197169.53277</v>
      </c>
      <c r="I878" s="53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-79247243.5931761</v>
      </c>
      <c r="J878" s="53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141792522.483419</v>
      </c>
      <c r="K878" s="53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418237217.798332</v>
      </c>
      <c r="L878" s="53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521201057.08152</v>
      </c>
      <c r="M878" s="53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682262601.998628</v>
      </c>
      <c r="N878" s="53" t="n">
        <f aca="false">IF(COUNT('Business Case'!B11:G11)=0,"",H878+NPV(G878,I878:M878))</f>
        <v>-1161584889.12021</v>
      </c>
      <c r="P878" s="54" t="n">
        <f aca="true">RAND()</f>
        <v>0.0735989242703022</v>
      </c>
      <c r="Q878" s="54" t="n">
        <f aca="true">RAND()</f>
        <v>0.3203622508828</v>
      </c>
      <c r="R878" s="54" t="n">
        <f aca="true">RAND()</f>
        <v>0.54743743297405</v>
      </c>
      <c r="S878" s="54" t="n">
        <f aca="true">RAND()</f>
        <v>0.573727512013243</v>
      </c>
      <c r="T878" s="54" t="n">
        <f aca="true">RAND()</f>
        <v>0.731519844729293</v>
      </c>
      <c r="U878" s="54" t="n">
        <f aca="true">RAND()</f>
        <v>0.945650899316201</v>
      </c>
    </row>
    <row r="879" customFormat="false" ht="15" hidden="false" customHeight="false" outlineLevel="0" collapsed="false">
      <c r="A879" s="50" t="n">
        <v>799</v>
      </c>
      <c r="B879" s="51" t="n">
        <f aca="false">1+IF($G$6=$E$6,$F$6,IF(P879&lt;($F$6-$E$6)/($G$6-$E$6),$E$6+SQRT(P879*($G$6-$E$6)*($F$6-$E$6)),$G$6-SQRT((1-P879)*($G$6-$E$6)*($G$6-$F$6))))</f>
        <v>0.951729007493538</v>
      </c>
      <c r="C879" s="51" t="n">
        <f aca="false">1+IF($G$7=$E$7,$F$7,IF(Q879&lt;($F$7-$E$7)/($G$7-$E$7),$E$7+SQRT(Q879*($G$7-$E$7)*($F$7-$E$7)),$G$7-SQRT((1-Q879)*($G$7-$E$7)*($G$7-$F$7))))</f>
        <v>0.943749150330051</v>
      </c>
      <c r="D879" s="51" t="n">
        <f aca="false">1+IF($G$8=$E$8,$F$8,IF(R879&lt;($F$8-$E$8)/($G$8-$E$8),$E$8+SQRT(R879*($G$8-$E$8)*($F$8-$E$8)),$G$8-SQRT((1-R879)*($G$8-$E$8)*($G$8-$F$8))))</f>
        <v>1.02329402590714</v>
      </c>
      <c r="E879" s="51" t="n">
        <f aca="false">1+IF($G$9=$E$9,$F$9,IF(S879&lt;($F$9-$E$9)/($G$9-$E$9),$E$9+SQRT(S879*($G$9-$E$9)*($F$9-$E$9)),$G$9-SQRT((1-S879)*($G$9-$E$9)*($G$9-$F$9))))</f>
        <v>0.92779699907979</v>
      </c>
      <c r="F879" s="51" t="n">
        <f aca="false">1+IF($G$10=$E$10,$F$10,IF(T879&lt;($F$10-$E$10)/($G$10-$E$10),$E$10+SQRT(T879*($G$10-$E$10)*($F$10-$E$10)),$G$10-SQRT((1-T879)*($G$10-$E$10)*($G$10-$F$10))))</f>
        <v>1.01856567609879</v>
      </c>
      <c r="G879" s="52" t="n">
        <f aca="false">IF($G$11=$E$11,$F$11,IF(U879&lt;($F$11-$E$11)/($G$11-$E$11),$E$11+SQRT(U879*($G$11-$E$11)*($F$11-$E$11)),$G$11-SQRT((1-U879)*($G$11-$E$11)*($G$11-$F$11))))</f>
        <v>0.114283649692675</v>
      </c>
      <c r="H879" s="53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-2037131352.19757</v>
      </c>
      <c r="I879" s="53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-39044519.3830389</v>
      </c>
      <c r="J879" s="53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202262610.154858</v>
      </c>
      <c r="K879" s="53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494498023.497694</v>
      </c>
      <c r="L879" s="53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605975298.704933</v>
      </c>
      <c r="M879" s="53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776703908.19194</v>
      </c>
      <c r="N879" s="53" t="n">
        <f aca="false">IF(COUNT('Business Case'!B11:G11)=0,"",H879+NPV(G879,I879:M879))</f>
        <v>-706635802.7926</v>
      </c>
      <c r="P879" s="54" t="n">
        <f aca="true">RAND()</f>
        <v>0.178392681084434</v>
      </c>
      <c r="Q879" s="54" t="n">
        <f aca="true">RAND()</f>
        <v>0.440101098419419</v>
      </c>
      <c r="R879" s="54" t="n">
        <f aca="true">RAND()</f>
        <v>0.607746235897707</v>
      </c>
      <c r="S879" s="54" t="n">
        <f aca="true">RAND()</f>
        <v>0.0309069263136735</v>
      </c>
      <c r="T879" s="54" t="n">
        <f aca="true">RAND()</f>
        <v>0.28584204960518</v>
      </c>
      <c r="U879" s="54" t="n">
        <f aca="true">RAND()</f>
        <v>0.835330888678302</v>
      </c>
    </row>
    <row r="880" customFormat="false" ht="15" hidden="false" customHeight="false" outlineLevel="0" collapsed="false">
      <c r="A880" s="50" t="n">
        <v>800</v>
      </c>
      <c r="B880" s="51" t="n">
        <f aca="false">1+IF($G$6=$E$6,$F$6,IF(P880&lt;($F$6-$E$6)/($G$6-$E$6),$E$6+SQRT(P880*($G$6-$E$6)*($F$6-$E$6)),$G$6-SQRT((1-P880)*($G$6-$E$6)*($G$6-$F$6))))</f>
        <v>1.00687363660208</v>
      </c>
      <c r="C880" s="51" t="n">
        <f aca="false">1+IF($G$7=$E$7,$F$7,IF(Q880&lt;($F$7-$E$7)/($G$7-$E$7),$E$7+SQRT(Q880*($G$7-$E$7)*($F$7-$E$7)),$G$7-SQRT((1-Q880)*($G$7-$E$7)*($G$7-$F$7))))</f>
        <v>0.952984618489279</v>
      </c>
      <c r="D880" s="51" t="n">
        <f aca="false">1+IF($G$8=$E$8,$F$8,IF(R880&lt;($F$8-$E$8)/($G$8-$E$8),$E$8+SQRT(R880*($G$8-$E$8)*($F$8-$E$8)),$G$8-SQRT((1-R880)*($G$8-$E$8)*($G$8-$F$8))))</f>
        <v>1.04149961170608</v>
      </c>
      <c r="E880" s="51" t="n">
        <f aca="false">1+IF($G$9=$E$9,$F$9,IF(S880&lt;($F$9-$E$9)/($G$9-$E$9),$E$9+SQRT(S880*($G$9-$E$9)*($F$9-$E$9)),$G$9-SQRT((1-S880)*($G$9-$E$9)*($G$9-$F$9))))</f>
        <v>1.05867168567434</v>
      </c>
      <c r="F880" s="51" t="n">
        <f aca="false">1+IF($G$10=$E$10,$F$10,IF(T880&lt;($F$10-$E$10)/($G$10-$E$10),$E$10+SQRT(T880*($G$10-$E$10)*($F$10-$E$10)),$G$10-SQRT((1-T880)*($G$10-$E$10)*($G$10-$F$10))))</f>
        <v>1.00685409748621</v>
      </c>
      <c r="G880" s="52" t="n">
        <f aca="false">IF($G$11=$E$11,$F$11,IF(U880&lt;($F$11-$E$11)/($G$11-$E$11),$E$11+SQRT(U880*($G$11-$E$11)*($F$11-$E$11)),$G$11-SQRT((1-U880)*($G$11-$E$11)*($G$11-$F$11))))</f>
        <v>0.105918884788465</v>
      </c>
      <c r="H880" s="53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-2013708194.97243</v>
      </c>
      <c r="I880" s="53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-23140048.2061742</v>
      </c>
      <c r="J880" s="53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254690726.024109</v>
      </c>
      <c r="K880" s="53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582864205.128703</v>
      </c>
      <c r="L880" s="53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708635995.862093</v>
      </c>
      <c r="M880" s="53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891024425.473556</v>
      </c>
      <c r="N880" s="53" t="n">
        <f aca="false">IF(COUNT('Business Case'!B11:G11)=0,"",H880+NPV(G880,I880:M880))</f>
        <v>-383132249.163647</v>
      </c>
      <c r="P880" s="54" t="n">
        <f aca="true">RAND()</f>
        <v>0.752015570676062</v>
      </c>
      <c r="Q880" s="54" t="n">
        <f aca="true">RAND()</f>
        <v>0.474083090312339</v>
      </c>
      <c r="R880" s="54" t="n">
        <f aca="true">RAND()</f>
        <v>0.77184697129741</v>
      </c>
      <c r="S880" s="54" t="n">
        <f aca="true">RAND()</f>
        <v>0.7775770400649</v>
      </c>
      <c r="T880" s="54" t="n">
        <f aca="true">RAND()</f>
        <v>0.211734267876748</v>
      </c>
      <c r="U880" s="54" t="n">
        <f aca="true">RAND()</f>
        <v>0.613399926779187</v>
      </c>
    </row>
    <row r="881" customFormat="false" ht="15" hidden="false" customHeight="false" outlineLevel="0" collapsed="false">
      <c r="A881" s="50" t="n">
        <v>801</v>
      </c>
      <c r="B881" s="51" t="n">
        <f aca="false">1+IF($G$6=$E$6,$F$6,IF(P881&lt;($F$6-$E$6)/($G$6-$E$6),$E$6+SQRT(P881*($G$6-$E$6)*($F$6-$E$6)),$G$6-SQRT((1-P881)*($G$6-$E$6)*($G$6-$F$6))))</f>
        <v>1.00084980178046</v>
      </c>
      <c r="C881" s="51" t="n">
        <f aca="false">1+IF($G$7=$E$7,$F$7,IF(Q881&lt;($F$7-$E$7)/($G$7-$E$7),$E$7+SQRT(Q881*($G$7-$E$7)*($F$7-$E$7)),$G$7-SQRT((1-Q881)*($G$7-$E$7)*($G$7-$F$7))))</f>
        <v>0.901373403143862</v>
      </c>
      <c r="D881" s="51" t="n">
        <f aca="false">1+IF($G$8=$E$8,$F$8,IF(R881&lt;($F$8-$E$8)/($G$8-$E$8),$E$8+SQRT(R881*($G$8-$E$8)*($F$8-$E$8)),$G$8-SQRT((1-R881)*($G$8-$E$8)*($G$8-$F$8))))</f>
        <v>0.956493405385653</v>
      </c>
      <c r="E881" s="51" t="n">
        <f aca="false">1+IF($G$9=$E$9,$F$9,IF(S881&lt;($F$9-$E$9)/($G$9-$E$9),$E$9+SQRT(S881*($G$9-$E$9)*($F$9-$E$9)),$G$9-SQRT((1-S881)*($G$9-$E$9)*($G$9-$F$9))))</f>
        <v>1.12849140991704</v>
      </c>
      <c r="F881" s="51" t="n">
        <f aca="false">1+IF($G$10=$E$10,$F$10,IF(T881&lt;($F$10-$E$10)/($G$10-$E$10),$E$10+SQRT(T881*($G$10-$E$10)*($F$10-$E$10)),$G$10-SQRT((1-T881)*($G$10-$E$10)*($G$10-$F$10))))</f>
        <v>1.0414020518559</v>
      </c>
      <c r="G881" s="52" t="n">
        <f aca="false">IF($G$11=$E$11,$F$11,IF(U881&lt;($F$11-$E$11)/($G$11-$E$11),$E$11+SQRT(U881*($G$11-$E$11)*($F$11-$E$11)),$G$11-SQRT((1-U881)*($G$11-$E$11)*($G$11-$F$11))))</f>
        <v>0.102710751210675</v>
      </c>
      <c r="H881" s="53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-2082804103.7118</v>
      </c>
      <c r="I881" s="53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-13817251.6971698</v>
      </c>
      <c r="J881" s="53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283744086.355823</v>
      </c>
      <c r="K881" s="53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633375527.001612</v>
      </c>
      <c r="L881" s="53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763740577.068856</v>
      </c>
      <c r="M881" s="53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935219232.674881</v>
      </c>
      <c r="N881" s="53" t="n">
        <f aca="false">IF(COUNT('Business Case'!B11:G11)=0,"",H881+NPV(G881,I881:M881))</f>
        <v>-299493340.410777</v>
      </c>
      <c r="P881" s="54" t="n">
        <f aca="true">RAND()</f>
        <v>0.677901068663966</v>
      </c>
      <c r="Q881" s="54" t="n">
        <f aca="true">RAND()</f>
        <v>0.300379611064743</v>
      </c>
      <c r="R881" s="54" t="n">
        <f aca="true">RAND()</f>
        <v>0.00562190846699028</v>
      </c>
      <c r="S881" s="54" t="n">
        <f aca="true">RAND()</f>
        <v>0.987663481403817</v>
      </c>
      <c r="T881" s="54" t="n">
        <f aca="true">RAND()</f>
        <v>0.419825280400942</v>
      </c>
      <c r="U881" s="54" t="n">
        <f aca="true">RAND()</f>
        <v>0.503531267009551</v>
      </c>
    </row>
    <row r="882" customFormat="false" ht="15" hidden="false" customHeight="false" outlineLevel="0" collapsed="false">
      <c r="A882" s="50" t="n">
        <v>802</v>
      </c>
      <c r="B882" s="51" t="n">
        <f aca="false">1+IF($G$6=$E$6,$F$6,IF(P882&lt;($F$6-$E$6)/($G$6-$E$6),$E$6+SQRT(P882*($G$6-$E$6)*($F$6-$E$6)),$G$6-SQRT((1-P882)*($G$6-$E$6)*($G$6-$F$6))))</f>
        <v>0.987808975984624</v>
      </c>
      <c r="C882" s="51" t="n">
        <f aca="false">1+IF($G$7=$E$7,$F$7,IF(Q882&lt;($F$7-$E$7)/($G$7-$E$7),$E$7+SQRT(Q882*($G$7-$E$7)*($F$7-$E$7)),$G$7-SQRT((1-Q882)*($G$7-$E$7)*($G$7-$F$7))))</f>
        <v>0.973981013377719</v>
      </c>
      <c r="D882" s="51" t="n">
        <f aca="false">1+IF($G$8=$E$8,$F$8,IF(R882&lt;($F$8-$E$8)/($G$8-$E$8),$E$8+SQRT(R882*($G$8-$E$8)*($F$8-$E$8)),$G$8-SQRT((1-R882)*($G$8-$E$8)*($G$8-$F$8))))</f>
        <v>0.992070406391282</v>
      </c>
      <c r="E882" s="51" t="n">
        <f aca="false">1+IF($G$9=$E$9,$F$9,IF(S882&lt;($F$9-$E$9)/($G$9-$E$9),$E$9+SQRT(S882*($G$9-$E$9)*($F$9-$E$9)),$G$9-SQRT((1-S882)*($G$9-$E$9)*($G$9-$F$9))))</f>
        <v>1.0342868179087</v>
      </c>
      <c r="F882" s="51" t="n">
        <f aca="false">1+IF($G$10=$E$10,$F$10,IF(T882&lt;($F$10-$E$10)/($G$10-$E$10),$E$10+SQRT(T882*($G$10-$E$10)*($F$10-$E$10)),$G$10-SQRT((1-T882)*($G$10-$E$10)*($G$10-$F$10))))</f>
        <v>0.981001596065624</v>
      </c>
      <c r="G882" s="52" t="n">
        <f aca="false">IF($G$11=$E$11,$F$11,IF(U882&lt;($F$11-$E$11)/($G$11-$E$11),$E$11+SQRT(U882*($G$11-$E$11)*($F$11-$E$11)),$G$11-SQRT((1-U882)*($G$11-$E$11)*($G$11-$F$11))))</f>
        <v>0.112482372729636</v>
      </c>
      <c r="H882" s="53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-1962003192.13125</v>
      </c>
      <c r="I882" s="53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-1662985.60659599</v>
      </c>
      <c r="J882" s="53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291725410.497557</v>
      </c>
      <c r="K882" s="53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634163886.404991</v>
      </c>
      <c r="L882" s="53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765210442.838088</v>
      </c>
      <c r="M882" s="53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948087777.029176</v>
      </c>
      <c r="N882" s="53" t="n">
        <f aca="false">IF(COUNT('Business Case'!B11:G11)=0,"",H882+NPV(G882,I882:M882))</f>
        <v>-211206252.221617</v>
      </c>
      <c r="P882" s="54" t="n">
        <f aca="true">RAND()</f>
        <v>0.514027750897879</v>
      </c>
      <c r="Q882" s="54" t="n">
        <f aca="true">RAND()</f>
        <v>0.556041449566531</v>
      </c>
      <c r="R882" s="54" t="n">
        <f aca="true">RAND()</f>
        <v>0.235989212523688</v>
      </c>
      <c r="S882" s="54" t="n">
        <f aca="true">RAND()</f>
        <v>0.642945586408157</v>
      </c>
      <c r="T882" s="54" t="n">
        <f aca="true">RAND()</f>
        <v>0.0640732639077424</v>
      </c>
      <c r="U882" s="54" t="n">
        <f aca="true">RAND()</f>
        <v>0.795421823211076</v>
      </c>
    </row>
    <row r="883" customFormat="false" ht="15" hidden="false" customHeight="false" outlineLevel="0" collapsed="false">
      <c r="A883" s="50" t="n">
        <v>803</v>
      </c>
      <c r="B883" s="51" t="n">
        <f aca="false">1+IF($G$6=$E$6,$F$6,IF(P883&lt;($F$6-$E$6)/($G$6-$E$6),$E$6+SQRT(P883*($G$6-$E$6)*($F$6-$E$6)),$G$6-SQRT((1-P883)*($G$6-$E$6)*($G$6-$F$6))))</f>
        <v>0.968059069864294</v>
      </c>
      <c r="C883" s="51" t="n">
        <f aca="false">1+IF($G$7=$E$7,$F$7,IF(Q883&lt;($F$7-$E$7)/($G$7-$E$7),$E$7+SQRT(Q883*($G$7-$E$7)*($F$7-$E$7)),$G$7-SQRT((1-Q883)*($G$7-$E$7)*($G$7-$F$7))))</f>
        <v>0.854377683340884</v>
      </c>
      <c r="D883" s="51" t="n">
        <f aca="false">1+IF($G$8=$E$8,$F$8,IF(R883&lt;($F$8-$E$8)/($G$8-$E$8),$E$8+SQRT(R883*($G$8-$E$8)*($F$8-$E$8)),$G$8-SQRT((1-R883)*($G$8-$E$8)*($G$8-$F$8))))</f>
        <v>0.991764848944222</v>
      </c>
      <c r="E883" s="51" t="n">
        <f aca="false">1+IF($G$9=$E$9,$F$9,IF(S883&lt;($F$9-$E$9)/($G$9-$E$9),$E$9+SQRT(S883*($G$9-$E$9)*($F$9-$E$9)),$G$9-SQRT((1-S883)*($G$9-$E$9)*($G$9-$F$9))))</f>
        <v>1.04522146019584</v>
      </c>
      <c r="F883" s="51" t="n">
        <f aca="false">1+IF($G$10=$E$10,$F$10,IF(T883&lt;($F$10-$E$10)/($G$10-$E$10),$E$10+SQRT(T883*($G$10-$E$10)*($F$10-$E$10)),$G$10-SQRT((1-T883)*($G$10-$E$10)*($G$10-$F$10))))</f>
        <v>0.970249121009212</v>
      </c>
      <c r="G883" s="52" t="n">
        <f aca="false">IF($G$11=$E$11,$F$11,IF(U883&lt;($F$11-$E$11)/($G$11-$E$11),$E$11+SQRT(U883*($G$11-$E$11)*($F$11-$E$11)),$G$11-SQRT((1-U883)*($G$11-$E$11)*($G$11-$F$11))))</f>
        <v>0.105925952736657</v>
      </c>
      <c r="H883" s="53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-1940498242.01842</v>
      </c>
      <c r="I883" s="53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-44858163.849471</v>
      </c>
      <c r="J883" s="53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198815321.354641</v>
      </c>
      <c r="K883" s="53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491001262.609214</v>
      </c>
      <c r="L883" s="53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600809921.219126</v>
      </c>
      <c r="M883" s="53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758022820.699441</v>
      </c>
      <c r="N883" s="53" t="n">
        <f aca="false">IF(COUNT('Business Case'!B11:G11)=0,"",H883+NPV(G883,I883:M883))</f>
        <v>-595674630.25487</v>
      </c>
      <c r="P883" s="54" t="n">
        <f aca="true">RAND()</f>
        <v>0.308802466052851</v>
      </c>
      <c r="Q883" s="54" t="n">
        <f aca="true">RAND()</f>
        <v>0.176536808249616</v>
      </c>
      <c r="R883" s="54" t="n">
        <f aca="true">RAND()</f>
        <v>0.232573680977828</v>
      </c>
      <c r="S883" s="54" t="n">
        <f aca="true">RAND()</f>
        <v>0.707238869240216</v>
      </c>
      <c r="T883" s="54" t="n">
        <f aca="true">RAND()</f>
        <v>0.0273351267763811</v>
      </c>
      <c r="U883" s="54" t="n">
        <f aca="true">RAND()</f>
        <v>0.613626832241556</v>
      </c>
    </row>
    <row r="884" customFormat="false" ht="15" hidden="false" customHeight="false" outlineLevel="0" collapsed="false">
      <c r="A884" s="50" t="n">
        <v>804</v>
      </c>
      <c r="B884" s="51" t="n">
        <f aca="false">1+IF($G$6=$E$6,$F$6,IF(P884&lt;($F$6-$E$6)/($G$6-$E$6),$E$6+SQRT(P884*($G$6-$E$6)*($F$6-$E$6)),$G$6-SQRT((1-P884)*($G$6-$E$6)*($G$6-$F$6))))</f>
        <v>1.02180749990133</v>
      </c>
      <c r="C884" s="51" t="n">
        <f aca="false">1+IF($G$7=$E$7,$F$7,IF(Q884&lt;($F$7-$E$7)/($G$7-$E$7),$E$7+SQRT(Q884*($G$7-$E$7)*($F$7-$E$7)),$G$7-SQRT((1-Q884)*($G$7-$E$7)*($G$7-$F$7))))</f>
        <v>0.943194030791818</v>
      </c>
      <c r="D884" s="51" t="n">
        <f aca="false">1+IF($G$8=$E$8,$F$8,IF(R884&lt;($F$8-$E$8)/($G$8-$E$8),$E$8+SQRT(R884*($G$8-$E$8)*($F$8-$E$8)),$G$8-SQRT((1-R884)*($G$8-$E$8)*($G$8-$F$8))))</f>
        <v>1.01445501069728</v>
      </c>
      <c r="E884" s="51" t="n">
        <f aca="false">1+IF($G$9=$E$9,$F$9,IF(S884&lt;($F$9-$E$9)/($G$9-$E$9),$E$9+SQRT(S884*($G$9-$E$9)*($F$9-$E$9)),$G$9-SQRT((1-S884)*($G$9-$E$9)*($G$9-$F$9))))</f>
        <v>0.978354791605776</v>
      </c>
      <c r="F884" s="51" t="n">
        <f aca="false">1+IF($G$10=$E$10,$F$10,IF(T884&lt;($F$10-$E$10)/($G$10-$E$10),$E$10+SQRT(T884*($G$10-$E$10)*($F$10-$E$10)),$G$10-SQRT((1-T884)*($G$10-$E$10)*($G$10-$F$10))))</f>
        <v>1.19679117248581</v>
      </c>
      <c r="G884" s="52" t="n">
        <f aca="false">IF($G$11=$E$11,$F$11,IF(U884&lt;($F$11-$E$11)/($G$11-$E$11),$E$11+SQRT(U884*($G$11-$E$11)*($F$11-$E$11)),$G$11-SQRT((1-U884)*($G$11-$E$11)*($G$11-$F$11))))</f>
        <v>0.105068629746969</v>
      </c>
      <c r="H884" s="53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-2393582344.97163</v>
      </c>
      <c r="I884" s="53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-9190902.27222242</v>
      </c>
      <c r="J884" s="53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290380824.228267</v>
      </c>
      <c r="K884" s="53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649792109.353047</v>
      </c>
      <c r="L884" s="53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782956991.625069</v>
      </c>
      <c r="M884" s="53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966149012.203628</v>
      </c>
      <c r="N884" s="53" t="n">
        <f aca="false">IF(COUNT('Business Case'!B11:G11)=0,"",H884+NPV(G884,I884:M884))</f>
        <v>-571303771.704348</v>
      </c>
      <c r="P884" s="54" t="n">
        <f aca="true">RAND()</f>
        <v>0.894024391758217</v>
      </c>
      <c r="Q884" s="54" t="n">
        <f aca="true">RAND()</f>
        <v>0.438098789724233</v>
      </c>
      <c r="R884" s="54" t="n">
        <f aca="true">RAND()</f>
        <v>0.512136987013206</v>
      </c>
      <c r="S884" s="54" t="n">
        <f aca="true">RAND()</f>
        <v>0.245578934703386</v>
      </c>
      <c r="T884" s="54" t="n">
        <f aca="true">RAND()</f>
        <v>0.962250942327542</v>
      </c>
      <c r="U884" s="54" t="n">
        <f aca="true">RAND()</f>
        <v>0.585617851537505</v>
      </c>
    </row>
    <row r="885" customFormat="false" ht="15" hidden="false" customHeight="false" outlineLevel="0" collapsed="false">
      <c r="A885" s="50" t="n">
        <v>805</v>
      </c>
      <c r="B885" s="51" t="n">
        <f aca="false">1+IF($G$6=$E$6,$F$6,IF(P885&lt;($F$6-$E$6)/($G$6-$E$6),$E$6+SQRT(P885*($G$6-$E$6)*($F$6-$E$6)),$G$6-SQRT((1-P885)*($G$6-$E$6)*($G$6-$F$6))))</f>
        <v>0.979822528936821</v>
      </c>
      <c r="C885" s="51" t="n">
        <f aca="false">1+IF($G$7=$E$7,$F$7,IF(Q885&lt;($F$7-$E$7)/($G$7-$E$7),$E$7+SQRT(Q885*($G$7-$E$7)*($F$7-$E$7)),$G$7-SQRT((1-Q885)*($G$7-$E$7)*($G$7-$F$7))))</f>
        <v>1.00776997906728</v>
      </c>
      <c r="D885" s="51" t="n">
        <f aca="false">1+IF($G$8=$E$8,$F$8,IF(R885&lt;($F$8-$E$8)/($G$8-$E$8),$E$8+SQRT(R885*($G$8-$E$8)*($F$8-$E$8)),$G$8-SQRT((1-R885)*($G$8-$E$8)*($G$8-$F$8))))</f>
        <v>1.00829767399224</v>
      </c>
      <c r="E885" s="51" t="n">
        <f aca="false">1+IF($G$9=$E$9,$F$9,IF(S885&lt;($F$9-$E$9)/($G$9-$E$9),$E$9+SQRT(S885*($G$9-$E$9)*($F$9-$E$9)),$G$9-SQRT((1-S885)*($G$9-$E$9)*($G$9-$F$9))))</f>
        <v>1.09871184321815</v>
      </c>
      <c r="F885" s="51" t="n">
        <f aca="false">1+IF($G$10=$E$10,$F$10,IF(T885&lt;($F$10-$E$10)/($G$10-$E$10),$E$10+SQRT(T885*($G$10-$E$10)*($F$10-$E$10)),$G$10-SQRT((1-T885)*($G$10-$E$10)*($G$10-$F$10))))</f>
        <v>1.02776705665833</v>
      </c>
      <c r="G885" s="52" t="n">
        <f aca="false">IF($G$11=$E$11,$F$11,IF(U885&lt;($F$11-$E$11)/($G$11-$E$11),$E$11+SQRT(U885*($G$11-$E$11)*($F$11-$E$11)),$G$11-SQRT((1-U885)*($G$11-$E$11)*($G$11-$F$11))))</f>
        <v>0.0923583474402426</v>
      </c>
      <c r="H885" s="53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-2055534113.31666</v>
      </c>
      <c r="I885" s="53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-21599598.019946</v>
      </c>
      <c r="J885" s="53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267003001.947614</v>
      </c>
      <c r="K885" s="53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606993954.748091</v>
      </c>
      <c r="L885" s="53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737320600.214646</v>
      </c>
      <c r="M885" s="53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925012383.673503</v>
      </c>
      <c r="N885" s="53" t="n">
        <f aca="false">IF(COUNT('Business Case'!B11:G11)=0,"",H885+NPV(G885,I885:M885))</f>
        <v>-273291135.43483</v>
      </c>
      <c r="P885" s="54" t="n">
        <f aca="true">RAND()</f>
        <v>0.424775741724638</v>
      </c>
      <c r="Q885" s="54" t="n">
        <f aca="true">RAND()</f>
        <v>0.700305498451523</v>
      </c>
      <c r="R885" s="54" t="n">
        <f aca="true">RAND()</f>
        <v>0.439378893651039</v>
      </c>
      <c r="S885" s="54" t="n">
        <f aca="true">RAND()</f>
        <v>0.929853999304552</v>
      </c>
      <c r="T885" s="54" t="n">
        <f aca="true">RAND()</f>
        <v>0.341500251915983</v>
      </c>
      <c r="U885" s="54" t="n">
        <f aca="true">RAND()</f>
        <v>0.152728751453752</v>
      </c>
    </row>
    <row r="886" customFormat="false" ht="15" hidden="false" customHeight="false" outlineLevel="0" collapsed="false">
      <c r="A886" s="50" t="n">
        <v>806</v>
      </c>
      <c r="B886" s="51" t="n">
        <f aca="false">1+IF($G$6=$E$6,$F$6,IF(P886&lt;($F$6-$E$6)/($G$6-$E$6),$E$6+SQRT(P886*($G$6-$E$6)*($F$6-$E$6)),$G$6-SQRT((1-P886)*($G$6-$E$6)*($G$6-$F$6))))</f>
        <v>0.981628181886688</v>
      </c>
      <c r="C886" s="51" t="n">
        <f aca="false">1+IF($G$7=$E$7,$F$7,IF(Q886&lt;($F$7-$E$7)/($G$7-$E$7),$E$7+SQRT(Q886*($G$7-$E$7)*($F$7-$E$7)),$G$7-SQRT((1-Q886)*($G$7-$E$7)*($G$7-$F$7))))</f>
        <v>1.01836017687802</v>
      </c>
      <c r="D886" s="51" t="n">
        <f aca="false">1+IF($G$8=$E$8,$F$8,IF(R886&lt;($F$8-$E$8)/($G$8-$E$8),$E$8+SQRT(R886*($G$8-$E$8)*($F$8-$E$8)),$G$8-SQRT((1-R886)*($G$8-$E$8)*($G$8-$F$8))))</f>
        <v>0.972363893483025</v>
      </c>
      <c r="E886" s="51" t="n">
        <f aca="false">1+IF($G$9=$E$9,$F$9,IF(S886&lt;($F$9-$E$9)/($G$9-$E$9),$E$9+SQRT(S886*($G$9-$E$9)*($F$9-$E$9)),$G$9-SQRT((1-S886)*($G$9-$E$9)*($G$9-$F$9))))</f>
        <v>1.10806788406625</v>
      </c>
      <c r="F886" s="51" t="n">
        <f aca="false">1+IF($G$10=$E$10,$F$10,IF(T886&lt;($F$10-$E$10)/($G$10-$E$10),$E$10+SQRT(T886*($G$10-$E$10)*($F$10-$E$10)),$G$10-SQRT((1-T886)*($G$10-$E$10)*($G$10-$F$10))))</f>
        <v>1.16229142753887</v>
      </c>
      <c r="G886" s="52" t="n">
        <f aca="false">IF($G$11=$E$11,$F$11,IF(U886&lt;($F$11-$E$11)/($G$11-$E$11),$E$11+SQRT(U886*($G$11-$E$11)*($F$11-$E$11)),$G$11-SQRT((1-U886)*($G$11-$E$11)*($G$11-$F$11))))</f>
        <v>0.114243007559087</v>
      </c>
      <c r="H886" s="53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-2324582855.07774</v>
      </c>
      <c r="I886" s="53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-13743838.2358813</v>
      </c>
      <c r="J886" s="53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298130629.773113</v>
      </c>
      <c r="K886" s="53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668119669.15905</v>
      </c>
      <c r="L886" s="53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806625765.413228</v>
      </c>
      <c r="M886" s="53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996639436.794713</v>
      </c>
      <c r="N886" s="53" t="n">
        <f aca="false">IF(COUNT('Business Case'!B11:G11)=0,"",H886+NPV(G886,I886:M886))</f>
        <v>-510240429.402719</v>
      </c>
      <c r="P886" s="54" t="n">
        <f aca="true">RAND()</f>
        <v>0.444210671875084</v>
      </c>
      <c r="Q886" s="54" t="n">
        <f aca="true">RAND()</f>
        <v>0.743273436569099</v>
      </c>
      <c r="R886" s="54" t="n">
        <f aca="true">RAND()</f>
        <v>0.0666858308960102</v>
      </c>
      <c r="S886" s="54" t="n">
        <f aca="true">RAND()</f>
        <v>0.953111937421817</v>
      </c>
      <c r="T886" s="54" t="n">
        <f aca="true">RAND()</f>
        <v>0.897429417557741</v>
      </c>
      <c r="U886" s="54" t="n">
        <f aca="true">RAND()</f>
        <v>0.834478126144676</v>
      </c>
    </row>
    <row r="887" customFormat="false" ht="15" hidden="false" customHeight="false" outlineLevel="0" collapsed="false">
      <c r="A887" s="50" t="n">
        <v>807</v>
      </c>
      <c r="B887" s="51" t="n">
        <f aca="false">1+IF($G$6=$E$6,$F$6,IF(P887&lt;($F$6-$E$6)/($G$6-$E$6),$E$6+SQRT(P887*($G$6-$E$6)*($F$6-$E$6)),$G$6-SQRT((1-P887)*($G$6-$E$6)*($G$6-$F$6))))</f>
        <v>1.03767383016476</v>
      </c>
      <c r="C887" s="51" t="n">
        <f aca="false">1+IF($G$7=$E$7,$F$7,IF(Q887&lt;($F$7-$E$7)/($G$7-$E$7),$E$7+SQRT(Q887*($G$7-$E$7)*($F$7-$E$7)),$G$7-SQRT((1-Q887)*($G$7-$E$7)*($G$7-$F$7))))</f>
        <v>0.909075081884706</v>
      </c>
      <c r="D887" s="51" t="n">
        <f aca="false">1+IF($G$8=$E$8,$F$8,IF(R887&lt;($F$8-$E$8)/($G$8-$E$8),$E$8+SQRT(R887*($G$8-$E$8)*($F$8-$E$8)),$G$8-SQRT((1-R887)*($G$8-$E$8)*($G$8-$F$8))))</f>
        <v>1.03265147411365</v>
      </c>
      <c r="E887" s="51" t="n">
        <f aca="false">1+IF($G$9=$E$9,$F$9,IF(S887&lt;($F$9-$E$9)/($G$9-$E$9),$E$9+SQRT(S887*($G$9-$E$9)*($F$9-$E$9)),$G$9-SQRT((1-S887)*($G$9-$E$9)*($G$9-$F$9))))</f>
        <v>1.04400292633769</v>
      </c>
      <c r="F887" s="51" t="n">
        <f aca="false">1+IF($G$10=$E$10,$F$10,IF(T887&lt;($F$10-$E$10)/($G$10-$E$10),$E$10+SQRT(T887*($G$10-$E$10)*($F$10-$E$10)),$G$10-SQRT((1-T887)*($G$10-$E$10)*($G$10-$F$10))))</f>
        <v>1.0136299656686</v>
      </c>
      <c r="G887" s="52" t="n">
        <f aca="false">IF($G$11=$E$11,$F$11,IF(U887&lt;($F$11-$E$11)/($G$11-$E$11),$E$11+SQRT(U887*($G$11-$E$11)*($F$11-$E$11)),$G$11-SQRT((1-U887)*($G$11-$E$11)*($G$11-$F$11))))</f>
        <v>0.11189828936812</v>
      </c>
      <c r="H887" s="53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-2027259931.3372</v>
      </c>
      <c r="I887" s="53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-6641150.64390811</v>
      </c>
      <c r="J887" s="53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285439797.607308</v>
      </c>
      <c r="K887" s="53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628202244.141954</v>
      </c>
      <c r="L887" s="53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758163817.69439</v>
      </c>
      <c r="M887" s="53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937470733.772223</v>
      </c>
      <c r="N887" s="53" t="n">
        <f aca="false">IF(COUNT('Business Case'!B11:G11)=0,"",H887+NPV(G887,I887:M887))</f>
        <v>-297731792.525812</v>
      </c>
      <c r="P887" s="54" t="n">
        <f aca="true">RAND()</f>
        <v>0.979742071625719</v>
      </c>
      <c r="Q887" s="54" t="n">
        <f aca="true">RAND()</f>
        <v>0.323795480482197</v>
      </c>
      <c r="R887" s="54" t="n">
        <f aca="true">RAND()</f>
        <v>0.697611737395709</v>
      </c>
      <c r="S887" s="54" t="n">
        <f aca="true">RAND()</f>
        <v>0.700389876667363</v>
      </c>
      <c r="T887" s="54" t="n">
        <f aca="true">RAND()</f>
        <v>0.255056091602297</v>
      </c>
      <c r="U887" s="54" t="n">
        <f aca="true">RAND()</f>
        <v>0.781552048133131</v>
      </c>
    </row>
    <row r="888" customFormat="false" ht="15" hidden="false" customHeight="false" outlineLevel="0" collapsed="false">
      <c r="A888" s="50" t="n">
        <v>808</v>
      </c>
      <c r="B888" s="51" t="n">
        <f aca="false">1+IF($G$6=$E$6,$F$6,IF(P888&lt;($F$6-$E$6)/($G$6-$E$6),$E$6+SQRT(P888*($G$6-$E$6)*($F$6-$E$6)),$G$6-SQRT((1-P888)*($G$6-$E$6)*($G$6-$F$6))))</f>
        <v>0.959635489933146</v>
      </c>
      <c r="C888" s="51" t="n">
        <f aca="false">1+IF($G$7=$E$7,$F$7,IF(Q888&lt;($F$7-$E$7)/($G$7-$E$7),$E$7+SQRT(Q888*($G$7-$E$7)*($F$7-$E$7)),$G$7-SQRT((1-Q888)*($G$7-$E$7)*($G$7-$F$7))))</f>
        <v>0.952237173786456</v>
      </c>
      <c r="D888" s="51" t="n">
        <f aca="false">1+IF($G$8=$E$8,$F$8,IF(R888&lt;($F$8-$E$8)/($G$8-$E$8),$E$8+SQRT(R888*($G$8-$E$8)*($F$8-$E$8)),$G$8-SQRT((1-R888)*($G$8-$E$8)*($G$8-$F$8))))</f>
        <v>1.04310228059328</v>
      </c>
      <c r="E888" s="51" t="n">
        <f aca="false">1+IF($G$9=$E$9,$F$9,IF(S888&lt;($F$9-$E$9)/($G$9-$E$9),$E$9+SQRT(S888*($G$9-$E$9)*($F$9-$E$9)),$G$9-SQRT((1-S888)*($G$9-$E$9)*($G$9-$F$9))))</f>
        <v>1.08882656185006</v>
      </c>
      <c r="F888" s="51" t="n">
        <f aca="false">1+IF($G$10=$E$10,$F$10,IF(T888&lt;($F$10-$E$10)/($G$10-$E$10),$E$10+SQRT(T888*($G$10-$E$10)*($F$10-$E$10)),$G$10-SQRT((1-T888)*($G$10-$E$10)*($G$10-$F$10))))</f>
        <v>1.1631884659344</v>
      </c>
      <c r="G888" s="52" t="n">
        <f aca="false">IF($G$11=$E$11,$F$11,IF(U888&lt;($F$11-$E$11)/($G$11-$E$11),$E$11+SQRT(U888*($G$11-$E$11)*($F$11-$E$11)),$G$11-SQRT((1-U888)*($G$11-$E$11)*($G$11-$F$11))))</f>
        <v>0.104549244950479</v>
      </c>
      <c r="H888" s="53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-2326376931.86879</v>
      </c>
      <c r="I888" s="53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-78533222.4489296</v>
      </c>
      <c r="J888" s="53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161454961.210325</v>
      </c>
      <c r="K888" s="53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459602568.1663</v>
      </c>
      <c r="L888" s="53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571179577.665829</v>
      </c>
      <c r="M888" s="53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744874793.204606</v>
      </c>
      <c r="N888" s="53" t="n">
        <f aca="false">IF(COUNT('Business Case'!B11:G11)=0,"",H888+NPV(G888,I888:M888))</f>
        <v>-1087284509.0934</v>
      </c>
      <c r="P888" s="54" t="n">
        <f aca="true">RAND()</f>
        <v>0.23709277730442</v>
      </c>
      <c r="Q888" s="54" t="n">
        <f aca="true">RAND()</f>
        <v>0.471285865479844</v>
      </c>
      <c r="R888" s="54" t="n">
        <f aca="true">RAND()</f>
        <v>0.784176635087624</v>
      </c>
      <c r="S888" s="54" t="n">
        <f aca="true">RAND()</f>
        <v>0.900208279064412</v>
      </c>
      <c r="T888" s="54" t="n">
        <f aca="true">RAND()</f>
        <v>0.899516767375686</v>
      </c>
      <c r="U888" s="54" t="n">
        <f aca="true">RAND()</f>
        <v>0.568172711606184</v>
      </c>
    </row>
    <row r="889" customFormat="false" ht="15" hidden="false" customHeight="false" outlineLevel="0" collapsed="false">
      <c r="A889" s="50" t="n">
        <v>809</v>
      </c>
      <c r="B889" s="51" t="n">
        <f aca="false">1+IF($G$6=$E$6,$F$6,IF(P889&lt;($F$6-$E$6)/($G$6-$E$6),$E$6+SQRT(P889*($G$6-$E$6)*($F$6-$E$6)),$G$6-SQRT((1-P889)*($G$6-$E$6)*($G$6-$F$6))))</f>
        <v>1.01479360256387</v>
      </c>
      <c r="C889" s="51" t="n">
        <f aca="false">1+IF($G$7=$E$7,$F$7,IF(Q889&lt;($F$7-$E$7)/($G$7-$E$7),$E$7+SQRT(Q889*($G$7-$E$7)*($F$7-$E$7)),$G$7-SQRT((1-Q889)*($G$7-$E$7)*($G$7-$F$7))))</f>
        <v>1.09368323707581</v>
      </c>
      <c r="D889" s="51" t="n">
        <f aca="false">1+IF($G$8=$E$8,$F$8,IF(R889&lt;($F$8-$E$8)/($G$8-$E$8),$E$8+SQRT(R889*($G$8-$E$8)*($F$8-$E$8)),$G$8-SQRT((1-R889)*($G$8-$E$8)*($G$8-$F$8))))</f>
        <v>1.03939559204447</v>
      </c>
      <c r="E889" s="51" t="n">
        <f aca="false">1+IF($G$9=$E$9,$F$9,IF(S889&lt;($F$9-$E$9)/($G$9-$E$9),$E$9+SQRT(S889*($G$9-$E$9)*($F$9-$E$9)),$G$9-SQRT((1-S889)*($G$9-$E$9)*($G$9-$F$9))))</f>
        <v>0.967473536795966</v>
      </c>
      <c r="F889" s="51" t="n">
        <f aca="false">1+IF($G$10=$E$10,$F$10,IF(T889&lt;($F$10-$E$10)/($G$10-$E$10),$E$10+SQRT(T889*($G$10-$E$10)*($F$10-$E$10)),$G$10-SQRT((1-T889)*($G$10-$E$10)*($G$10-$F$10))))</f>
        <v>1.07771264643041</v>
      </c>
      <c r="G889" s="52" t="n">
        <f aca="false">IF($G$11=$E$11,$F$11,IF(U889&lt;($F$11-$E$11)/($G$11-$E$11),$E$11+SQRT(U889*($G$11-$E$11)*($F$11-$E$11)),$G$11-SQRT((1-U889)*($G$11-$E$11)*($G$11-$F$11))))</f>
        <v>0.10789610474302</v>
      </c>
      <c r="H889" s="53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-2155425292.86082</v>
      </c>
      <c r="I889" s="53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24241156.8122415</v>
      </c>
      <c r="J889" s="53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351363600.274781</v>
      </c>
      <c r="K889" s="53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732371676.058842</v>
      </c>
      <c r="L889" s="53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879769347.262936</v>
      </c>
      <c r="M889" s="53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1090732059.20413</v>
      </c>
      <c r="N889" s="53" t="n">
        <f aca="false">IF(COUNT('Business Case'!B11:G11)=0,"",H889+NPV(G889,I889:M889))</f>
        <v>-71313965.4150457</v>
      </c>
      <c r="P889" s="54" t="n">
        <f aca="true">RAND()</f>
        <v>0.834734610609228</v>
      </c>
      <c r="Q889" s="54" t="n">
        <f aca="true">RAND()</f>
        <v>0.953013662425784</v>
      </c>
      <c r="R889" s="54" t="n">
        <f aca="true">RAND()</f>
        <v>0.755140382424005</v>
      </c>
      <c r="S889" s="54" t="n">
        <f aca="true">RAND()</f>
        <v>0.182107126710265</v>
      </c>
      <c r="T889" s="54" t="n">
        <f aca="true">RAND()</f>
        <v>0.604227570666502</v>
      </c>
      <c r="U889" s="54" t="n">
        <f aca="true">RAND()</f>
        <v>0.674278542978964</v>
      </c>
    </row>
    <row r="890" customFormat="false" ht="15" hidden="false" customHeight="false" outlineLevel="0" collapsed="false">
      <c r="A890" s="50" t="n">
        <v>810</v>
      </c>
      <c r="B890" s="51" t="n">
        <f aca="false">1+IF($G$6=$E$6,$F$6,IF(P890&lt;($F$6-$E$6)/($G$6-$E$6),$E$6+SQRT(P890*($G$6-$E$6)*($F$6-$E$6)),$G$6-SQRT((1-P890)*($G$6-$E$6)*($G$6-$F$6))))</f>
        <v>0.975184401336405</v>
      </c>
      <c r="C890" s="51" t="n">
        <f aca="false">1+IF($G$7=$E$7,$F$7,IF(Q890&lt;($F$7-$E$7)/($G$7-$E$7),$E$7+SQRT(Q890*($G$7-$E$7)*($F$7-$E$7)),$G$7-SQRT((1-Q890)*($G$7-$E$7)*($G$7-$F$7))))</f>
        <v>1.00464250531431</v>
      </c>
      <c r="D890" s="51" t="n">
        <f aca="false">1+IF($G$8=$E$8,$F$8,IF(R890&lt;($F$8-$E$8)/($G$8-$E$8),$E$8+SQRT(R890*($G$8-$E$8)*($F$8-$E$8)),$G$8-SQRT((1-R890)*($G$8-$E$8)*($G$8-$F$8))))</f>
        <v>1.00729513702416</v>
      </c>
      <c r="E890" s="51" t="n">
        <f aca="false">1+IF($G$9=$E$9,$F$9,IF(S890&lt;($F$9-$E$9)/($G$9-$E$9),$E$9+SQRT(S890*($G$9-$E$9)*($F$9-$E$9)),$G$9-SQRT((1-S890)*($G$9-$E$9)*($G$9-$F$9))))</f>
        <v>0.961038078559852</v>
      </c>
      <c r="F890" s="51" t="n">
        <f aca="false">1+IF($G$10=$E$10,$F$10,IF(T890&lt;($F$10-$E$10)/($G$10-$E$10),$E$10+SQRT(T890*($G$10-$E$10)*($F$10-$E$10)),$G$10-SQRT((1-T890)*($G$10-$E$10)*($G$10-$F$10))))</f>
        <v>1.02374986036932</v>
      </c>
      <c r="G890" s="52" t="n">
        <f aca="false">IF($G$11=$E$11,$F$11,IF(U890&lt;($F$11-$E$11)/($G$11-$E$11),$E$11+SQRT(U890*($G$11-$E$11)*($F$11-$E$11)),$G$11-SQRT((1-U890)*($G$11-$E$11)*($G$11-$F$11))))</f>
        <v>0.0931326141757173</v>
      </c>
      <c r="H890" s="53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-2047499720.73864</v>
      </c>
      <c r="I890" s="53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-5416889.14069764</v>
      </c>
      <c r="J890" s="53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278989077.060038</v>
      </c>
      <c r="K890" s="53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614582536.279239</v>
      </c>
      <c r="L890" s="53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743243361.368344</v>
      </c>
      <c r="M890" s="53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929466961.32374</v>
      </c>
      <c r="N890" s="53" t="n">
        <f aca="false">IF(COUNT('Business Case'!B11:G11)=0,"",H890+NPV(G890,I890:M890))</f>
        <v>-232471201.730098</v>
      </c>
      <c r="P890" s="54" t="n">
        <f aca="true">RAND()</f>
        <v>0.376846280287576</v>
      </c>
      <c r="Q890" s="54" t="n">
        <f aca="true">RAND()</f>
        <v>0.686980722054797</v>
      </c>
      <c r="R890" s="54" t="n">
        <f aca="true">RAND()</f>
        <v>0.427053892042059</v>
      </c>
      <c r="S890" s="54" t="n">
        <f aca="true">RAND()</f>
        <v>0.149025881371144</v>
      </c>
      <c r="T890" s="54" t="n">
        <f aca="true">RAND()</f>
        <v>0.317478324227982</v>
      </c>
      <c r="U890" s="54" t="n">
        <f aca="true">RAND()</f>
        <v>0.172465555088252</v>
      </c>
    </row>
    <row r="891" customFormat="false" ht="15" hidden="false" customHeight="false" outlineLevel="0" collapsed="false">
      <c r="A891" s="50" t="n">
        <v>811</v>
      </c>
      <c r="B891" s="51" t="n">
        <f aca="false">1+IF($G$6=$E$6,$F$6,IF(P891&lt;($F$6-$E$6)/($G$6-$E$6),$E$6+SQRT(P891*($G$6-$E$6)*($F$6-$E$6)),$G$6-SQRT((1-P891)*($G$6-$E$6)*($G$6-$F$6))))</f>
        <v>1.01196284084216</v>
      </c>
      <c r="C891" s="51" t="n">
        <f aca="false">1+IF($G$7=$E$7,$F$7,IF(Q891&lt;($F$7-$E$7)/($G$7-$E$7),$E$7+SQRT(Q891*($G$7-$E$7)*($F$7-$E$7)),$G$7-SQRT((1-Q891)*($G$7-$E$7)*($G$7-$F$7))))</f>
        <v>0.859570999847638</v>
      </c>
      <c r="D891" s="51" t="n">
        <f aca="false">1+IF($G$8=$E$8,$F$8,IF(R891&lt;($F$8-$E$8)/($G$8-$E$8),$E$8+SQRT(R891*($G$8-$E$8)*($F$8-$E$8)),$G$8-SQRT((1-R891)*($G$8-$E$8)*($G$8-$F$8))))</f>
        <v>0.992872003324435</v>
      </c>
      <c r="E891" s="51" t="n">
        <f aca="false">1+IF($G$9=$E$9,$F$9,IF(S891&lt;($F$9-$E$9)/($G$9-$E$9),$E$9+SQRT(S891*($G$9-$E$9)*($F$9-$E$9)),$G$9-SQRT((1-S891)*($G$9-$E$9)*($G$9-$F$9))))</f>
        <v>1.01569096538732</v>
      </c>
      <c r="F891" s="51" t="n">
        <f aca="false">1+IF($G$10=$E$10,$F$10,IF(T891&lt;($F$10-$E$10)/($G$10-$E$10),$E$10+SQRT(T891*($G$10-$E$10)*($F$10-$E$10)),$G$10-SQRT((1-T891)*($G$10-$E$10)*($G$10-$F$10))))</f>
        <v>1.01374229960073</v>
      </c>
      <c r="G891" s="52" t="n">
        <f aca="false">IF($G$11=$E$11,$F$11,IF(U891&lt;($F$11-$E$11)/($G$11-$E$11),$E$11+SQRT(U891*($G$11-$E$11)*($F$11-$E$11)),$G$11-SQRT((1-U891)*($G$11-$E$11)*($G$11-$F$11))))</f>
        <v>0.111061616208008</v>
      </c>
      <c r="H891" s="53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-2027484599.20145</v>
      </c>
      <c r="I891" s="53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-15320772.0199402</v>
      </c>
      <c r="J891" s="53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260257167.939913</v>
      </c>
      <c r="K891" s="53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586522222.879802</v>
      </c>
      <c r="L891" s="53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708443687.360849</v>
      </c>
      <c r="M891" s="53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873785518.746878</v>
      </c>
      <c r="N891" s="53" t="n">
        <f aca="false">IF(COUNT('Business Case'!B11:G11)=0,"",H891+NPV(G891,I891:M891))</f>
        <v>-421845696.816588</v>
      </c>
      <c r="P891" s="54" t="n">
        <f aca="true">RAND()</f>
        <v>0.807089936426775</v>
      </c>
      <c r="Q891" s="54" t="n">
        <f aca="true">RAND()</f>
        <v>0.18861410364722</v>
      </c>
      <c r="R891" s="54" t="n">
        <f aca="true">RAND()</f>
        <v>0.24506782254005</v>
      </c>
      <c r="S891" s="54" t="n">
        <f aca="true">RAND()</f>
        <v>0.518962219237569</v>
      </c>
      <c r="T891" s="54" t="n">
        <f aca="true">RAND()</f>
        <v>0.255763986693968</v>
      </c>
      <c r="U891" s="54" t="n">
        <f aca="true">RAND()</f>
        <v>0.760891746231467</v>
      </c>
    </row>
    <row r="892" customFormat="false" ht="15" hidden="false" customHeight="false" outlineLevel="0" collapsed="false">
      <c r="A892" s="50" t="n">
        <v>812</v>
      </c>
      <c r="B892" s="51" t="n">
        <f aca="false">1+IF($G$6=$E$6,$F$6,IF(P892&lt;($F$6-$E$6)/($G$6-$E$6),$E$6+SQRT(P892*($G$6-$E$6)*($F$6-$E$6)),$G$6-SQRT((1-P892)*($G$6-$E$6)*($G$6-$F$6))))</f>
        <v>0.996156301008631</v>
      </c>
      <c r="C892" s="51" t="n">
        <f aca="false">1+IF($G$7=$E$7,$F$7,IF(Q892&lt;($F$7-$E$7)/($G$7-$E$7),$E$7+SQRT(Q892*($G$7-$E$7)*($F$7-$E$7)),$G$7-SQRT((1-Q892)*($G$7-$E$7)*($G$7-$F$7))))</f>
        <v>0.866972158761576</v>
      </c>
      <c r="D892" s="51" t="n">
        <f aca="false">1+IF($G$8=$E$8,$F$8,IF(R892&lt;($F$8-$E$8)/($G$8-$E$8),$E$8+SQRT(R892*($G$8-$E$8)*($F$8-$E$8)),$G$8-SQRT((1-R892)*($G$8-$E$8)*($G$8-$F$8))))</f>
        <v>1.08869558994206</v>
      </c>
      <c r="E892" s="51" t="n">
        <f aca="false">1+IF($G$9=$E$9,$F$9,IF(S892&lt;($F$9-$E$9)/($G$9-$E$9),$E$9+SQRT(S892*($G$9-$E$9)*($F$9-$E$9)),$G$9-SQRT((1-S892)*($G$9-$E$9)*($G$9-$F$9))))</f>
        <v>1.05468806868371</v>
      </c>
      <c r="F892" s="51" t="n">
        <f aca="false">1+IF($G$10=$E$10,$F$10,IF(T892&lt;($F$10-$E$10)/($G$10-$E$10),$E$10+SQRT(T892*($G$10-$E$10)*($F$10-$E$10)),$G$10-SQRT((1-T892)*($G$10-$E$10)*($G$10-$F$10))))</f>
        <v>1.06663636121952</v>
      </c>
      <c r="G892" s="52" t="n">
        <f aca="false">IF($G$11=$E$11,$F$11,IF(U892&lt;($F$11-$E$11)/($G$11-$E$11),$E$11+SQRT(U892*($G$11-$E$11)*($F$11-$E$11)),$G$11-SQRT((1-U892)*($G$11-$E$11)*($G$11-$F$11))))</f>
        <v>0.109136369133795</v>
      </c>
      <c r="H892" s="53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-2133272722.43905</v>
      </c>
      <c r="I892" s="53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-77213503.3713432</v>
      </c>
      <c r="J892" s="53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146984358.876459</v>
      </c>
      <c r="K892" s="53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424514039.185237</v>
      </c>
      <c r="L892" s="53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529094050.688084</v>
      </c>
      <c r="M892" s="53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693254699.832769</v>
      </c>
      <c r="N892" s="53" t="n">
        <f aca="false">IF(COUNT('Business Case'!B11:G11)=0,"",H892+NPV(G892,I892:M892))</f>
        <v>-1009645693.07176</v>
      </c>
      <c r="P892" s="54" t="n">
        <f aca="true">RAND()</f>
        <v>0.616402281577494</v>
      </c>
      <c r="Q892" s="54" t="n">
        <f aca="true">RAND()</f>
        <v>0.206516309640747</v>
      </c>
      <c r="R892" s="54" t="n">
        <f aca="true">RAND()</f>
        <v>0.991480687549464</v>
      </c>
      <c r="S892" s="54" t="n">
        <f aca="true">RAND()</f>
        <v>0.757750286633588</v>
      </c>
      <c r="T892" s="54" t="n">
        <f aca="true">RAND()</f>
        <v>0.551703679642434</v>
      </c>
      <c r="U892" s="54" t="n">
        <f aca="true">RAND()</f>
        <v>0.709805938052499</v>
      </c>
    </row>
    <row r="893" customFormat="false" ht="15" hidden="false" customHeight="false" outlineLevel="0" collapsed="false">
      <c r="A893" s="50" t="n">
        <v>813</v>
      </c>
      <c r="B893" s="51" t="n">
        <f aca="false">1+IF($G$6=$E$6,$F$6,IF(P893&lt;($F$6-$E$6)/($G$6-$E$6),$E$6+SQRT(P893*($G$6-$E$6)*($F$6-$E$6)),$G$6-SQRT((1-P893)*($G$6-$E$6)*($G$6-$F$6))))</f>
        <v>0.95965740682073</v>
      </c>
      <c r="C893" s="51" t="n">
        <f aca="false">1+IF($G$7=$E$7,$F$7,IF(Q893&lt;($F$7-$E$7)/($G$7-$E$7),$E$7+SQRT(Q893*($G$7-$E$7)*($F$7-$E$7)),$G$7-SQRT((1-Q893)*($G$7-$E$7)*($G$7-$F$7))))</f>
        <v>0.942247067476721</v>
      </c>
      <c r="D893" s="51" t="n">
        <f aca="false">1+IF($G$8=$E$8,$F$8,IF(R893&lt;($F$8-$E$8)/($G$8-$E$8),$E$8+SQRT(R893*($G$8-$E$8)*($F$8-$E$8)),$G$8-SQRT((1-R893)*($G$8-$E$8)*($G$8-$F$8))))</f>
        <v>0.955620336011047</v>
      </c>
      <c r="E893" s="51" t="n">
        <f aca="false">1+IF($G$9=$E$9,$F$9,IF(S893&lt;($F$9-$E$9)/($G$9-$E$9),$E$9+SQRT(S893*($G$9-$E$9)*($F$9-$E$9)),$G$9-SQRT((1-S893)*($G$9-$E$9)*($G$9-$F$9))))</f>
        <v>1.11049009874382</v>
      </c>
      <c r="F893" s="51" t="n">
        <f aca="false">1+IF($G$10=$E$10,$F$10,IF(T893&lt;($F$10-$E$10)/($G$10-$E$10),$E$10+SQRT(T893*($G$10-$E$10)*($F$10-$E$10)),$G$10-SQRT((1-T893)*($G$10-$E$10)*($G$10-$F$10))))</f>
        <v>1.03043267457215</v>
      </c>
      <c r="G893" s="52" t="n">
        <f aca="false">IF($G$11=$E$11,$F$11,IF(U893&lt;($F$11-$E$11)/($G$11-$E$11),$E$11+SQRT(U893*($G$11-$E$11)*($F$11-$E$11)),$G$11-SQRT((1-U893)*($G$11-$E$11)*($G$11-$F$11))))</f>
        <v>0.125306778298477</v>
      </c>
      <c r="H893" s="53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-2060865349.1443</v>
      </c>
      <c r="I893" s="53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-28145770.3763283</v>
      </c>
      <c r="J893" s="53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251538928.868228</v>
      </c>
      <c r="K893" s="53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582745261.841391</v>
      </c>
      <c r="L893" s="53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707223835.004442</v>
      </c>
      <c r="M893" s="53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879100705.452869</v>
      </c>
      <c r="N893" s="53" t="n">
        <f aca="false">IF(COUNT('Business Case'!B11:G11)=0,"",H893+NPV(G893,I893:M893))</f>
        <v>-550083620.301018</v>
      </c>
      <c r="P893" s="54" t="n">
        <f aca="true">RAND()</f>
        <v>0.237267079238274</v>
      </c>
      <c r="Q893" s="54" t="n">
        <f aca="true">RAND()</f>
        <v>0.434693642230155</v>
      </c>
      <c r="R893" s="54" t="n">
        <f aca="true">RAND()</f>
        <v>0.00421175691694223</v>
      </c>
      <c r="S893" s="54" t="n">
        <f aca="true">RAND()</f>
        <v>0.958372472072714</v>
      </c>
      <c r="T893" s="54" t="n">
        <f aca="true">RAND()</f>
        <v>0.357202528059479</v>
      </c>
      <c r="U893" s="54" t="n">
        <f aca="true">RAND()</f>
        <v>0.985315780040236</v>
      </c>
    </row>
    <row r="894" customFormat="false" ht="15" hidden="false" customHeight="false" outlineLevel="0" collapsed="false">
      <c r="A894" s="50" t="n">
        <v>814</v>
      </c>
      <c r="B894" s="51" t="n">
        <f aca="false">1+IF($G$6=$E$6,$F$6,IF(P894&lt;($F$6-$E$6)/($G$6-$E$6),$E$6+SQRT(P894*($G$6-$E$6)*($F$6-$E$6)),$G$6-SQRT((1-P894)*($G$6-$E$6)*($G$6-$F$6))))</f>
        <v>1.01189400416666</v>
      </c>
      <c r="C894" s="51" t="n">
        <f aca="false">1+IF($G$7=$E$7,$F$7,IF(Q894&lt;($F$7-$E$7)/($G$7-$E$7),$E$7+SQRT(Q894*($G$7-$E$7)*($F$7-$E$7)),$G$7-SQRT((1-Q894)*($G$7-$E$7)*($G$7-$F$7))))</f>
        <v>1.08392214998401</v>
      </c>
      <c r="D894" s="51" t="n">
        <f aca="false">1+IF($G$8=$E$8,$F$8,IF(R894&lt;($F$8-$E$8)/($G$8-$E$8),$E$8+SQRT(R894*($G$8-$E$8)*($F$8-$E$8)),$G$8-SQRT((1-R894)*($G$8-$E$8)*($G$8-$F$8))))</f>
        <v>0.997732598288521</v>
      </c>
      <c r="E894" s="51" t="n">
        <f aca="false">1+IF($G$9=$E$9,$F$9,IF(S894&lt;($F$9-$E$9)/($G$9-$E$9),$E$9+SQRT(S894*($G$9-$E$9)*($F$9-$E$9)),$G$9-SQRT((1-S894)*($G$9-$E$9)*($G$9-$F$9))))</f>
        <v>1.01019226270549</v>
      </c>
      <c r="F894" s="51" t="n">
        <f aca="false">1+IF($G$10=$E$10,$F$10,IF(T894&lt;($F$10-$E$10)/($G$10-$E$10),$E$10+SQRT(T894*($G$10-$E$10)*($F$10-$E$10)),$G$10-SQRT((1-T894)*($G$10-$E$10)*($G$10-$F$10))))</f>
        <v>1.08603142722813</v>
      </c>
      <c r="G894" s="52" t="n">
        <f aca="false">IF($G$11=$E$11,$F$11,IF(U894&lt;($F$11-$E$11)/($G$11-$E$11),$E$11+SQRT(U894*($G$11-$E$11)*($F$11-$E$11)),$G$11-SQRT((1-U894)*($G$11-$E$11)*($G$11-$F$11))))</f>
        <v>0.0998022818135264</v>
      </c>
      <c r="H894" s="53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-2172062854.45626</v>
      </c>
      <c r="I894" s="53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35635277.4528199</v>
      </c>
      <c r="J894" s="53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380381891.969962</v>
      </c>
      <c r="K894" s="53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779430077.848511</v>
      </c>
      <c r="L894" s="53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932251519.077418</v>
      </c>
      <c r="M894" s="53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1140733985.88831</v>
      </c>
      <c r="N894" s="53" t="n">
        <f aca="false">IF(COUNT('Business Case'!B11:G11)=0,"",H894+NPV(G894,I894:M894))</f>
        <v>106871461.873601</v>
      </c>
      <c r="P894" s="54" t="n">
        <f aca="true">RAND()</f>
        <v>0.806391077539922</v>
      </c>
      <c r="Q894" s="54" t="n">
        <f aca="true">RAND()</f>
        <v>0.935314336848361</v>
      </c>
      <c r="R894" s="54" t="n">
        <f aca="true">RAND()</f>
        <v>0.30378679191644</v>
      </c>
      <c r="S894" s="54" t="n">
        <f aca="true">RAND()</f>
        <v>0.478767909135689</v>
      </c>
      <c r="T894" s="54" t="n">
        <f aca="true">RAND()</f>
        <v>0.641524095242085</v>
      </c>
      <c r="U894" s="54" t="n">
        <f aca="true">RAND()</f>
        <v>0.392130365022319</v>
      </c>
    </row>
    <row r="895" customFormat="false" ht="15" hidden="false" customHeight="false" outlineLevel="0" collapsed="false">
      <c r="A895" s="50" t="n">
        <v>815</v>
      </c>
      <c r="B895" s="51" t="n">
        <f aca="false">1+IF($G$6=$E$6,$F$6,IF(P895&lt;($F$6-$E$6)/($G$6-$E$6),$E$6+SQRT(P895*($G$6-$E$6)*($F$6-$E$6)),$G$6-SQRT((1-P895)*($G$6-$E$6)*($G$6-$F$6))))</f>
        <v>0.99353573626803</v>
      </c>
      <c r="C895" s="51" t="n">
        <f aca="false">1+IF($G$7=$E$7,$F$7,IF(Q895&lt;($F$7-$E$7)/($G$7-$E$7),$E$7+SQRT(Q895*($G$7-$E$7)*($F$7-$E$7)),$G$7-SQRT((1-Q895)*($G$7-$E$7)*($G$7-$F$7))))</f>
        <v>0.805498565171976</v>
      </c>
      <c r="D895" s="51" t="n">
        <f aca="false">1+IF($G$8=$E$8,$F$8,IF(R895&lt;($F$8-$E$8)/($G$8-$E$8),$E$8+SQRT(R895*($G$8-$E$8)*($F$8-$E$8)),$G$8-SQRT((1-R895)*($G$8-$E$8)*($G$8-$F$8))))</f>
        <v>1.03766927726511</v>
      </c>
      <c r="E895" s="51" t="n">
        <f aca="false">1+IF($G$9=$E$9,$F$9,IF(S895&lt;($F$9-$E$9)/($G$9-$E$9),$E$9+SQRT(S895*($G$9-$E$9)*($F$9-$E$9)),$G$9-SQRT((1-S895)*($G$9-$E$9)*($G$9-$F$9))))</f>
        <v>1.01418808124718</v>
      </c>
      <c r="F895" s="51" t="n">
        <f aca="false">1+IF($G$10=$E$10,$F$10,IF(T895&lt;($F$10-$E$10)/($G$10-$E$10),$E$10+SQRT(T895*($G$10-$E$10)*($F$10-$E$10)),$G$10-SQRT((1-T895)*($G$10-$E$10)*($G$10-$F$10))))</f>
        <v>1.05098149917685</v>
      </c>
      <c r="G895" s="52" t="n">
        <f aca="false">IF($G$11=$E$11,$F$11,IF(U895&lt;($F$11-$E$11)/($G$11-$E$11),$E$11+SQRT(U895*($G$11-$E$11)*($F$11-$E$11)),$G$11-SQRT((1-U895)*($G$11-$E$11)*($G$11-$F$11))))</f>
        <v>0.104683725186973</v>
      </c>
      <c r="H895" s="53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-2101962998.3537</v>
      </c>
      <c r="I895" s="53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-63190145.5975358</v>
      </c>
      <c r="J895" s="53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164422520.938931</v>
      </c>
      <c r="K895" s="53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444584262.434241</v>
      </c>
      <c r="L895" s="53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548113229.321709</v>
      </c>
      <c r="M895" s="53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700232658.552596</v>
      </c>
      <c r="N895" s="53" t="n">
        <f aca="false">IF(COUNT('Business Case'!B11:G11)=0,"",H895+NPV(G895,I895:M895))</f>
        <v>-900926595.181549</v>
      </c>
      <c r="P895" s="54" t="n">
        <f aca="true">RAND()</f>
        <v>0.583262263946827</v>
      </c>
      <c r="Q895" s="54" t="n">
        <f aca="true">RAND()</f>
        <v>0.0824440537284855</v>
      </c>
      <c r="R895" s="54" t="n">
        <f aca="true">RAND()</f>
        <v>0.740992066889724</v>
      </c>
      <c r="S895" s="54" t="n">
        <f aca="true">RAND()</f>
        <v>0.508136605991399</v>
      </c>
      <c r="T895" s="54" t="n">
        <f aca="true">RAND()</f>
        <v>0.4718884844014</v>
      </c>
      <c r="U895" s="54" t="n">
        <f aca="true">RAND()</f>
        <v>0.572724153060878</v>
      </c>
    </row>
    <row r="896" customFormat="false" ht="15" hidden="false" customHeight="false" outlineLevel="0" collapsed="false">
      <c r="A896" s="50" t="n">
        <v>816</v>
      </c>
      <c r="B896" s="51" t="n">
        <f aca="false">1+IF($G$6=$E$6,$F$6,IF(P896&lt;($F$6-$E$6)/($G$6-$E$6),$E$6+SQRT(P896*($G$6-$E$6)*($F$6-$E$6)),$G$6-SQRT((1-P896)*($G$6-$E$6)*($G$6-$F$6))))</f>
        <v>0.955474036164167</v>
      </c>
      <c r="C896" s="51" t="n">
        <f aca="false">1+IF($G$7=$E$7,$F$7,IF(Q896&lt;($F$7-$E$7)/($G$7-$E$7),$E$7+SQRT(Q896*($G$7-$E$7)*($F$7-$E$7)),$G$7-SQRT((1-Q896)*($G$7-$E$7)*($G$7-$F$7))))</f>
        <v>0.802158924516685</v>
      </c>
      <c r="D896" s="51" t="n">
        <f aca="false">1+IF($G$8=$E$8,$F$8,IF(R896&lt;($F$8-$E$8)/($G$8-$E$8),$E$8+SQRT(R896*($G$8-$E$8)*($F$8-$E$8)),$G$8-SQRT((1-R896)*($G$8-$E$8)*($G$8-$F$8))))</f>
        <v>1.04257965609428</v>
      </c>
      <c r="E896" s="51" t="n">
        <f aca="false">1+IF($G$9=$E$9,$F$9,IF(S896&lt;($F$9-$E$9)/($G$9-$E$9),$E$9+SQRT(S896*($G$9-$E$9)*($F$9-$E$9)),$G$9-SQRT((1-S896)*($G$9-$E$9)*($G$9-$F$9))))</f>
        <v>1.13611036358022</v>
      </c>
      <c r="F896" s="51" t="n">
        <f aca="false">1+IF($G$10=$E$10,$F$10,IF(T896&lt;($F$10-$E$10)/($G$10-$E$10),$E$10+SQRT(T896*($G$10-$E$10)*($F$10-$E$10)),$G$10-SQRT((1-T896)*($G$10-$E$10)*($G$10-$F$10))))</f>
        <v>1.0327694495569</v>
      </c>
      <c r="G896" s="52" t="n">
        <f aca="false">IF($G$11=$E$11,$F$11,IF(U896&lt;($F$11-$E$11)/($G$11-$E$11),$E$11+SQRT(U896*($G$11-$E$11)*($F$11-$E$11)),$G$11-SQRT((1-U896)*($G$11-$E$11)*($G$11-$F$11))))</f>
        <v>0.106049056372794</v>
      </c>
      <c r="H896" s="53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-2065538899.11381</v>
      </c>
      <c r="I896" s="53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-104919148.307437</v>
      </c>
      <c r="J896" s="53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94725896.6310431</v>
      </c>
      <c r="K896" s="53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346009414.047368</v>
      </c>
      <c r="L896" s="53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439045998.752941</v>
      </c>
      <c r="M896" s="53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584731298.913043</v>
      </c>
      <c r="N896" s="53" t="n">
        <f aca="false">IF(COUNT('Business Case'!B11:G11)=0,"",H896+NPV(G896,I896:M896))</f>
        <v>-1180626740.50848</v>
      </c>
      <c r="P896" s="54" t="n">
        <f aca="true">RAND()</f>
        <v>0.205157912556218</v>
      </c>
      <c r="Q896" s="54" t="n">
        <f aca="true">RAND()</f>
        <v>0.0773070063585609</v>
      </c>
      <c r="R896" s="54" t="n">
        <f aca="true">RAND()</f>
        <v>0.78019360704996</v>
      </c>
      <c r="S896" s="54" t="n">
        <f aca="true">RAND()</f>
        <v>0.994855413336704</v>
      </c>
      <c r="T896" s="54" t="n">
        <f aca="true">RAND()</f>
        <v>0.37081183938919</v>
      </c>
      <c r="U896" s="54" t="n">
        <f aca="true">RAND()</f>
        <v>0.617568199577616</v>
      </c>
    </row>
    <row r="897" customFormat="false" ht="15" hidden="false" customHeight="false" outlineLevel="0" collapsed="false">
      <c r="A897" s="50" t="n">
        <v>817</v>
      </c>
      <c r="B897" s="51" t="n">
        <f aca="false">1+IF($G$6=$E$6,$F$6,IF(P897&lt;($F$6-$E$6)/($G$6-$E$6),$E$6+SQRT(P897*($G$6-$E$6)*($F$6-$E$6)),$G$6-SQRT((1-P897)*($G$6-$E$6)*($G$6-$F$6))))</f>
        <v>0.986681627381781</v>
      </c>
      <c r="C897" s="51" t="n">
        <f aca="false">1+IF($G$7=$E$7,$F$7,IF(Q897&lt;($F$7-$E$7)/($G$7-$E$7),$E$7+SQRT(Q897*($G$7-$E$7)*($F$7-$E$7)),$G$7-SQRT((1-Q897)*($G$7-$E$7)*($G$7-$F$7))))</f>
        <v>1.10061841585401</v>
      </c>
      <c r="D897" s="51" t="n">
        <f aca="false">1+IF($G$8=$E$8,$F$8,IF(R897&lt;($F$8-$E$8)/($G$8-$E$8),$E$8+SQRT(R897*($G$8-$E$8)*($F$8-$E$8)),$G$8-SQRT((1-R897)*($G$8-$E$8)*($G$8-$F$8))))</f>
        <v>0.986941985466589</v>
      </c>
      <c r="E897" s="51" t="n">
        <f aca="false">1+IF($G$9=$E$9,$F$9,IF(S897&lt;($F$9-$E$9)/($G$9-$E$9),$E$9+SQRT(S897*($G$9-$E$9)*($F$9-$E$9)),$G$9-SQRT((1-S897)*($G$9-$E$9)*($G$9-$F$9))))</f>
        <v>0.976716027044202</v>
      </c>
      <c r="F897" s="51" t="n">
        <f aca="false">1+IF($G$10=$E$10,$F$10,IF(T897&lt;($F$10-$E$10)/($G$10-$E$10),$E$10+SQRT(T897*($G$10-$E$10)*($F$10-$E$10)),$G$10-SQRT((1-T897)*($G$10-$E$10)*($G$10-$F$10))))</f>
        <v>1.04868690046276</v>
      </c>
      <c r="G897" s="52" t="n">
        <f aca="false">IF($G$11=$E$11,$F$11,IF(U897&lt;($F$11-$E$11)/($G$11-$E$11),$E$11+SQRT(U897*($G$11-$E$11)*($F$11-$E$11)),$G$11-SQRT((1-U897)*($G$11-$E$11)*($G$11-$F$11))))</f>
        <v>0.103044864957596</v>
      </c>
      <c r="H897" s="53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-2097373800.92552</v>
      </c>
      <c r="I897" s="53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33354209.5014128</v>
      </c>
      <c r="J897" s="53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366762292.92306</v>
      </c>
      <c r="K897" s="53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752604721.367845</v>
      </c>
      <c r="L897" s="53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901271525.727243</v>
      </c>
      <c r="M897" s="53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1107690796.76424</v>
      </c>
      <c r="N897" s="53" t="n">
        <f aca="false">IF(COUNT('Business Case'!B11:G11)=0,"",H897+NPV(G897,I897:M897))</f>
        <v>82235942.8029883</v>
      </c>
      <c r="P897" s="54" t="n">
        <f aca="true">RAND()</f>
        <v>0.500913635036928</v>
      </c>
      <c r="Q897" s="54" t="n">
        <f aca="true">RAND()</f>
        <v>0.963873468847887</v>
      </c>
      <c r="R897" s="54" t="n">
        <f aca="true">RAND()</f>
        <v>0.18196137202849</v>
      </c>
      <c r="S897" s="54" t="n">
        <f aca="true">RAND()</f>
        <v>0.235413952217866</v>
      </c>
      <c r="T897" s="54" t="n">
        <f aca="true">RAND()</f>
        <v>0.459640479396115</v>
      </c>
      <c r="U897" s="54" t="n">
        <f aca="true">RAND()</f>
        <v>0.515613796563836</v>
      </c>
    </row>
    <row r="898" customFormat="false" ht="15" hidden="false" customHeight="false" outlineLevel="0" collapsed="false">
      <c r="A898" s="50" t="n">
        <v>818</v>
      </c>
      <c r="B898" s="51" t="n">
        <f aca="false">1+IF($G$6=$E$6,$F$6,IF(P898&lt;($F$6-$E$6)/($G$6-$E$6),$E$6+SQRT(P898*($G$6-$E$6)*($F$6-$E$6)),$G$6-SQRT((1-P898)*($G$6-$E$6)*($G$6-$F$6))))</f>
        <v>0.938714099374517</v>
      </c>
      <c r="C898" s="51" t="n">
        <f aca="false">1+IF($G$7=$E$7,$F$7,IF(Q898&lt;($F$7-$E$7)/($G$7-$E$7),$E$7+SQRT(Q898*($G$7-$E$7)*($F$7-$E$7)),$G$7-SQRT((1-Q898)*($G$7-$E$7)*($G$7-$F$7))))</f>
        <v>1.09285447377198</v>
      </c>
      <c r="D898" s="51" t="n">
        <f aca="false">1+IF($G$8=$E$8,$F$8,IF(R898&lt;($F$8-$E$8)/($G$8-$E$8),$E$8+SQRT(R898*($G$8-$E$8)*($F$8-$E$8)),$G$8-SQRT((1-R898)*($G$8-$E$8)*($G$8-$F$8))))</f>
        <v>1.00674140096617</v>
      </c>
      <c r="E898" s="51" t="n">
        <f aca="false">1+IF($G$9=$E$9,$F$9,IF(S898&lt;($F$9-$E$9)/($G$9-$E$9),$E$9+SQRT(S898*($G$9-$E$9)*($F$9-$E$9)),$G$9-SQRT((1-S898)*($G$9-$E$9)*($G$9-$F$9))))</f>
        <v>0.963625445649436</v>
      </c>
      <c r="F898" s="51" t="n">
        <f aca="false">1+IF($G$10=$E$10,$F$10,IF(T898&lt;($F$10-$E$10)/($G$10-$E$10),$E$10+SQRT(T898*($G$10-$E$10)*($F$10-$E$10)),$G$10-SQRT((1-T898)*($G$10-$E$10)*($G$10-$F$10))))</f>
        <v>0.989286008062117</v>
      </c>
      <c r="G898" s="52" t="n">
        <f aca="false">IF($G$11=$E$11,$F$11,IF(U898&lt;($F$11-$E$11)/($G$11-$E$11),$E$11+SQRT(U898*($G$11-$E$11)*($F$11-$E$11)),$G$11-SQRT((1-U898)*($G$11-$E$11)*($G$11-$F$11))))</f>
        <v>0.113191813137782</v>
      </c>
      <c r="H898" s="53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-1978572016.12423</v>
      </c>
      <c r="I898" s="53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-12095350.1996188</v>
      </c>
      <c r="J898" s="53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264946949.274731</v>
      </c>
      <c r="K898" s="53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591453549.152187</v>
      </c>
      <c r="L898" s="53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719255322.641242</v>
      </c>
      <c r="M898" s="53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914254194.461403</v>
      </c>
      <c r="N898" s="53" t="n">
        <f aca="false">IF(COUNT('Business Case'!B11:G11)=0,"",H898+NPV(G898,I898:M898))</f>
        <v>-343658992.657729</v>
      </c>
      <c r="P898" s="54" t="n">
        <f aca="true">RAND()</f>
        <v>0.0999187660253337</v>
      </c>
      <c r="Q898" s="54" t="n">
        <f aca="true">RAND()</f>
        <v>0.95162057529071</v>
      </c>
      <c r="R898" s="54" t="n">
        <f aca="true">RAND()</f>
        <v>0.420188913749841</v>
      </c>
      <c r="S898" s="54" t="n">
        <f aca="true">RAND()</f>
        <v>0.161927893363572</v>
      </c>
      <c r="T898" s="54" t="n">
        <f aca="true">RAND()</f>
        <v>0.102892695297116</v>
      </c>
      <c r="U898" s="54" t="n">
        <f aca="true">RAND()</f>
        <v>0.811656569603172</v>
      </c>
    </row>
    <row r="899" customFormat="false" ht="15" hidden="false" customHeight="false" outlineLevel="0" collapsed="false">
      <c r="A899" s="50" t="n">
        <v>819</v>
      </c>
      <c r="B899" s="51" t="n">
        <f aca="false">1+IF($G$6=$E$6,$F$6,IF(P899&lt;($F$6-$E$6)/($G$6-$E$6),$E$6+SQRT(P899*($G$6-$E$6)*($F$6-$E$6)),$G$6-SQRT((1-P899)*($G$6-$E$6)*($G$6-$F$6))))</f>
        <v>1.01279900597956</v>
      </c>
      <c r="C899" s="51" t="n">
        <f aca="false">1+IF($G$7=$E$7,$F$7,IF(Q899&lt;($F$7-$E$7)/($G$7-$E$7),$E$7+SQRT(Q899*($G$7-$E$7)*($F$7-$E$7)),$G$7-SQRT((1-Q899)*($G$7-$E$7)*($G$7-$F$7))))</f>
        <v>0.847414216208968</v>
      </c>
      <c r="D899" s="51" t="n">
        <f aca="false">1+IF($G$8=$E$8,$F$8,IF(R899&lt;($F$8-$E$8)/($G$8-$E$8),$E$8+SQRT(R899*($G$8-$E$8)*($F$8-$E$8)),$G$8-SQRT((1-R899)*($G$8-$E$8)*($G$8-$F$8))))</f>
        <v>1.03075006318636</v>
      </c>
      <c r="E899" s="51" t="n">
        <f aca="false">1+IF($G$9=$E$9,$F$9,IF(S899&lt;($F$9-$E$9)/($G$9-$E$9),$E$9+SQRT(S899*($G$9-$E$9)*($F$9-$E$9)),$G$9-SQRT((1-S899)*($G$9-$E$9)*($G$9-$F$9))))</f>
        <v>0.974174961674011</v>
      </c>
      <c r="F899" s="51" t="n">
        <f aca="false">1+IF($G$10=$E$10,$F$10,IF(T899&lt;($F$10-$E$10)/($G$10-$E$10),$E$10+SQRT(T899*($G$10-$E$10)*($F$10-$E$10)),$G$10-SQRT((1-T899)*($G$10-$E$10)*($G$10-$F$10))))</f>
        <v>0.985332580619945</v>
      </c>
      <c r="G899" s="52" t="n">
        <f aca="false">IF($G$11=$E$11,$F$11,IF(U899&lt;($F$11-$E$11)/($G$11-$E$11),$E$11+SQRT(U899*($G$11-$E$11)*($F$11-$E$11)),$G$11-SQRT((1-U899)*($G$11-$E$11)*($G$11-$F$11))))</f>
        <v>0.112504805665659</v>
      </c>
      <c r="H899" s="53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-1970665161.23989</v>
      </c>
      <c r="I899" s="53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-25724107.420389</v>
      </c>
      <c r="J899" s="53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230104935.470256</v>
      </c>
      <c r="K899" s="53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535200607.391899</v>
      </c>
      <c r="L899" s="53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650138430.154778</v>
      </c>
      <c r="M899" s="53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813276543.384429</v>
      </c>
      <c r="N899" s="53" t="n">
        <f aca="false">IF(COUNT('Business Case'!B11:G11)=0,"",H899+NPV(G899,I899:M899))</f>
        <v>-517519309.238241</v>
      </c>
      <c r="P899" s="54" t="n">
        <f aca="true">RAND()</f>
        <v>0.815478139185495</v>
      </c>
      <c r="Q899" s="54" t="n">
        <f aca="true">RAND()</f>
        <v>0.16097000844818</v>
      </c>
      <c r="R899" s="54" t="n">
        <f aca="true">RAND()</f>
        <v>0.680296416753832</v>
      </c>
      <c r="S899" s="54" t="n">
        <f aca="true">RAND()</f>
        <v>0.220076997573641</v>
      </c>
      <c r="T899" s="54" t="n">
        <f aca="true">RAND()</f>
        <v>0.0832260835509964</v>
      </c>
      <c r="U899" s="54" t="n">
        <f aca="true">RAND()</f>
        <v>0.795945450135751</v>
      </c>
    </row>
    <row r="900" customFormat="false" ht="15" hidden="false" customHeight="false" outlineLevel="0" collapsed="false">
      <c r="A900" s="50" t="n">
        <v>820</v>
      </c>
      <c r="B900" s="51" t="n">
        <f aca="false">1+IF($G$6=$E$6,$F$6,IF(P900&lt;($F$6-$E$6)/($G$6-$E$6),$E$6+SQRT(P900*($G$6-$E$6)*($F$6-$E$6)),$G$6-SQRT((1-P900)*($G$6-$E$6)*($G$6-$F$6))))</f>
        <v>0.977254465173337</v>
      </c>
      <c r="C900" s="51" t="n">
        <f aca="false">1+IF($G$7=$E$7,$F$7,IF(Q900&lt;($F$7-$E$7)/($G$7-$E$7),$E$7+SQRT(Q900*($G$7-$E$7)*($F$7-$E$7)),$G$7-SQRT((1-Q900)*($G$7-$E$7)*($G$7-$F$7))))</f>
        <v>0.927039616036445</v>
      </c>
      <c r="D900" s="51" t="n">
        <f aca="false">1+IF($G$8=$E$8,$F$8,IF(R900&lt;($F$8-$E$8)/($G$8-$E$8),$E$8+SQRT(R900*($G$8-$E$8)*($F$8-$E$8)),$G$8-SQRT((1-R900)*($G$8-$E$8)*($G$8-$F$8))))</f>
        <v>1.06808067547582</v>
      </c>
      <c r="E900" s="51" t="n">
        <f aca="false">1+IF($G$9=$E$9,$F$9,IF(S900&lt;($F$9-$E$9)/($G$9-$E$9),$E$9+SQRT(S900*($G$9-$E$9)*($F$9-$E$9)),$G$9-SQRT((1-S900)*($G$9-$E$9)*($G$9-$F$9))))</f>
        <v>1.01284971014623</v>
      </c>
      <c r="F900" s="51" t="n">
        <f aca="false">1+IF($G$10=$E$10,$F$10,IF(T900&lt;($F$10-$E$10)/($G$10-$E$10),$E$10+SQRT(T900*($G$10-$E$10)*($F$10-$E$10)),$G$10-SQRT((1-T900)*($G$10-$E$10)*($G$10-$F$10))))</f>
        <v>0.988230753198062</v>
      </c>
      <c r="G900" s="52" t="n">
        <f aca="false">IF($G$11=$E$11,$F$11,IF(U900&lt;($F$11-$E$11)/($G$11-$E$11),$E$11+SQRT(U900*($G$11-$E$11)*($F$11-$E$11)),$G$11-SQRT((1-U900)*($G$11-$E$11)*($G$11-$F$11))))</f>
        <v>0.0967802936168295</v>
      </c>
      <c r="H900" s="53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-1976461506.39612</v>
      </c>
      <c r="I900" s="53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-54652883.0605483</v>
      </c>
      <c r="J900" s="53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180509172.821375</v>
      </c>
      <c r="K900" s="53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465082766.363202</v>
      </c>
      <c r="L900" s="53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574779874.883758</v>
      </c>
      <c r="M900" s="53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746983535.963287</v>
      </c>
      <c r="N900" s="53" t="n">
        <f aca="false">IF(COUNT('Business Case'!B11:G11)=0,"",H900+NPV(G900,I900:M900))</f>
        <v>-655845002.524987</v>
      </c>
      <c r="P900" s="54" t="n">
        <f aca="true">RAND()</f>
        <v>0.39788349261456</v>
      </c>
      <c r="Q900" s="54" t="n">
        <f aca="true">RAND()</f>
        <v>0.381829535185012</v>
      </c>
      <c r="R900" s="54" t="n">
        <f aca="true">RAND()</f>
        <v>0.93207711479466</v>
      </c>
      <c r="S900" s="54" t="n">
        <f aca="true">RAND()</f>
        <v>0.498394613147393</v>
      </c>
      <c r="T900" s="54" t="n">
        <f aca="true">RAND()</f>
        <v>0.0974393660060767</v>
      </c>
      <c r="U900" s="54" t="n">
        <f aca="true">RAND()</f>
        <v>0.281578253867008</v>
      </c>
    </row>
    <row r="901" customFormat="false" ht="15" hidden="false" customHeight="false" outlineLevel="0" collapsed="false">
      <c r="A901" s="50" t="n">
        <v>821</v>
      </c>
      <c r="B901" s="51" t="n">
        <f aca="false">1+IF($G$6=$E$6,$F$6,IF(P901&lt;($F$6-$E$6)/($G$6-$E$6),$E$6+SQRT(P901*($G$6-$E$6)*($F$6-$E$6)),$G$6-SQRT((1-P901)*($G$6-$E$6)*($G$6-$F$6))))</f>
        <v>0.966257197350272</v>
      </c>
      <c r="C901" s="51" t="n">
        <f aca="false">1+IF($G$7=$E$7,$F$7,IF(Q901&lt;($F$7-$E$7)/($G$7-$E$7),$E$7+SQRT(Q901*($G$7-$E$7)*($F$7-$E$7)),$G$7-SQRT((1-Q901)*($G$7-$E$7)*($G$7-$F$7))))</f>
        <v>0.926024352068702</v>
      </c>
      <c r="D901" s="51" t="n">
        <f aca="false">1+IF($G$8=$E$8,$F$8,IF(R901&lt;($F$8-$E$8)/($G$8-$E$8),$E$8+SQRT(R901*($G$8-$E$8)*($F$8-$E$8)),$G$8-SQRT((1-R901)*($G$8-$E$8)*($G$8-$F$8))))</f>
        <v>0.980980566200923</v>
      </c>
      <c r="E901" s="51" t="n">
        <f aca="false">1+IF($G$9=$E$9,$F$9,IF(S901&lt;($F$9-$E$9)/($G$9-$E$9),$E$9+SQRT(S901*($G$9-$E$9)*($F$9-$E$9)),$G$9-SQRT((1-S901)*($G$9-$E$9)*($G$9-$F$9))))</f>
        <v>1.09649219749688</v>
      </c>
      <c r="F901" s="51" t="n">
        <f aca="false">1+IF($G$10=$E$10,$F$10,IF(T901&lt;($F$10-$E$10)/($G$10-$E$10),$E$10+SQRT(T901*($G$10-$E$10)*($F$10-$E$10)),$G$10-SQRT((1-T901)*($G$10-$E$10)*($G$10-$F$10))))</f>
        <v>1.04261399613571</v>
      </c>
      <c r="G901" s="52" t="n">
        <f aca="false">IF($G$11=$E$11,$F$11,IF(U901&lt;($F$11-$E$11)/($G$11-$E$11),$E$11+SQRT(U901*($G$11-$E$11)*($F$11-$E$11)),$G$11-SQRT((1-U901)*($G$11-$E$11)*($G$11-$F$11))))</f>
        <v>0.110943055478453</v>
      </c>
      <c r="H901" s="53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-2085227992.27142</v>
      </c>
      <c r="I901" s="53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-38714725.8956635</v>
      </c>
      <c r="J901" s="53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229138414.0207</v>
      </c>
      <c r="K901" s="53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549122253.743849</v>
      </c>
      <c r="L901" s="53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669330150.858903</v>
      </c>
      <c r="M901" s="53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839409495.145033</v>
      </c>
      <c r="N901" s="53" t="n">
        <f aca="false">IF(COUNT('Business Case'!B11:G11)=0,"",H901+NPV(G901,I901:M901))</f>
        <v>-598475199.893646</v>
      </c>
      <c r="P901" s="54" t="n">
        <f aca="true">RAND()</f>
        <v>0.292667746714194</v>
      </c>
      <c r="Q901" s="54" t="n">
        <f aca="true">RAND()</f>
        <v>0.378422279467234</v>
      </c>
      <c r="R901" s="54" t="n">
        <f aca="true">RAND()</f>
        <v>0.12797273095064</v>
      </c>
      <c r="S901" s="54" t="n">
        <f aca="true">RAND()</f>
        <v>0.923651068567667</v>
      </c>
      <c r="T901" s="54" t="n">
        <f aca="true">RAND()</f>
        <v>0.426547272016015</v>
      </c>
      <c r="U901" s="54" t="n">
        <f aca="true">RAND()</f>
        <v>0.757888577001796</v>
      </c>
    </row>
    <row r="902" customFormat="false" ht="15" hidden="false" customHeight="false" outlineLevel="0" collapsed="false">
      <c r="A902" s="50" t="n">
        <v>822</v>
      </c>
      <c r="B902" s="51" t="n">
        <f aca="false">1+IF($G$6=$E$6,$F$6,IF(P902&lt;($F$6-$E$6)/($G$6-$E$6),$E$6+SQRT(P902*($G$6-$E$6)*($F$6-$E$6)),$G$6-SQRT((1-P902)*($G$6-$E$6)*($G$6-$F$6))))</f>
        <v>0.931202621079064</v>
      </c>
      <c r="C902" s="51" t="n">
        <f aca="false">1+IF($G$7=$E$7,$F$7,IF(Q902&lt;($F$7-$E$7)/($G$7-$E$7),$E$7+SQRT(Q902*($G$7-$E$7)*($F$7-$E$7)),$G$7-SQRT((1-Q902)*($G$7-$E$7)*($G$7-$F$7))))</f>
        <v>0.858031387552347</v>
      </c>
      <c r="D902" s="51" t="n">
        <f aca="false">1+IF($G$8=$E$8,$F$8,IF(R902&lt;($F$8-$E$8)/($G$8-$E$8),$E$8+SQRT(R902*($G$8-$E$8)*($F$8-$E$8)),$G$8-SQRT((1-R902)*($G$8-$E$8)*($G$8-$F$8))))</f>
        <v>1.01060581666701</v>
      </c>
      <c r="E902" s="51" t="n">
        <f aca="false">1+IF($G$9=$E$9,$F$9,IF(S902&lt;($F$9-$E$9)/($G$9-$E$9),$E$9+SQRT(S902*($G$9-$E$9)*($F$9-$E$9)),$G$9-SQRT((1-S902)*($G$9-$E$9)*($G$9-$F$9))))</f>
        <v>1.02932064974926</v>
      </c>
      <c r="F902" s="51" t="n">
        <f aca="false">1+IF($G$10=$E$10,$F$10,IF(T902&lt;($F$10-$E$10)/($G$10-$E$10),$E$10+SQRT(T902*($G$10-$E$10)*($F$10-$E$10)),$G$10-SQRT((1-T902)*($G$10-$E$10)*($G$10-$F$10))))</f>
        <v>1.03466490160312</v>
      </c>
      <c r="G902" s="52" t="n">
        <f aca="false">IF($G$11=$E$11,$F$11,IF(U902&lt;($F$11-$E$11)/($G$11-$E$11),$E$11+SQRT(U902*($G$11-$E$11)*($F$11-$E$11)),$G$11-SQRT((1-U902)*($G$11-$E$11)*($G$11-$F$11))))</f>
        <v>0.0881448411397195</v>
      </c>
      <c r="H902" s="53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-2069329803.20624</v>
      </c>
      <c r="I902" s="53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-80718655.386638</v>
      </c>
      <c r="J902" s="53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129818791.616008</v>
      </c>
      <c r="K902" s="53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392089483.69881</v>
      </c>
      <c r="L902" s="53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489882109.922777</v>
      </c>
      <c r="M902" s="53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641756234.649743</v>
      </c>
      <c r="N902" s="53" t="n">
        <f aca="false">IF(COUNT('Business Case'!B11:G11)=0,"",H902+NPV(G902,I902:M902))</f>
        <v>-959472147.596791</v>
      </c>
      <c r="P902" s="54" t="n">
        <f aca="true">RAND()</f>
        <v>0.0649069041469081</v>
      </c>
      <c r="Q902" s="54" t="n">
        <f aca="true">RAND()</f>
        <v>0.184991995938668</v>
      </c>
      <c r="R902" s="54" t="n">
        <f aca="true">RAND()</f>
        <v>0.467245332415239</v>
      </c>
      <c r="S902" s="54" t="n">
        <f aca="true">RAND()</f>
        <v>0.611639851281584</v>
      </c>
      <c r="T902" s="54" t="n">
        <f aca="true">RAND()</f>
        <v>0.381743938645408</v>
      </c>
      <c r="U902" s="54" t="n">
        <f aca="true">RAND()</f>
        <v>0.0663384371912666</v>
      </c>
    </row>
    <row r="903" customFormat="false" ht="15" hidden="false" customHeight="false" outlineLevel="0" collapsed="false">
      <c r="A903" s="50" t="n">
        <v>823</v>
      </c>
      <c r="B903" s="51" t="n">
        <f aca="false">1+IF($G$6=$E$6,$F$6,IF(P903&lt;($F$6-$E$6)/($G$6-$E$6),$E$6+SQRT(P903*($G$6-$E$6)*($F$6-$E$6)),$G$6-SQRT((1-P903)*($G$6-$E$6)*($G$6-$F$6))))</f>
        <v>0.98529305598431</v>
      </c>
      <c r="C903" s="51" t="n">
        <f aca="false">1+IF($G$7=$E$7,$F$7,IF(Q903&lt;($F$7-$E$7)/($G$7-$E$7),$E$7+SQRT(Q903*($G$7-$E$7)*($F$7-$E$7)),$G$7-SQRT((1-Q903)*($G$7-$E$7)*($G$7-$F$7))))</f>
        <v>0.969643131641916</v>
      </c>
      <c r="D903" s="51" t="n">
        <f aca="false">1+IF($G$8=$E$8,$F$8,IF(R903&lt;($F$8-$E$8)/($G$8-$E$8),$E$8+SQRT(R903*($G$8-$E$8)*($F$8-$E$8)),$G$8-SQRT((1-R903)*($G$8-$E$8)*($G$8-$F$8))))</f>
        <v>1.00475475359686</v>
      </c>
      <c r="E903" s="51" t="n">
        <f aca="false">1+IF($G$9=$E$9,$F$9,IF(S903&lt;($F$9-$E$9)/($G$9-$E$9),$E$9+SQRT(S903*($G$9-$E$9)*($F$9-$E$9)),$G$9-SQRT((1-S903)*($G$9-$E$9)*($G$9-$F$9))))</f>
        <v>1.08614229361227</v>
      </c>
      <c r="F903" s="51" t="n">
        <f aca="false">1+IF($G$10=$E$10,$F$10,IF(T903&lt;($F$10-$E$10)/($G$10-$E$10),$E$10+SQRT(T903*($G$10-$E$10)*($F$10-$E$10)),$G$10-SQRT((1-T903)*($G$10-$E$10)*($G$10-$F$10))))</f>
        <v>1.14561834520928</v>
      </c>
      <c r="G903" s="52" t="n">
        <f aca="false">IF($G$11=$E$11,$F$11,IF(U903&lt;($F$11-$E$11)/($G$11-$E$11),$E$11+SQRT(U903*($G$11-$E$11)*($F$11-$E$11)),$G$11-SQRT((1-U903)*($G$11-$E$11)*($G$11-$F$11))))</f>
        <v>0.0872154228814667</v>
      </c>
      <c r="H903" s="53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-2291236690.41855</v>
      </c>
      <c r="I903" s="53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-34751006.8231584</v>
      </c>
      <c r="J903" s="53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249036291.311435</v>
      </c>
      <c r="K903" s="53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590104506.706494</v>
      </c>
      <c r="L903" s="53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717718296.941464</v>
      </c>
      <c r="M903" s="53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899317429.987051</v>
      </c>
      <c r="N903" s="53" t="n">
        <f aca="false">IF(COUNT('Business Case'!B11:G11)=0,"",H903+NPV(G903,I903:M903))</f>
        <v>-547640103.755727</v>
      </c>
      <c r="P903" s="54" t="n">
        <f aca="true">RAND()</f>
        <v>0.484993693276171</v>
      </c>
      <c r="Q903" s="54" t="n">
        <f aca="true">RAND()</f>
        <v>0.538573469938218</v>
      </c>
      <c r="R903" s="54" t="n">
        <f aca="true">RAND()</f>
        <v>0.395222869173686</v>
      </c>
      <c r="S903" s="54" t="n">
        <f aca="true">RAND()</f>
        <v>0.891258488930622</v>
      </c>
      <c r="T903" s="54" t="n">
        <f aca="true">RAND()</f>
        <v>0.854726268575339</v>
      </c>
      <c r="U903" s="54" t="n">
        <f aca="true">RAND()</f>
        <v>0.052062327358393</v>
      </c>
    </row>
    <row r="904" customFormat="false" ht="15" hidden="false" customHeight="false" outlineLevel="0" collapsed="false">
      <c r="A904" s="50" t="n">
        <v>824</v>
      </c>
      <c r="B904" s="51" t="n">
        <f aca="false">1+IF($G$6=$E$6,$F$6,IF(P904&lt;($F$6-$E$6)/($G$6-$E$6),$E$6+SQRT(P904*($G$6-$E$6)*($F$6-$E$6)),$G$6-SQRT((1-P904)*($G$6-$E$6)*($G$6-$F$6))))</f>
        <v>0.970234970081488</v>
      </c>
      <c r="C904" s="51" t="n">
        <f aca="false">1+IF($G$7=$E$7,$F$7,IF(Q904&lt;($F$7-$E$7)/($G$7-$E$7),$E$7+SQRT(Q904*($G$7-$E$7)*($F$7-$E$7)),$G$7-SQRT((1-Q904)*($G$7-$E$7)*($G$7-$F$7))))</f>
        <v>1.0072695110882</v>
      </c>
      <c r="D904" s="51" t="n">
        <f aca="false">1+IF($G$8=$E$8,$F$8,IF(R904&lt;($F$8-$E$8)/($G$8-$E$8),$E$8+SQRT(R904*($G$8-$E$8)*($F$8-$E$8)),$G$8-SQRT((1-R904)*($G$8-$E$8)*($G$8-$F$8))))</f>
        <v>0.993852777373079</v>
      </c>
      <c r="E904" s="51" t="n">
        <f aca="false">1+IF($G$9=$E$9,$F$9,IF(S904&lt;($F$9-$E$9)/($G$9-$E$9),$E$9+SQRT(S904*($G$9-$E$9)*($F$9-$E$9)),$G$9-SQRT((1-S904)*($G$9-$E$9)*($G$9-$F$9))))</f>
        <v>0.989001844606527</v>
      </c>
      <c r="F904" s="51" t="n">
        <f aca="false">1+IF($G$10=$E$10,$F$10,IF(T904&lt;($F$10-$E$10)/($G$10-$E$10),$E$10+SQRT(T904*($G$10-$E$10)*($F$10-$E$10)),$G$10-SQRT((1-T904)*($G$10-$E$10)*($G$10-$F$10))))</f>
        <v>1.22369806104202</v>
      </c>
      <c r="G904" s="52" t="n">
        <f aca="false">IF($G$11=$E$11,$F$11,IF(U904&lt;($F$11-$E$11)/($G$11-$E$11),$E$11+SQRT(U904*($G$11-$E$11)*($F$11-$E$11)),$G$11-SQRT((1-U904)*($G$11-$E$11)*($G$11-$F$11))))</f>
        <v>0.120309488041632</v>
      </c>
      <c r="H904" s="53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-2447396122.08405</v>
      </c>
      <c r="I904" s="53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-25670807.4188339</v>
      </c>
      <c r="J904" s="53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262326868.878592</v>
      </c>
      <c r="K904" s="53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611509448.22812</v>
      </c>
      <c r="L904" s="53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741283750.533268</v>
      </c>
      <c r="M904" s="53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927046673.332969</v>
      </c>
      <c r="N904" s="53" t="n">
        <f aca="false">IF(COUNT('Business Case'!B11:G11)=0,"",H904+NPV(G904,I904:M904))</f>
        <v>-830516720.575837</v>
      </c>
      <c r="P904" s="54" t="n">
        <f aca="true">RAND()</f>
        <v>0.328863401489831</v>
      </c>
      <c r="Q904" s="54" t="n">
        <f aca="true">RAND()</f>
        <v>0.698192704222214</v>
      </c>
      <c r="R904" s="54" t="n">
        <f aca="true">RAND()</f>
        <v>0.256408811111041</v>
      </c>
      <c r="S904" s="54" t="n">
        <f aca="true">RAND()</f>
        <v>0.316853133734574</v>
      </c>
      <c r="T904" s="54" t="n">
        <f aca="true">RAND()</f>
        <v>0.990776106760678</v>
      </c>
      <c r="U904" s="54" t="n">
        <f aca="true">RAND()</f>
        <v>0.937395985323154</v>
      </c>
    </row>
    <row r="905" customFormat="false" ht="15" hidden="false" customHeight="false" outlineLevel="0" collapsed="false">
      <c r="A905" s="50" t="n">
        <v>825</v>
      </c>
      <c r="B905" s="51" t="n">
        <f aca="false">1+IF($G$6=$E$6,$F$6,IF(P905&lt;($F$6-$E$6)/($G$6-$E$6),$E$6+SQRT(P905*($G$6-$E$6)*($F$6-$E$6)),$G$6-SQRT((1-P905)*($G$6-$E$6)*($G$6-$F$6))))</f>
        <v>1.04418231584932</v>
      </c>
      <c r="C905" s="51" t="n">
        <f aca="false">1+IF($G$7=$E$7,$F$7,IF(Q905&lt;($F$7-$E$7)/($G$7-$E$7),$E$7+SQRT(Q905*($G$7-$E$7)*($F$7-$E$7)),$G$7-SQRT((1-Q905)*($G$7-$E$7)*($G$7-$F$7))))</f>
        <v>0.944845032545249</v>
      </c>
      <c r="D905" s="51" t="n">
        <f aca="false">1+IF($G$8=$E$8,$F$8,IF(R905&lt;($F$8-$E$8)/($G$8-$E$8),$E$8+SQRT(R905*($G$8-$E$8)*($F$8-$E$8)),$G$8-SQRT((1-R905)*($G$8-$E$8)*($G$8-$F$8))))</f>
        <v>1.05810426399584</v>
      </c>
      <c r="E905" s="51" t="n">
        <f aca="false">1+IF($G$9=$E$9,$F$9,IF(S905&lt;($F$9-$E$9)/($G$9-$E$9),$E$9+SQRT(S905*($G$9-$E$9)*($F$9-$E$9)),$G$9-SQRT((1-S905)*($G$9-$E$9)*($G$9-$F$9))))</f>
        <v>1.05828437128133</v>
      </c>
      <c r="F905" s="51" t="n">
        <f aca="false">1+IF($G$10=$E$10,$F$10,IF(T905&lt;($F$10-$E$10)/($G$10-$E$10),$E$10+SQRT(T905*($G$10-$E$10)*($F$10-$E$10)),$G$10-SQRT((1-T905)*($G$10-$E$10)*($G$10-$F$10))))</f>
        <v>1.18953215031483</v>
      </c>
      <c r="G905" s="52" t="n">
        <f aca="false">IF($G$11=$E$11,$F$11,IF(U905&lt;($F$11-$E$11)/($G$11-$E$11),$E$11+SQRT(U905*($G$11-$E$11)*($F$11-$E$11)),$G$11-SQRT((1-U905)*($G$11-$E$11)*($G$11-$F$11))))</f>
        <v>0.0898839107879869</v>
      </c>
      <c r="H905" s="53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-2379064300.62967</v>
      </c>
      <c r="I905" s="53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-24286703.9289796</v>
      </c>
      <c r="J905" s="53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272012694.952352</v>
      </c>
      <c r="K905" s="53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627788701.349425</v>
      </c>
      <c r="L905" s="53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760651734.431617</v>
      </c>
      <c r="M905" s="53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948182851.7679</v>
      </c>
      <c r="N905" s="53" t="n">
        <f aca="false">IF(COUNT('Business Case'!B11:G11)=0,"",H905+NPV(G905,I905:M905))</f>
        <v>-531752090.199378</v>
      </c>
      <c r="P905" s="54" t="n">
        <f aca="true">RAND()</f>
        <v>0.995487273483055</v>
      </c>
      <c r="Q905" s="54" t="n">
        <f aca="true">RAND()</f>
        <v>0.444067333052473</v>
      </c>
      <c r="R905" s="54" t="n">
        <f aca="true">RAND()</f>
        <v>0.882983153644641</v>
      </c>
      <c r="S905" s="54" t="n">
        <f aca="true">RAND()</f>
        <v>0.775686491966379</v>
      </c>
      <c r="T905" s="54" t="n">
        <f aca="true">RAND()</f>
        <v>0.95124852205936</v>
      </c>
      <c r="U905" s="54" t="n">
        <f aca="true">RAND()</f>
        <v>0.0976916924648829</v>
      </c>
    </row>
    <row r="906" customFormat="false" ht="15" hidden="false" customHeight="false" outlineLevel="0" collapsed="false">
      <c r="A906" s="50" t="n">
        <v>826</v>
      </c>
      <c r="B906" s="51" t="n">
        <f aca="false">1+IF($G$6=$E$6,$F$6,IF(P906&lt;($F$6-$E$6)/($G$6-$E$6),$E$6+SQRT(P906*($G$6-$E$6)*($F$6-$E$6)),$G$6-SQRT((1-P906)*($G$6-$E$6)*($G$6-$F$6))))</f>
        <v>1.02980210477236</v>
      </c>
      <c r="C906" s="51" t="n">
        <f aca="false">1+IF($G$7=$E$7,$F$7,IF(Q906&lt;($F$7-$E$7)/($G$7-$E$7),$E$7+SQRT(Q906*($G$7-$E$7)*($F$7-$E$7)),$G$7-SQRT((1-Q906)*($G$7-$E$7)*($G$7-$F$7))))</f>
        <v>1.01976404799675</v>
      </c>
      <c r="D906" s="51" t="n">
        <f aca="false">1+IF($G$8=$E$8,$F$8,IF(R906&lt;($F$8-$E$8)/($G$8-$E$8),$E$8+SQRT(R906*($G$8-$E$8)*($F$8-$E$8)),$G$8-SQRT((1-R906)*($G$8-$E$8)*($G$8-$F$8))))</f>
        <v>0.991867492312115</v>
      </c>
      <c r="E906" s="51" t="n">
        <f aca="false">1+IF($G$9=$E$9,$F$9,IF(S906&lt;($F$9-$E$9)/($G$9-$E$9),$E$9+SQRT(S906*($G$9-$E$9)*($F$9-$E$9)),$G$9-SQRT((1-S906)*($G$9-$E$9)*($G$9-$F$9))))</f>
        <v>1.08719229936405</v>
      </c>
      <c r="F906" s="51" t="n">
        <f aca="false">1+IF($G$10=$E$10,$F$10,IF(T906&lt;($F$10-$E$10)/($G$10-$E$10),$E$10+SQRT(T906*($G$10-$E$10)*($F$10-$E$10)),$G$10-SQRT((1-T906)*($G$10-$E$10)*($G$10-$F$10))))</f>
        <v>1.19241050551868</v>
      </c>
      <c r="G906" s="52" t="n">
        <f aca="false">IF($G$11=$E$11,$F$11,IF(U906&lt;($F$11-$E$11)/($G$11-$E$11),$E$11+SQRT(U906*($G$11-$E$11)*($F$11-$E$11)),$G$11-SQRT((1-U906)*($G$11-$E$11)*($G$11-$F$11))))</f>
        <v>0.124651807977938</v>
      </c>
      <c r="H906" s="53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-2384821011.03735</v>
      </c>
      <c r="I906" s="53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14080713.9340143</v>
      </c>
      <c r="J906" s="53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356441267.039293</v>
      </c>
      <c r="K906" s="53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758422345.420505</v>
      </c>
      <c r="L906" s="53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908835892.22215</v>
      </c>
      <c r="M906" s="53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1108449385.60485</v>
      </c>
      <c r="N906" s="53" t="n">
        <f aca="false">IF(COUNT('Business Case'!B11:G11)=0,"",H906+NPV(G906,I906:M906))</f>
        <v>-373186593.653819</v>
      </c>
      <c r="P906" s="54" t="n">
        <f aca="true">RAND()</f>
        <v>0.945606003783098</v>
      </c>
      <c r="Q906" s="54" t="n">
        <f aca="true">RAND()</f>
        <v>0.748719952678611</v>
      </c>
      <c r="R906" s="54" t="n">
        <f aca="true">RAND()</f>
        <v>0.233718255000671</v>
      </c>
      <c r="S906" s="54" t="n">
        <f aca="true">RAND()</f>
        <v>0.894805139755335</v>
      </c>
      <c r="T906" s="54" t="n">
        <f aca="true">RAND()</f>
        <v>0.955779335005143</v>
      </c>
      <c r="U906" s="54" t="n">
        <f aca="true">RAND()</f>
        <v>0.980931228063433</v>
      </c>
    </row>
    <row r="907" customFormat="false" ht="15" hidden="false" customHeight="false" outlineLevel="0" collapsed="false">
      <c r="A907" s="50" t="n">
        <v>827</v>
      </c>
      <c r="B907" s="51" t="n">
        <f aca="false">1+IF($G$6=$E$6,$F$6,IF(P907&lt;($F$6-$E$6)/($G$6-$E$6),$E$6+SQRT(P907*($G$6-$E$6)*($F$6-$E$6)),$G$6-SQRT((1-P907)*($G$6-$E$6)*($G$6-$F$6))))</f>
        <v>0.959417859603372</v>
      </c>
      <c r="C907" s="51" t="n">
        <f aca="false">1+IF($G$7=$E$7,$F$7,IF(Q907&lt;($F$7-$E$7)/($G$7-$E$7),$E$7+SQRT(Q907*($G$7-$E$7)*($F$7-$E$7)),$G$7-SQRT((1-Q907)*($G$7-$E$7)*($G$7-$F$7))))</f>
        <v>1.03432105429263</v>
      </c>
      <c r="D907" s="51" t="n">
        <f aca="false">1+IF($G$8=$E$8,$F$8,IF(R907&lt;($F$8-$E$8)/($G$8-$E$8),$E$8+SQRT(R907*($G$8-$E$8)*($F$8-$E$8)),$G$8-SQRT((1-R907)*($G$8-$E$8)*($G$8-$F$8))))</f>
        <v>1.00552738714113</v>
      </c>
      <c r="E907" s="51" t="n">
        <f aca="false">1+IF($G$9=$E$9,$F$9,IF(S907&lt;($F$9-$E$9)/($G$9-$E$9),$E$9+SQRT(S907*($G$9-$E$9)*($F$9-$E$9)),$G$9-SQRT((1-S907)*($G$9-$E$9)*($G$9-$F$9))))</f>
        <v>0.975292550582215</v>
      </c>
      <c r="F907" s="51" t="n">
        <f aca="false">1+IF($G$10=$E$10,$F$10,IF(T907&lt;($F$10-$E$10)/($G$10-$E$10),$E$10+SQRT(T907*($G$10-$E$10)*($F$10-$E$10)),$G$10-SQRT((1-T907)*($G$10-$E$10)*($G$10-$F$10))))</f>
        <v>1.01631631373655</v>
      </c>
      <c r="G907" s="52" t="n">
        <f aca="false">IF($G$11=$E$11,$F$11,IF(U907&lt;($F$11-$E$11)/($G$11-$E$11),$E$11+SQRT(U907*($G$11-$E$11)*($F$11-$E$11)),$G$11-SQRT((1-U907)*($G$11-$E$11)*($G$11-$F$11))))</f>
        <v>0.126470064663755</v>
      </c>
      <c r="H907" s="53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-2032632627.47311</v>
      </c>
      <c r="I907" s="53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-11374883.4775452</v>
      </c>
      <c r="J907" s="53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269011686.523339</v>
      </c>
      <c r="K907" s="53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600214072.211051</v>
      </c>
      <c r="L907" s="53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727971743.152667</v>
      </c>
      <c r="M907" s="53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916596888.329938</v>
      </c>
      <c r="N907" s="53" t="n">
        <f aca="false">IF(COUNT('Business Case'!B11:G11)=0,"",H907+NPV(G907,I907:M907))</f>
        <v>-453393820.105311</v>
      </c>
      <c r="P907" s="54" t="n">
        <f aca="true">RAND()</f>
        <v>0.235365469323068</v>
      </c>
      <c r="Q907" s="54" t="n">
        <f aca="true">RAND()</f>
        <v>0.801753800296774</v>
      </c>
      <c r="R907" s="54" t="n">
        <f aca="true">RAND()</f>
        <v>0.404995027974592</v>
      </c>
      <c r="S907" s="54" t="n">
        <f aca="true">RAND()</f>
        <v>0.226758726927014</v>
      </c>
      <c r="T907" s="54" t="n">
        <f aca="true">RAND()</f>
        <v>0.271892463657688</v>
      </c>
      <c r="U907" s="54" t="n">
        <f aca="true">RAND()</f>
        <v>0.991693037681285</v>
      </c>
    </row>
    <row r="908" customFormat="false" ht="15" hidden="false" customHeight="false" outlineLevel="0" collapsed="false">
      <c r="A908" s="50" t="n">
        <v>828</v>
      </c>
      <c r="B908" s="51" t="n">
        <f aca="false">1+IF($G$6=$E$6,$F$6,IF(P908&lt;($F$6-$E$6)/($G$6-$E$6),$E$6+SQRT(P908*($G$6-$E$6)*($F$6-$E$6)),$G$6-SQRT((1-P908)*($G$6-$E$6)*($G$6-$F$6))))</f>
        <v>1.01162786286536</v>
      </c>
      <c r="C908" s="51" t="n">
        <f aca="false">1+IF($G$7=$E$7,$F$7,IF(Q908&lt;($F$7-$E$7)/($G$7-$E$7),$E$7+SQRT(Q908*($G$7-$E$7)*($F$7-$E$7)),$G$7-SQRT((1-Q908)*($G$7-$E$7)*($G$7-$F$7))))</f>
        <v>0.930152809469044</v>
      </c>
      <c r="D908" s="51" t="n">
        <f aca="false">1+IF($G$8=$E$8,$F$8,IF(R908&lt;($F$8-$E$8)/($G$8-$E$8),$E$8+SQRT(R908*($G$8-$E$8)*($F$8-$E$8)),$G$8-SQRT((1-R908)*($G$8-$E$8)*($G$8-$F$8))))</f>
        <v>1.0698570372893</v>
      </c>
      <c r="E908" s="51" t="n">
        <f aca="false">1+IF($G$9=$E$9,$F$9,IF(S908&lt;($F$9-$E$9)/($G$9-$E$9),$E$9+SQRT(S908*($G$9-$E$9)*($F$9-$E$9)),$G$9-SQRT((1-S908)*($G$9-$E$9)*($G$9-$F$9))))</f>
        <v>0.927744510861732</v>
      </c>
      <c r="F908" s="51" t="n">
        <f aca="false">1+IF($G$10=$E$10,$F$10,IF(T908&lt;($F$10-$E$10)/($G$10-$E$10),$E$10+SQRT(T908*($G$10-$E$10)*($F$10-$E$10)),$G$10-SQRT((1-T908)*($G$10-$E$10)*($G$10-$F$10))))</f>
        <v>1.02265590707163</v>
      </c>
      <c r="G908" s="52" t="n">
        <f aca="false">IF($G$11=$E$11,$F$11,IF(U908&lt;($F$11-$E$11)/($G$11-$E$11),$E$11+SQRT(U908*($G$11-$E$11)*($F$11-$E$11)),$G$11-SQRT((1-U908)*($G$11-$E$11)*($G$11-$F$11))))</f>
        <v>0.112929872830787</v>
      </c>
      <c r="H908" s="53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-2045311814.14326</v>
      </c>
      <c r="I908" s="53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-21676937.2823664</v>
      </c>
      <c r="J908" s="53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239616792.563795</v>
      </c>
      <c r="K908" s="53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552043317.763539</v>
      </c>
      <c r="L908" s="53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671661099.030143</v>
      </c>
      <c r="M908" s="53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850520391.278507</v>
      </c>
      <c r="N908" s="53" t="n">
        <f aca="false">IF(COUNT('Business Case'!B11:G11)=0,"",H908+NPV(G908,I908:M908))</f>
        <v>-534926888.186849</v>
      </c>
      <c r="P908" s="54" t="n">
        <f aca="true">RAND()</f>
        <v>0.80367721222934</v>
      </c>
      <c r="Q908" s="54" t="n">
        <f aca="true">RAND()</f>
        <v>0.392372708936992</v>
      </c>
      <c r="R908" s="54" t="n">
        <f aca="true">RAND()</f>
        <v>0.939426786601429</v>
      </c>
      <c r="S908" s="54" t="n">
        <f aca="true">RAND()</f>
        <v>0.0307903153182695</v>
      </c>
      <c r="T908" s="54" t="n">
        <f aca="true">RAND()</f>
        <v>0.310862178807703</v>
      </c>
      <c r="U908" s="54" t="n">
        <f aca="true">RAND()</f>
        <v>0.805740505617934</v>
      </c>
    </row>
    <row r="909" customFormat="false" ht="15" hidden="false" customHeight="false" outlineLevel="0" collapsed="false">
      <c r="A909" s="50" t="n">
        <v>829</v>
      </c>
      <c r="B909" s="51" t="n">
        <f aca="false">1+IF($G$6=$E$6,$F$6,IF(P909&lt;($F$6-$E$6)/($G$6-$E$6),$E$6+SQRT(P909*($G$6-$E$6)*($F$6-$E$6)),$G$6-SQRT((1-P909)*($G$6-$E$6)*($G$6-$F$6))))</f>
        <v>0.958064288745821</v>
      </c>
      <c r="C909" s="51" t="n">
        <f aca="false">1+IF($G$7=$E$7,$F$7,IF(Q909&lt;($F$7-$E$7)/($G$7-$E$7),$E$7+SQRT(Q909*($G$7-$E$7)*($F$7-$E$7)),$G$7-SQRT((1-Q909)*($G$7-$E$7)*($G$7-$F$7))))</f>
        <v>1.00044020474062</v>
      </c>
      <c r="D909" s="51" t="n">
        <f aca="false">1+IF($G$8=$E$8,$F$8,IF(R909&lt;($F$8-$E$8)/($G$8-$E$8),$E$8+SQRT(R909*($G$8-$E$8)*($F$8-$E$8)),$G$8-SQRT((1-R909)*($G$8-$E$8)*($G$8-$F$8))))</f>
        <v>1.01021888688535</v>
      </c>
      <c r="E909" s="51" t="n">
        <f aca="false">1+IF($G$9=$E$9,$F$9,IF(S909&lt;($F$9-$E$9)/($G$9-$E$9),$E$9+SQRT(S909*($G$9-$E$9)*($F$9-$E$9)),$G$9-SQRT((1-S909)*($G$9-$E$9)*($G$9-$F$9))))</f>
        <v>0.990791149178136</v>
      </c>
      <c r="F909" s="51" t="n">
        <f aca="false">1+IF($G$10=$E$10,$F$10,IF(T909&lt;($F$10-$E$10)/($G$10-$E$10),$E$10+SQRT(T909*($G$10-$E$10)*($F$10-$E$10)),$G$10-SQRT((1-T909)*($G$10-$E$10)*($G$10-$F$10))))</f>
        <v>1.07226717191607</v>
      </c>
      <c r="G909" s="52" t="n">
        <f aca="false">IF($G$11=$E$11,$F$11,IF(U909&lt;($F$11-$E$11)/($G$11-$E$11),$E$11+SQRT(U909*($G$11-$E$11)*($F$11-$E$11)),$G$11-SQRT((1-U909)*($G$11-$E$11)*($G$11-$F$11))))</f>
        <v>0.119510373527688</v>
      </c>
      <c r="H909" s="53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-2144534343.83214</v>
      </c>
      <c r="I909" s="53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-30114967.3975383</v>
      </c>
      <c r="J909" s="53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237575199.770104</v>
      </c>
      <c r="K909" s="53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558878725.53355</v>
      </c>
      <c r="L909" s="53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681234058.563059</v>
      </c>
      <c r="M909" s="53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863423083.751349</v>
      </c>
      <c r="N909" s="53" t="n">
        <f aca="false">IF(COUNT('Business Case'!B11:G11)=0,"",H909+NPV(G909,I909:M909))</f>
        <v>-658858059.276746</v>
      </c>
      <c r="P909" s="54" t="n">
        <f aca="true">RAND()</f>
        <v>0.224764108503869</v>
      </c>
      <c r="Q909" s="54" t="n">
        <f aca="true">RAND()</f>
        <v>0.668620261362573</v>
      </c>
      <c r="R909" s="54" t="n">
        <f aca="true">RAND()</f>
        <v>0.462623448526265</v>
      </c>
      <c r="S909" s="54" t="n">
        <f aca="true">RAND()</f>
        <v>0.329721310763463</v>
      </c>
      <c r="T909" s="54" t="n">
        <f aca="true">RAND()</f>
        <v>0.578813890950518</v>
      </c>
      <c r="U909" s="54" t="n">
        <f aca="true">RAND()</f>
        <v>0.92664515764758</v>
      </c>
    </row>
    <row r="910" customFormat="false" ht="15" hidden="false" customHeight="false" outlineLevel="0" collapsed="false">
      <c r="A910" s="50" t="n">
        <v>830</v>
      </c>
      <c r="B910" s="51" t="n">
        <f aca="false">1+IF($G$6=$E$6,$F$6,IF(P910&lt;($F$6-$E$6)/($G$6-$E$6),$E$6+SQRT(P910*($G$6-$E$6)*($F$6-$E$6)),$G$6-SQRT((1-P910)*($G$6-$E$6)*($G$6-$F$6))))</f>
        <v>1.02759659907011</v>
      </c>
      <c r="C910" s="51" t="n">
        <f aca="false">1+IF($G$7=$E$7,$F$7,IF(Q910&lt;($F$7-$E$7)/($G$7-$E$7),$E$7+SQRT(Q910*($G$7-$E$7)*($F$7-$E$7)),$G$7-SQRT((1-Q910)*($G$7-$E$7)*($G$7-$F$7))))</f>
        <v>1.146826807063</v>
      </c>
      <c r="D910" s="51" t="n">
        <f aca="false">1+IF($G$8=$E$8,$F$8,IF(R910&lt;($F$8-$E$8)/($G$8-$E$8),$E$8+SQRT(R910*($G$8-$E$8)*($F$8-$E$8)),$G$8-SQRT((1-R910)*($G$8-$E$8)*($G$8-$F$8))))</f>
        <v>0.998063145601043</v>
      </c>
      <c r="E910" s="51" t="n">
        <f aca="false">1+IF($G$9=$E$9,$F$9,IF(S910&lt;($F$9-$E$9)/($G$9-$E$9),$E$9+SQRT(S910*($G$9-$E$9)*($F$9-$E$9)),$G$9-SQRT((1-S910)*($G$9-$E$9)*($G$9-$F$9))))</f>
        <v>1.05924199501856</v>
      </c>
      <c r="F910" s="51" t="n">
        <f aca="false">1+IF($G$10=$E$10,$F$10,IF(T910&lt;($F$10-$E$10)/($G$10-$E$10),$E$10+SQRT(T910*($G$10-$E$10)*($F$10-$E$10)),$G$10-SQRT((1-T910)*($G$10-$E$10)*($G$10-$F$10))))</f>
        <v>1.08919226823675</v>
      </c>
      <c r="G910" s="52" t="n">
        <f aca="false">IF($G$11=$E$11,$F$11,IF(U910&lt;($F$11-$E$11)/($G$11-$E$11),$E$11+SQRT(U910*($G$11-$E$11)*($F$11-$E$11)),$G$11-SQRT((1-U910)*($G$11-$E$11)*($G$11-$F$11))))</f>
        <v>0.108028623533759</v>
      </c>
      <c r="H910" s="53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-2178384536.4735</v>
      </c>
      <c r="I910" s="53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58674059.6499703</v>
      </c>
      <c r="J910" s="53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437983718.749329</v>
      </c>
      <c r="K910" s="53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871752991.260524</v>
      </c>
      <c r="L910" s="53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1038917651.58303</v>
      </c>
      <c r="M910" s="53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1262922241.67463</v>
      </c>
      <c r="N910" s="53" t="n">
        <f aca="false">IF(COUNT('Business Case'!B11:G11)=0,"",H910+NPV(G910,I910:M910))</f>
        <v>317563677.355742</v>
      </c>
      <c r="P910" s="54" t="n">
        <f aca="true">RAND()</f>
        <v>0.933078350236635</v>
      </c>
      <c r="Q910" s="54" t="n">
        <f aca="true">RAND()</f>
        <v>0.999850827356809</v>
      </c>
      <c r="R910" s="54" t="n">
        <f aca="true">RAND()</f>
        <v>0.308008795342269</v>
      </c>
      <c r="S910" s="54" t="n">
        <f aca="true">RAND()</f>
        <v>0.780346254181026</v>
      </c>
      <c r="T910" s="54" t="n">
        <f aca="true">RAND()</f>
        <v>0.655211645402118</v>
      </c>
      <c r="U910" s="54" t="n">
        <f aca="true">RAND()</f>
        <v>0.678172410785802</v>
      </c>
    </row>
    <row r="911" customFormat="false" ht="15" hidden="false" customHeight="false" outlineLevel="0" collapsed="false">
      <c r="A911" s="50" t="n">
        <v>831</v>
      </c>
      <c r="B911" s="51" t="n">
        <f aca="false">1+IF($G$6=$E$6,$F$6,IF(P911&lt;($F$6-$E$6)/($G$6-$E$6),$E$6+SQRT(P911*($G$6-$E$6)*($F$6-$E$6)),$G$6-SQRT((1-P911)*($G$6-$E$6)*($G$6-$F$6))))</f>
        <v>0.987258015851178</v>
      </c>
      <c r="C911" s="51" t="n">
        <f aca="false">1+IF($G$7=$E$7,$F$7,IF(Q911&lt;($F$7-$E$7)/($G$7-$E$7),$E$7+SQRT(Q911*($G$7-$E$7)*($F$7-$E$7)),$G$7-SQRT((1-Q911)*($G$7-$E$7)*($G$7-$F$7))))</f>
        <v>0.974340323066511</v>
      </c>
      <c r="D911" s="51" t="n">
        <f aca="false">1+IF($G$8=$E$8,$F$8,IF(R911&lt;($F$8-$E$8)/($G$8-$E$8),$E$8+SQRT(R911*($G$8-$E$8)*($F$8-$E$8)),$G$8-SQRT((1-R911)*($G$8-$E$8)*($G$8-$F$8))))</f>
        <v>1.00161344669367</v>
      </c>
      <c r="E911" s="51" t="n">
        <f aca="false">1+IF($G$9=$E$9,$F$9,IF(S911&lt;($F$9-$E$9)/($G$9-$E$9),$E$9+SQRT(S911*($G$9-$E$9)*($F$9-$E$9)),$G$9-SQRT((1-S911)*($G$9-$E$9)*($G$9-$F$9))))</f>
        <v>1.06412282064959</v>
      </c>
      <c r="F911" s="51" t="n">
        <f aca="false">1+IF($G$10=$E$10,$F$10,IF(T911&lt;($F$10-$E$10)/($G$10-$E$10),$E$10+SQRT(T911*($G$10-$E$10)*($F$10-$E$10)),$G$10-SQRT((1-T911)*($G$10-$E$10)*($G$10-$F$10))))</f>
        <v>1.23794491734009</v>
      </c>
      <c r="G911" s="52" t="n">
        <f aca="false">IF($G$11=$E$11,$F$11,IF(U911&lt;($F$11-$E$11)/($G$11-$E$11),$E$11+SQRT(U911*($G$11-$E$11)*($F$11-$E$11)),$G$11-SQRT((1-U911)*($G$11-$E$11)*($G$11-$F$11))))</f>
        <v>0.105659814739561</v>
      </c>
      <c r="H911" s="53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-2475889834.68018</v>
      </c>
      <c r="I911" s="53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-36681949.6373373</v>
      </c>
      <c r="J911" s="53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251615064.802599</v>
      </c>
      <c r="K911" s="53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601809325.109539</v>
      </c>
      <c r="L911" s="53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731152468.087446</v>
      </c>
      <c r="M911" s="53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913995227.992719</v>
      </c>
      <c r="N911" s="53" t="n">
        <f aca="false">IF(COUNT('Business Case'!B11:G11)=0,"",H911+NPV(G911,I911:M911))</f>
        <v>-815621890.251777</v>
      </c>
      <c r="P911" s="54" t="n">
        <f aca="true">RAND()</f>
        <v>0.507597422018961</v>
      </c>
      <c r="Q911" s="54" t="n">
        <f aca="true">RAND()</f>
        <v>0.557500836001761</v>
      </c>
      <c r="R911" s="54" t="n">
        <f aca="true">RAND()</f>
        <v>0.35467240856666</v>
      </c>
      <c r="S911" s="54" t="n">
        <f aca="true">RAND()</f>
        <v>0.803336268448463</v>
      </c>
      <c r="T911" s="54" t="n">
        <f aca="true">RAND()</f>
        <v>0.998062333094171</v>
      </c>
      <c r="U911" s="54" t="n">
        <f aca="true">RAND()</f>
        <v>0.605036920991677</v>
      </c>
    </row>
    <row r="912" customFormat="false" ht="15" hidden="false" customHeight="false" outlineLevel="0" collapsed="false">
      <c r="A912" s="50" t="n">
        <v>832</v>
      </c>
      <c r="B912" s="51" t="n">
        <f aca="false">1+IF($G$6=$E$6,$F$6,IF(P912&lt;($F$6-$E$6)/($G$6-$E$6),$E$6+SQRT(P912*($G$6-$E$6)*($F$6-$E$6)),$G$6-SQRT((1-P912)*($G$6-$E$6)*($G$6-$F$6))))</f>
        <v>1.00513825146344</v>
      </c>
      <c r="C912" s="51" t="n">
        <f aca="false">1+IF($G$7=$E$7,$F$7,IF(Q912&lt;($F$7-$E$7)/($G$7-$E$7),$E$7+SQRT(Q912*($G$7-$E$7)*($F$7-$E$7)),$G$7-SQRT((1-Q912)*($G$7-$E$7)*($G$7-$F$7))))</f>
        <v>0.889394862608769</v>
      </c>
      <c r="D912" s="51" t="n">
        <f aca="false">1+IF($G$8=$E$8,$F$8,IF(R912&lt;($F$8-$E$8)/($G$8-$E$8),$E$8+SQRT(R912*($G$8-$E$8)*($F$8-$E$8)),$G$8-SQRT((1-R912)*($G$8-$E$8)*($G$8-$F$8))))</f>
        <v>1.03035357320967</v>
      </c>
      <c r="E912" s="51" t="n">
        <f aca="false">1+IF($G$9=$E$9,$F$9,IF(S912&lt;($F$9-$E$9)/($G$9-$E$9),$E$9+SQRT(S912*($G$9-$E$9)*($F$9-$E$9)),$G$9-SQRT((1-S912)*($G$9-$E$9)*($G$9-$F$9))))</f>
        <v>1.08484906986431</v>
      </c>
      <c r="F912" s="51" t="n">
        <f aca="false">1+IF($G$10=$E$10,$F$10,IF(T912&lt;($F$10-$E$10)/($G$10-$E$10),$E$10+SQRT(T912*($G$10-$E$10)*($F$10-$E$10)),$G$10-SQRT((1-T912)*($G$10-$E$10)*($G$10-$F$10))))</f>
        <v>1.14236894545931</v>
      </c>
      <c r="G912" s="52" t="n">
        <f aca="false">IF($G$11=$E$11,$F$11,IF(U912&lt;($F$11-$E$11)/($G$11-$E$11),$E$11+SQRT(U912*($G$11-$E$11)*($F$11-$E$11)),$G$11-SQRT((1-U912)*($G$11-$E$11)*($G$11-$F$11))))</f>
        <v>0.0967425354251569</v>
      </c>
      <c r="H912" s="53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-2284737890.91863</v>
      </c>
      <c r="I912" s="53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-51743003.2441448</v>
      </c>
      <c r="J912" s="53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211359560.872101</v>
      </c>
      <c r="K912" s="53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531580572.261312</v>
      </c>
      <c r="L912" s="53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650176850.353229</v>
      </c>
      <c r="M912" s="53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820101678.978991</v>
      </c>
      <c r="N912" s="53" t="n">
        <f aca="false">IF(COUNT('Business Case'!B11:G11)=0,"",H912+NPV(G912,I912:M912))</f>
        <v>-787041732.867712</v>
      </c>
      <c r="P912" s="54" t="n">
        <f aca="true">RAND()</f>
        <v>0.731656469098979</v>
      </c>
      <c r="Q912" s="54" t="n">
        <f aca="true">RAND()</f>
        <v>0.265706770241441</v>
      </c>
      <c r="R912" s="54" t="n">
        <f aca="true">RAND()</f>
        <v>0.676625015689252</v>
      </c>
      <c r="S912" s="54" t="n">
        <f aca="true">RAND()</f>
        <v>0.886809501398799</v>
      </c>
      <c r="T912" s="54" t="n">
        <f aca="true">RAND()</f>
        <v>0.845540747979465</v>
      </c>
      <c r="U912" s="54" t="n">
        <f aca="true">RAND()</f>
        <v>0.280312492462635</v>
      </c>
    </row>
    <row r="913" customFormat="false" ht="15" hidden="false" customHeight="false" outlineLevel="0" collapsed="false">
      <c r="A913" s="50" t="n">
        <v>833</v>
      </c>
      <c r="B913" s="51" t="n">
        <f aca="false">1+IF($G$6=$E$6,$F$6,IF(P913&lt;($F$6-$E$6)/($G$6-$E$6),$E$6+SQRT(P913*($G$6-$E$6)*($F$6-$E$6)),$G$6-SQRT((1-P913)*($G$6-$E$6)*($G$6-$F$6))))</f>
        <v>1.02324245452229</v>
      </c>
      <c r="C913" s="51" t="n">
        <f aca="false">1+IF($G$7=$E$7,$F$7,IF(Q913&lt;($F$7-$E$7)/($G$7-$E$7),$E$7+SQRT(Q913*($G$7-$E$7)*($F$7-$E$7)),$G$7-SQRT((1-Q913)*($G$7-$E$7)*($G$7-$F$7))))</f>
        <v>0.94893707717086</v>
      </c>
      <c r="D913" s="51" t="n">
        <f aca="false">1+IF($G$8=$E$8,$F$8,IF(R913&lt;($F$8-$E$8)/($G$8-$E$8),$E$8+SQRT(R913*($G$8-$E$8)*($F$8-$E$8)),$G$8-SQRT((1-R913)*($G$8-$E$8)*($G$8-$F$8))))</f>
        <v>0.984161031467646</v>
      </c>
      <c r="E913" s="51" t="n">
        <f aca="false">1+IF($G$9=$E$9,$F$9,IF(S913&lt;($F$9-$E$9)/($G$9-$E$9),$E$9+SQRT(S913*($G$9-$E$9)*($F$9-$E$9)),$G$9-SQRT((1-S913)*($G$9-$E$9)*($G$9-$F$9))))</f>
        <v>1.00445568146585</v>
      </c>
      <c r="F913" s="51" t="n">
        <f aca="false">1+IF($G$10=$E$10,$F$10,IF(T913&lt;($F$10-$E$10)/($G$10-$E$10),$E$10+SQRT(T913*($G$10-$E$10)*($F$10-$E$10)),$G$10-SQRT((1-T913)*($G$10-$E$10)*($G$10-$F$10))))</f>
        <v>1.02783472628693</v>
      </c>
      <c r="G913" s="52" t="n">
        <f aca="false">IF($G$11=$E$11,$F$11,IF(U913&lt;($F$11-$E$11)/($G$11-$E$11),$E$11+SQRT(U913*($G$11-$E$11)*($F$11-$E$11)),$G$11-SQRT((1-U913)*($G$11-$E$11)*($G$11-$F$11))))</f>
        <v>0.112441890737139</v>
      </c>
      <c r="H913" s="53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-2055669452.57386</v>
      </c>
      <c r="I913" s="53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21273987.2726089</v>
      </c>
      <c r="J913" s="53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338501306.855349</v>
      </c>
      <c r="K913" s="53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707120362.752436</v>
      </c>
      <c r="L913" s="53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846420310.464678</v>
      </c>
      <c r="M913" s="53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1030986603.64699</v>
      </c>
      <c r="N913" s="53" t="n">
        <f aca="false">IF(COUNT('Business Case'!B11:G11)=0,"",H913+NPV(G913,I913:M913))</f>
        <v>-91533939.4360704</v>
      </c>
      <c r="P913" s="54" t="n">
        <f aca="true">RAND()</f>
        <v>0.904537834667792</v>
      </c>
      <c r="Q913" s="54" t="n">
        <f aca="true">RAND()</f>
        <v>0.459034580669412</v>
      </c>
      <c r="R913" s="54" t="n">
        <f aca="true">RAND()</f>
        <v>0.155596809457797</v>
      </c>
      <c r="S913" s="54" t="n">
        <f aca="true">RAND()</f>
        <v>0.435116035798138</v>
      </c>
      <c r="T913" s="54" t="n">
        <f aca="true">RAND()</f>
        <v>0.341901215413293</v>
      </c>
      <c r="U913" s="54" t="n">
        <f aca="true">RAND()</f>
        <v>0.794475199408946</v>
      </c>
    </row>
    <row r="914" customFormat="false" ht="15" hidden="false" customHeight="false" outlineLevel="0" collapsed="false">
      <c r="A914" s="50" t="n">
        <v>834</v>
      </c>
      <c r="B914" s="51" t="n">
        <f aca="false">1+IF($G$6=$E$6,$F$6,IF(P914&lt;($F$6-$E$6)/($G$6-$E$6),$E$6+SQRT(P914*($G$6-$E$6)*($F$6-$E$6)),$G$6-SQRT((1-P914)*($G$6-$E$6)*($G$6-$F$6))))</f>
        <v>0.999971530619882</v>
      </c>
      <c r="C914" s="51" t="n">
        <f aca="false">1+IF($G$7=$E$7,$F$7,IF(Q914&lt;($F$7-$E$7)/($G$7-$E$7),$E$7+SQRT(Q914*($G$7-$E$7)*($F$7-$E$7)),$G$7-SQRT((1-Q914)*($G$7-$E$7)*($G$7-$F$7))))</f>
        <v>0.883678753856522</v>
      </c>
      <c r="D914" s="51" t="n">
        <f aca="false">1+IF($G$8=$E$8,$F$8,IF(R914&lt;($F$8-$E$8)/($G$8-$E$8),$E$8+SQRT(R914*($G$8-$E$8)*($F$8-$E$8)),$G$8-SQRT((1-R914)*($G$8-$E$8)*($G$8-$F$8))))</f>
        <v>1.04291487478575</v>
      </c>
      <c r="E914" s="51" t="n">
        <f aca="false">1+IF($G$9=$E$9,$F$9,IF(S914&lt;($F$9-$E$9)/($G$9-$E$9),$E$9+SQRT(S914*($G$9-$E$9)*($F$9-$E$9)),$G$9-SQRT((1-S914)*($G$9-$E$9)*($G$9-$F$9))))</f>
        <v>1.03820445049122</v>
      </c>
      <c r="F914" s="51" t="n">
        <f aca="false">1+IF($G$10=$E$10,$F$10,IF(T914&lt;($F$10-$E$10)/($G$10-$E$10),$E$10+SQRT(T914*($G$10-$E$10)*($F$10-$E$10)),$G$10-SQRT((1-T914)*($G$10-$E$10)*($G$10-$F$10))))</f>
        <v>1.11833331728411</v>
      </c>
      <c r="G914" s="52" t="n">
        <f aca="false">IF($G$11=$E$11,$F$11,IF(U914&lt;($F$11-$E$11)/($G$11-$E$11),$E$11+SQRT(U914*($G$11-$E$11)*($F$11-$E$11)),$G$11-SQRT((1-U914)*($G$11-$E$11)*($G$11-$F$11))))</f>
        <v>0.0936282091251947</v>
      </c>
      <c r="H914" s="53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-2236666634.56821</v>
      </c>
      <c r="I914" s="53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-53285039.6984955</v>
      </c>
      <c r="J914" s="53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198704527.611549</v>
      </c>
      <c r="K914" s="53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506610760.785799</v>
      </c>
      <c r="L914" s="53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621146351.502666</v>
      </c>
      <c r="M914" s="53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789111227.043685</v>
      </c>
      <c r="N914" s="53" t="n">
        <f aca="false">IF(COUNT('Business Case'!B11:G11)=0,"",H914+NPV(G914,I914:M914))</f>
        <v>-793293888.443507</v>
      </c>
      <c r="P914" s="54" t="n">
        <f aca="true">RAND()</f>
        <v>0.666287128965462</v>
      </c>
      <c r="Q914" s="54" t="n">
        <f aca="true">RAND()</f>
        <v>0.24991025643174</v>
      </c>
      <c r="R914" s="54" t="n">
        <f aca="true">RAND()</f>
        <v>0.7827525652849</v>
      </c>
      <c r="S914" s="54" t="n">
        <f aca="true">RAND()</f>
        <v>0.666713469600813</v>
      </c>
      <c r="T914" s="54" t="n">
        <f aca="true">RAND()</f>
        <v>0.768851795501226</v>
      </c>
      <c r="U914" s="54" t="n">
        <f aca="true">RAND()</f>
        <v>0.185728083960041</v>
      </c>
    </row>
    <row r="915" customFormat="false" ht="15" hidden="false" customHeight="false" outlineLevel="0" collapsed="false">
      <c r="A915" s="50" t="n">
        <v>835</v>
      </c>
      <c r="B915" s="51" t="n">
        <f aca="false">1+IF($G$6=$E$6,$F$6,IF(P915&lt;($F$6-$E$6)/($G$6-$E$6),$E$6+SQRT(P915*($G$6-$E$6)*($F$6-$E$6)),$G$6-SQRT((1-P915)*($G$6-$E$6)*($G$6-$F$6))))</f>
        <v>0.942797699258857</v>
      </c>
      <c r="C915" s="51" t="n">
        <f aca="false">1+IF($G$7=$E$7,$F$7,IF(Q915&lt;($F$7-$E$7)/($G$7-$E$7),$E$7+SQRT(Q915*($G$7-$E$7)*($F$7-$E$7)),$G$7-SQRT((1-Q915)*($G$7-$E$7)*($G$7-$F$7))))</f>
        <v>1.10718785186466</v>
      </c>
      <c r="D915" s="51" t="n">
        <f aca="false">1+IF($G$8=$E$8,$F$8,IF(R915&lt;($F$8-$E$8)/($G$8-$E$8),$E$8+SQRT(R915*($G$8-$E$8)*($F$8-$E$8)),$G$8-SQRT((1-R915)*($G$8-$E$8)*($G$8-$F$8))))</f>
        <v>1.02506844308965</v>
      </c>
      <c r="E915" s="51" t="n">
        <f aca="false">1+IF($G$9=$E$9,$F$9,IF(S915&lt;($F$9-$E$9)/($G$9-$E$9),$E$9+SQRT(S915*($G$9-$E$9)*($F$9-$E$9)),$G$9-SQRT((1-S915)*($G$9-$E$9)*($G$9-$F$9))))</f>
        <v>1.00858139142567</v>
      </c>
      <c r="F915" s="51" t="n">
        <f aca="false">1+IF($G$10=$E$10,$F$10,IF(T915&lt;($F$10-$E$10)/($G$10-$E$10),$E$10+SQRT(T915*($G$10-$E$10)*($F$10-$E$10)),$G$10-SQRT((1-T915)*($G$10-$E$10)*($G$10-$F$10))))</f>
        <v>1.03559099971674</v>
      </c>
      <c r="G915" s="52" t="n">
        <f aca="false">IF($G$11=$E$11,$F$11,IF(U915&lt;($F$11-$E$11)/($G$11-$E$11),$E$11+SQRT(U915*($G$11-$E$11)*($F$11-$E$11)),$G$11-SQRT((1-U915)*($G$11-$E$11)*($G$11-$F$11))))</f>
        <v>0.124864200307404</v>
      </c>
      <c r="H915" s="53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-2071181999.43348</v>
      </c>
      <c r="I915" s="53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-27101247.6422214</v>
      </c>
      <c r="J915" s="53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246890278.170499</v>
      </c>
      <c r="K915" s="53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572661353.969057</v>
      </c>
      <c r="L915" s="53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700067462.321656</v>
      </c>
      <c r="M915" s="53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898483260.937625</v>
      </c>
      <c r="N915" s="53" t="n">
        <f aca="false">IF(COUNT('Business Case'!B11:G11)=0,"",H915+NPV(G915,I915:M915))</f>
        <v>-561654768.766444</v>
      </c>
      <c r="P915" s="54" t="n">
        <f aca="true">RAND()</f>
        <v>0.12210953745677</v>
      </c>
      <c r="Q915" s="54" t="n">
        <f aca="true">RAND()</f>
        <v>0.972846221807972</v>
      </c>
      <c r="R915" s="54" t="n">
        <f aca="true">RAND()</f>
        <v>0.625684118599409</v>
      </c>
      <c r="S915" s="54" t="n">
        <f aca="true">RAND()</f>
        <v>0.466687390637378</v>
      </c>
      <c r="T915" s="54" t="n">
        <f aca="true">RAND()</f>
        <v>0.387050407967114</v>
      </c>
      <c r="U915" s="54" t="n">
        <f aca="true">RAND()</f>
        <v>0.982415707678354</v>
      </c>
    </row>
    <row r="916" customFormat="false" ht="15" hidden="false" customHeight="false" outlineLevel="0" collapsed="false">
      <c r="A916" s="50" t="n">
        <v>836</v>
      </c>
      <c r="B916" s="51" t="n">
        <f aca="false">1+IF($G$6=$E$6,$F$6,IF(P916&lt;($F$6-$E$6)/($G$6-$E$6),$E$6+SQRT(P916*($G$6-$E$6)*($F$6-$E$6)),$G$6-SQRT((1-P916)*($G$6-$E$6)*($G$6-$F$6))))</f>
        <v>0.999980052713144</v>
      </c>
      <c r="C916" s="51" t="n">
        <f aca="false">1+IF($G$7=$E$7,$F$7,IF(Q916&lt;($F$7-$E$7)/($G$7-$E$7),$E$7+SQRT(Q916*($G$7-$E$7)*($F$7-$E$7)),$G$7-SQRT((1-Q916)*($G$7-$E$7)*($G$7-$F$7))))</f>
        <v>0.861019084199259</v>
      </c>
      <c r="D916" s="51" t="n">
        <f aca="false">1+IF($G$8=$E$8,$F$8,IF(R916&lt;($F$8-$E$8)/($G$8-$E$8),$E$8+SQRT(R916*($G$8-$E$8)*($F$8-$E$8)),$G$8-SQRT((1-R916)*($G$8-$E$8)*($G$8-$F$8))))</f>
        <v>0.982271678187445</v>
      </c>
      <c r="E916" s="51" t="n">
        <f aca="false">1+IF($G$9=$E$9,$F$9,IF(S916&lt;($F$9-$E$9)/($G$9-$E$9),$E$9+SQRT(S916*($G$9-$E$9)*($F$9-$E$9)),$G$9-SQRT((1-S916)*($G$9-$E$9)*($G$9-$F$9))))</f>
        <v>1.03893997322347</v>
      </c>
      <c r="F916" s="51" t="n">
        <f aca="false">1+IF($G$10=$E$10,$F$10,IF(T916&lt;($F$10-$E$10)/($G$10-$E$10),$E$10+SQRT(T916*($G$10-$E$10)*($F$10-$E$10)),$G$10-SQRT((1-T916)*($G$10-$E$10)*($G$10-$F$10))))</f>
        <v>1.15388840774455</v>
      </c>
      <c r="G916" s="52" t="n">
        <f aca="false">IF($G$11=$E$11,$F$11,IF(U916&lt;($F$11-$E$11)/($G$11-$E$11),$E$11+SQRT(U916*($G$11-$E$11)*($F$11-$E$11)),$G$11-SQRT((1-U916)*($G$11-$E$11)*($G$11-$F$11))))</f>
        <v>0.105558469328945</v>
      </c>
      <c r="H916" s="53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-2307776815.4891</v>
      </c>
      <c r="I916" s="53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-35496614.1144734</v>
      </c>
      <c r="J916" s="53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236767215.711052</v>
      </c>
      <c r="K916" s="53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566725465.923806</v>
      </c>
      <c r="L916" s="53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687236301.847758</v>
      </c>
      <c r="M916" s="53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850895544.749368</v>
      </c>
      <c r="N916" s="53" t="n">
        <f aca="false">IF(COUNT('Business Case'!B11:G11)=0,"",H916+NPV(G916,I916:M916))</f>
        <v>-751559364.533264</v>
      </c>
      <c r="P916" s="54" t="n">
        <f aca="true">RAND()</f>
        <v>0.666400729368198</v>
      </c>
      <c r="Q916" s="54" t="n">
        <f aca="true">RAND()</f>
        <v>0.192052929454578</v>
      </c>
      <c r="R916" s="54" t="n">
        <f aca="true">RAND()</f>
        <v>0.138861495071206</v>
      </c>
      <c r="S916" s="54" t="n">
        <f aca="true">RAND()</f>
        <v>0.671084545397241</v>
      </c>
      <c r="T916" s="54" t="n">
        <f aca="true">RAND()</f>
        <v>0.876834157788297</v>
      </c>
      <c r="U916" s="54" t="n">
        <f aca="true">RAND()</f>
        <v>0.601741052303927</v>
      </c>
    </row>
    <row r="917" customFormat="false" ht="15" hidden="false" customHeight="false" outlineLevel="0" collapsed="false">
      <c r="A917" s="50" t="n">
        <v>837</v>
      </c>
      <c r="B917" s="51" t="n">
        <f aca="false">1+IF($G$6=$E$6,$F$6,IF(P917&lt;($F$6-$E$6)/($G$6-$E$6),$E$6+SQRT(P917*($G$6-$E$6)*($F$6-$E$6)),$G$6-SQRT((1-P917)*($G$6-$E$6)*($G$6-$F$6))))</f>
        <v>0.952573930808963</v>
      </c>
      <c r="C917" s="51" t="n">
        <f aca="false">1+IF($G$7=$E$7,$F$7,IF(Q917&lt;($F$7-$E$7)/($G$7-$E$7),$E$7+SQRT(Q917*($G$7-$E$7)*($F$7-$E$7)),$G$7-SQRT((1-Q917)*($G$7-$E$7)*($G$7-$F$7))))</f>
        <v>0.928368056061156</v>
      </c>
      <c r="D917" s="51" t="n">
        <f aca="false">1+IF($G$8=$E$8,$F$8,IF(R917&lt;($F$8-$E$8)/($G$8-$E$8),$E$8+SQRT(R917*($G$8-$E$8)*($F$8-$E$8)),$G$8-SQRT((1-R917)*($G$8-$E$8)*($G$8-$F$8))))</f>
        <v>1.00439080019002</v>
      </c>
      <c r="E917" s="51" t="n">
        <f aca="false">1+IF($G$9=$E$9,$F$9,IF(S917&lt;($F$9-$E$9)/($G$9-$E$9),$E$9+SQRT(S917*($G$9-$E$9)*($F$9-$E$9)),$G$9-SQRT((1-S917)*($G$9-$E$9)*($G$9-$F$9))))</f>
        <v>0.97340710139698</v>
      </c>
      <c r="F917" s="51" t="n">
        <f aca="false">1+IF($G$10=$E$10,$F$10,IF(T917&lt;($F$10-$E$10)/($G$10-$E$10),$E$10+SQRT(T917*($G$10-$E$10)*($F$10-$E$10)),$G$10-SQRT((1-T917)*($G$10-$E$10)*($G$10-$F$10))))</f>
        <v>1.17097111375033</v>
      </c>
      <c r="G917" s="52" t="n">
        <f aca="false">IF($G$11=$E$11,$F$11,IF(U917&lt;($F$11-$E$11)/($G$11-$E$11),$E$11+SQRT(U917*($G$11-$E$11)*($F$11-$E$11)),$G$11-SQRT((1-U917)*($G$11-$E$11)*($G$11-$F$11))))</f>
        <v>0.0963433857140746</v>
      </c>
      <c r="H917" s="53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-2341942227.50066</v>
      </c>
      <c r="I917" s="53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-54359165.4734616</v>
      </c>
      <c r="J917" s="53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192641414.810198</v>
      </c>
      <c r="K917" s="53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498190550.781375</v>
      </c>
      <c r="L917" s="53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611086840.584887</v>
      </c>
      <c r="M917" s="53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779182037.317493</v>
      </c>
      <c r="N917" s="53" t="n">
        <f aca="false">IF(COUNT('Business Case'!B11:G11)=0,"",H917+NPV(G917,I917:M917))</f>
        <v>-938287558.68237</v>
      </c>
      <c r="P917" s="54" t="n">
        <f aca="true">RAND()</f>
        <v>0.184267880047043</v>
      </c>
      <c r="Q917" s="54" t="n">
        <f aca="true">RAND()</f>
        <v>0.386310881697417</v>
      </c>
      <c r="R917" s="54" t="n">
        <f aca="true">RAND()</f>
        <v>0.390592060779653</v>
      </c>
      <c r="S917" s="54" t="n">
        <f aca="true">RAND()</f>
        <v>0.215544101420259</v>
      </c>
      <c r="T917" s="54" t="n">
        <f aca="true">RAND()</f>
        <v>0.916725801841826</v>
      </c>
      <c r="U917" s="54" t="n">
        <f aca="true">RAND()</f>
        <v>0.267106256599017</v>
      </c>
    </row>
    <row r="918" customFormat="false" ht="15" hidden="false" customHeight="false" outlineLevel="0" collapsed="false">
      <c r="A918" s="50" t="n">
        <v>838</v>
      </c>
      <c r="B918" s="51" t="n">
        <f aca="false">1+IF($G$6=$E$6,$F$6,IF(P918&lt;($F$6-$E$6)/($G$6-$E$6),$E$6+SQRT(P918*($G$6-$E$6)*($F$6-$E$6)),$G$6-SQRT((1-P918)*($G$6-$E$6)*($G$6-$F$6))))</f>
        <v>1.00691140532229</v>
      </c>
      <c r="C918" s="51" t="n">
        <f aca="false">1+IF($G$7=$E$7,$F$7,IF(Q918&lt;($F$7-$E$7)/($G$7-$E$7),$E$7+SQRT(Q918*($G$7-$E$7)*($F$7-$E$7)),$G$7-SQRT((1-Q918)*($G$7-$E$7)*($G$7-$F$7))))</f>
        <v>0.948298513257158</v>
      </c>
      <c r="D918" s="51" t="n">
        <f aca="false">1+IF($G$8=$E$8,$F$8,IF(R918&lt;($F$8-$E$8)/($G$8-$E$8),$E$8+SQRT(R918*($G$8-$E$8)*($F$8-$E$8)),$G$8-SQRT((1-R918)*($G$8-$E$8)*($G$8-$F$8))))</f>
        <v>1.02231993576607</v>
      </c>
      <c r="E918" s="51" t="n">
        <f aca="false">1+IF($G$9=$E$9,$F$9,IF(S918&lt;($F$9-$E$9)/($G$9-$E$9),$E$9+SQRT(S918*($G$9-$E$9)*($F$9-$E$9)),$G$9-SQRT((1-S918)*($G$9-$E$9)*($G$9-$F$9))))</f>
        <v>0.964676711731425</v>
      </c>
      <c r="F918" s="51" t="n">
        <f aca="false">1+IF($G$10=$E$10,$F$10,IF(T918&lt;($F$10-$E$10)/($G$10-$E$10),$E$10+SQRT(T918*($G$10-$E$10)*($F$10-$E$10)),$G$10-SQRT((1-T918)*($G$10-$E$10)*($G$10-$F$10))))</f>
        <v>1.04568316308693</v>
      </c>
      <c r="G918" s="52" t="n">
        <f aca="false">IF($G$11=$E$11,$F$11,IF(U918&lt;($F$11-$E$11)/($G$11-$E$11),$E$11+SQRT(U918*($G$11-$E$11)*($F$11-$E$11)),$G$11-SQRT((1-U918)*($G$11-$E$11)*($G$11-$F$11))))</f>
        <v>0.0839881805664834</v>
      </c>
      <c r="H918" s="53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-2091366326.17385</v>
      </c>
      <c r="I918" s="53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-5440137.54667199</v>
      </c>
      <c r="J918" s="53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280364627.819111</v>
      </c>
      <c r="K918" s="53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618453551.339241</v>
      </c>
      <c r="L918" s="53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746721511.924871</v>
      </c>
      <c r="M918" s="53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928219891.975236</v>
      </c>
      <c r="N918" s="53" t="n">
        <f aca="false">IF(COUNT('Business Case'!B11:G11)=0,"",H918+NPV(G918,I918:M918))</f>
        <v>-211209052.082396</v>
      </c>
      <c r="P918" s="54" t="n">
        <f aca="true">RAND()</f>
        <v>0.752449734493319</v>
      </c>
      <c r="Q918" s="54" t="n">
        <f aca="true">RAND()</f>
        <v>0.456682605079372</v>
      </c>
      <c r="R918" s="54" t="n">
        <f aca="true">RAND()</f>
        <v>0.597720508040854</v>
      </c>
      <c r="S918" s="54" t="n">
        <f aca="true">RAND()</f>
        <v>0.167323081615594</v>
      </c>
      <c r="T918" s="54" t="n">
        <f aca="true">RAND()</f>
        <v>0.443395068717823</v>
      </c>
      <c r="U918" s="54" t="n">
        <f aca="true">RAND()</f>
        <v>0.0159055842308762</v>
      </c>
    </row>
    <row r="919" customFormat="false" ht="15" hidden="false" customHeight="false" outlineLevel="0" collapsed="false">
      <c r="A919" s="50" t="n">
        <v>839</v>
      </c>
      <c r="B919" s="51" t="n">
        <f aca="false">1+IF($G$6=$E$6,$F$6,IF(P919&lt;($F$6-$E$6)/($G$6-$E$6),$E$6+SQRT(P919*($G$6-$E$6)*($F$6-$E$6)),$G$6-SQRT((1-P919)*($G$6-$E$6)*($G$6-$F$6))))</f>
        <v>0.969693277013043</v>
      </c>
      <c r="C919" s="51" t="n">
        <f aca="false">1+IF($G$7=$E$7,$F$7,IF(Q919&lt;($F$7-$E$7)/($G$7-$E$7),$E$7+SQRT(Q919*($G$7-$E$7)*($F$7-$E$7)),$G$7-SQRT((1-Q919)*($G$7-$E$7)*($G$7-$F$7))))</f>
        <v>0.988682029983981</v>
      </c>
      <c r="D919" s="51" t="n">
        <f aca="false">1+IF($G$8=$E$8,$F$8,IF(R919&lt;($F$8-$E$8)/($G$8-$E$8),$E$8+SQRT(R919*($G$8-$E$8)*($F$8-$E$8)),$G$8-SQRT((1-R919)*($G$8-$E$8)*($G$8-$F$8))))</f>
        <v>1.0514078822836</v>
      </c>
      <c r="E919" s="51" t="n">
        <f aca="false">1+IF($G$9=$E$9,$F$9,IF(S919&lt;($F$9-$E$9)/($G$9-$E$9),$E$9+SQRT(S919*($G$9-$E$9)*($F$9-$E$9)),$G$9-SQRT((1-S919)*($G$9-$E$9)*($G$9-$F$9))))</f>
        <v>0.984363837271262</v>
      </c>
      <c r="F919" s="51" t="n">
        <f aca="false">1+IF($G$10=$E$10,$F$10,IF(T919&lt;($F$10-$E$10)/($G$10-$E$10),$E$10+SQRT(T919*($G$10-$E$10)*($F$10-$E$10)),$G$10-SQRT((1-T919)*($G$10-$E$10)*($G$10-$F$10))))</f>
        <v>1.18092815141297</v>
      </c>
      <c r="G919" s="52" t="n">
        <f aca="false">IF($G$11=$E$11,$F$11,IF(U919&lt;($F$11-$E$11)/($G$11-$E$11),$E$11+SQRT(U919*($G$11-$E$11)*($F$11-$E$11)),$G$11-SQRT((1-U919)*($G$11-$E$11)*($G$11-$F$11))))</f>
        <v>0.110396037668268</v>
      </c>
      <c r="H919" s="53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-2361856302.82595</v>
      </c>
      <c r="I919" s="53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-54654956.5735111</v>
      </c>
      <c r="J919" s="53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198459397.237548</v>
      </c>
      <c r="K919" s="53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510620158.619256</v>
      </c>
      <c r="L919" s="53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628124914.945141</v>
      </c>
      <c r="M919" s="53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810358092.750572</v>
      </c>
      <c r="N919" s="53" t="n">
        <f aca="false">IF(COUNT('Business Case'!B11:G11)=0,"",H919+NPV(G919,I919:M919))</f>
        <v>-983930071.857224</v>
      </c>
      <c r="P919" s="54" t="n">
        <f aca="true">RAND()</f>
        <v>0.323810190721113</v>
      </c>
      <c r="Q919" s="54" t="n">
        <f aca="true">RAND()</f>
        <v>0.617313440264238</v>
      </c>
      <c r="R919" s="54" t="n">
        <f aca="true">RAND()</f>
        <v>0.842587073055678</v>
      </c>
      <c r="S919" s="54" t="n">
        <f aca="true">RAND()</f>
        <v>0.284690281565278</v>
      </c>
      <c r="T919" s="54" t="n">
        <f aca="true">RAND()</f>
        <v>0.93638772977028</v>
      </c>
      <c r="U919" s="54" t="n">
        <f aca="true">RAND()</f>
        <v>0.743789773930696</v>
      </c>
    </row>
    <row r="920" customFormat="false" ht="15" hidden="false" customHeight="false" outlineLevel="0" collapsed="false">
      <c r="A920" s="50" t="n">
        <v>840</v>
      </c>
      <c r="B920" s="51" t="n">
        <f aca="false">1+IF($G$6=$E$6,$F$6,IF(P920&lt;($F$6-$E$6)/($G$6-$E$6),$E$6+SQRT(P920*($G$6-$E$6)*($F$6-$E$6)),$G$6-SQRT((1-P920)*($G$6-$E$6)*($G$6-$F$6))))</f>
        <v>0.989128932124191</v>
      </c>
      <c r="C920" s="51" t="n">
        <f aca="false">1+IF($G$7=$E$7,$F$7,IF(Q920&lt;($F$7-$E$7)/($G$7-$E$7),$E$7+SQRT(Q920*($G$7-$E$7)*($F$7-$E$7)),$G$7-SQRT((1-Q920)*($G$7-$E$7)*($G$7-$F$7))))</f>
        <v>0.99699744327715</v>
      </c>
      <c r="D920" s="51" t="n">
        <f aca="false">1+IF($G$8=$E$8,$F$8,IF(R920&lt;($F$8-$E$8)/($G$8-$E$8),$E$8+SQRT(R920*($G$8-$E$8)*($F$8-$E$8)),$G$8-SQRT((1-R920)*($G$8-$E$8)*($G$8-$F$8))))</f>
        <v>0.997701893785747</v>
      </c>
      <c r="E920" s="51" t="n">
        <f aca="false">1+IF($G$9=$E$9,$F$9,IF(S920&lt;($F$9-$E$9)/($G$9-$E$9),$E$9+SQRT(S920*($G$9-$E$9)*($F$9-$E$9)),$G$9-SQRT((1-S920)*($G$9-$E$9)*($G$9-$F$9))))</f>
        <v>1.00774601045835</v>
      </c>
      <c r="F920" s="51" t="n">
        <f aca="false">1+IF($G$10=$E$10,$F$10,IF(T920&lt;($F$10-$E$10)/($G$10-$E$10),$E$10+SQRT(T920*($G$10-$E$10)*($F$10-$E$10)),$G$10-SQRT((1-T920)*($G$10-$E$10)*($G$10-$F$10))))</f>
        <v>1.0851938718289</v>
      </c>
      <c r="G920" s="52" t="n">
        <f aca="false">IF($G$11=$E$11,$F$11,IF(U920&lt;($F$11-$E$11)/($G$11-$E$11),$E$11+SQRT(U920*($G$11-$E$11)*($F$11-$E$11)),$G$11-SQRT((1-U920)*($G$11-$E$11)*($G$11-$F$11))))</f>
        <v>0.113744553175299</v>
      </c>
      <c r="H920" s="53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-2170387743.65781</v>
      </c>
      <c r="I920" s="53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-4418132.37670384</v>
      </c>
      <c r="J920" s="53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294107088.526798</v>
      </c>
      <c r="K920" s="53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646892003.021745</v>
      </c>
      <c r="L920" s="53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780482065.596339</v>
      </c>
      <c r="M920" s="53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967931171.433513</v>
      </c>
      <c r="N920" s="53" t="n">
        <f aca="false">IF(COUNT('Business Case'!B11:G11)=0,"",H920+NPV(G920,I920:M920))</f>
        <v>-396929530.257401</v>
      </c>
      <c r="P920" s="54" t="n">
        <f aca="true">RAND()</f>
        <v>0.529597769439909</v>
      </c>
      <c r="Q920" s="54" t="n">
        <f aca="true">RAND()</f>
        <v>0.653388750467879</v>
      </c>
      <c r="R920" s="54" t="n">
        <f aca="true">RAND()</f>
        <v>0.30339608943289</v>
      </c>
      <c r="S920" s="54" t="n">
        <f aca="true">RAND()</f>
        <v>0.460368065586241</v>
      </c>
      <c r="T920" s="54" t="n">
        <f aca="true">RAND()</f>
        <v>0.637852534896691</v>
      </c>
      <c r="U920" s="54" t="n">
        <f aca="true">RAND()</f>
        <v>0.823840299019545</v>
      </c>
    </row>
    <row r="921" customFormat="false" ht="15" hidden="false" customHeight="false" outlineLevel="0" collapsed="false">
      <c r="A921" s="50" t="n">
        <v>841</v>
      </c>
      <c r="B921" s="51" t="n">
        <f aca="false">1+IF($G$6=$E$6,$F$6,IF(P921&lt;($F$6-$E$6)/($G$6-$E$6),$E$6+SQRT(P921*($G$6-$E$6)*($F$6-$E$6)),$G$6-SQRT((1-P921)*($G$6-$E$6)*($G$6-$F$6))))</f>
        <v>0.960150403969701</v>
      </c>
      <c r="C921" s="51" t="n">
        <f aca="false">1+IF($G$7=$E$7,$F$7,IF(Q921&lt;($F$7-$E$7)/($G$7-$E$7),$E$7+SQRT(Q921*($G$7-$E$7)*($F$7-$E$7)),$G$7-SQRT((1-Q921)*($G$7-$E$7)*($G$7-$F$7))))</f>
        <v>0.717769980463183</v>
      </c>
      <c r="D921" s="51" t="n">
        <f aca="false">1+IF($G$8=$E$8,$F$8,IF(R921&lt;($F$8-$E$8)/($G$8-$E$8),$E$8+SQRT(R921*($G$8-$E$8)*($F$8-$E$8)),$G$8-SQRT((1-R921)*($G$8-$E$8)*($G$8-$F$8))))</f>
        <v>0.960879393467888</v>
      </c>
      <c r="E921" s="51" t="n">
        <f aca="false">1+IF($G$9=$E$9,$F$9,IF(S921&lt;($F$9-$E$9)/($G$9-$E$9),$E$9+SQRT(S921*($G$9-$E$9)*($F$9-$E$9)),$G$9-SQRT((1-S921)*($G$9-$E$9)*($G$9-$F$9))))</f>
        <v>0.971752092537492</v>
      </c>
      <c r="F921" s="51" t="n">
        <f aca="false">1+IF($G$10=$E$10,$F$10,IF(T921&lt;($F$10-$E$10)/($G$10-$E$10),$E$10+SQRT(T921*($G$10-$E$10)*($F$10-$E$10)),$G$10-SQRT((1-T921)*($G$10-$E$10)*($G$10-$F$10))))</f>
        <v>1.04033239952835</v>
      </c>
      <c r="G921" s="52" t="n">
        <f aca="false">IF($G$11=$E$11,$F$11,IF(U921&lt;($F$11-$E$11)/($G$11-$E$11),$E$11+SQRT(U921*($G$11-$E$11)*($F$11-$E$11)),$G$11-SQRT((1-U921)*($G$11-$E$11)*($G$11-$F$11))))</f>
        <v>0.0966691284949088</v>
      </c>
      <c r="H921" s="53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-2080664799.0567</v>
      </c>
      <c r="I921" s="53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-66531607.997287</v>
      </c>
      <c r="J921" s="53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144879595.883571</v>
      </c>
      <c r="K921" s="53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408307419.740847</v>
      </c>
      <c r="L921" s="53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502595437.278785</v>
      </c>
      <c r="M921" s="53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633592326.622541</v>
      </c>
      <c r="N921" s="53" t="n">
        <f aca="false">IF(COUNT('Business Case'!B11:G11)=0,"",H921+NPV(G921,I921:M921))</f>
        <v>-964406182.274456</v>
      </c>
      <c r="P921" s="54" t="n">
        <f aca="true">RAND()</f>
        <v>0.241204739847878</v>
      </c>
      <c r="Q921" s="54" t="n">
        <f aca="true">RAND()</f>
        <v>0.00233905337527337</v>
      </c>
      <c r="R921" s="54" t="n">
        <f aca="true">RAND()</f>
        <v>0.0157814936305508</v>
      </c>
      <c r="S921" s="54" t="n">
        <f aca="true">RAND()</f>
        <v>0.205934511340353</v>
      </c>
      <c r="T921" s="54" t="n">
        <f aca="true">RAND()</f>
        <v>0.41385996416614</v>
      </c>
      <c r="U921" s="54" t="n">
        <f aca="true">RAND()</f>
        <v>0.27785984477978</v>
      </c>
    </row>
    <row r="922" customFormat="false" ht="15" hidden="false" customHeight="false" outlineLevel="0" collapsed="false">
      <c r="A922" s="50" t="n">
        <v>842</v>
      </c>
      <c r="B922" s="51" t="n">
        <f aca="false">1+IF($G$6=$E$6,$F$6,IF(P922&lt;($F$6-$E$6)/($G$6-$E$6),$E$6+SQRT(P922*($G$6-$E$6)*($F$6-$E$6)),$G$6-SQRT((1-P922)*($G$6-$E$6)*($G$6-$F$6))))</f>
        <v>0.978670746674203</v>
      </c>
      <c r="C922" s="51" t="n">
        <f aca="false">1+IF($G$7=$E$7,$F$7,IF(Q922&lt;($F$7-$E$7)/($G$7-$E$7),$E$7+SQRT(Q922*($G$7-$E$7)*($F$7-$E$7)),$G$7-SQRT((1-Q922)*($G$7-$E$7)*($G$7-$F$7))))</f>
        <v>1.01750885151663</v>
      </c>
      <c r="D922" s="51" t="n">
        <f aca="false">1+IF($G$8=$E$8,$F$8,IF(R922&lt;($F$8-$E$8)/($G$8-$E$8),$E$8+SQRT(R922*($G$8-$E$8)*($F$8-$E$8)),$G$8-SQRT((1-R922)*($G$8-$E$8)*($G$8-$F$8))))</f>
        <v>1.06830280011913</v>
      </c>
      <c r="E922" s="51" t="n">
        <f aca="false">1+IF($G$9=$E$9,$F$9,IF(S922&lt;($F$9-$E$9)/($G$9-$E$9),$E$9+SQRT(S922*($G$9-$E$9)*($F$9-$E$9)),$G$9-SQRT((1-S922)*($G$9-$E$9)*($G$9-$F$9))))</f>
        <v>0.959355383706757</v>
      </c>
      <c r="F922" s="51" t="n">
        <f aca="false">1+IF($G$10=$E$10,$F$10,IF(T922&lt;($F$10-$E$10)/($G$10-$E$10),$E$10+SQRT(T922*($G$10-$E$10)*($F$10-$E$10)),$G$10-SQRT((1-T922)*($G$10-$E$10)*($G$10-$F$10))))</f>
        <v>1.01237596887969</v>
      </c>
      <c r="G922" s="52" t="n">
        <f aca="false">IF($G$11=$E$11,$F$11,IF(U922&lt;($F$11-$E$11)/($G$11-$E$11),$E$11+SQRT(U922*($G$11-$E$11)*($F$11-$E$11)),$G$11-SQRT((1-U922)*($G$11-$E$11)*($G$11-$F$11))))</f>
        <v>0.0973020760246681</v>
      </c>
      <c r="H922" s="53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-2024751937.75938</v>
      </c>
      <c r="I922" s="53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-30104497.990818</v>
      </c>
      <c r="J922" s="53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229071527.153833</v>
      </c>
      <c r="K922" s="53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538866350.742467</v>
      </c>
      <c r="L922" s="53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659673419.580283</v>
      </c>
      <c r="M922" s="53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848956252.089744</v>
      </c>
      <c r="N922" s="53" t="n">
        <f aca="false">IF(COUNT('Business Case'!B11:G11)=0,"",H922+NPV(G922,I922:M922))</f>
        <v>-465427003.653634</v>
      </c>
      <c r="P922" s="54" t="n">
        <f aca="true">RAND()</f>
        <v>0.412605758818438</v>
      </c>
      <c r="Q922" s="54" t="n">
        <f aca="true">RAND()</f>
        <v>0.739942156645303</v>
      </c>
      <c r="R922" s="54" t="n">
        <f aca="true">RAND()</f>
        <v>0.933019167980822</v>
      </c>
      <c r="S922" s="54" t="n">
        <f aca="true">RAND()</f>
        <v>0.140922462999055</v>
      </c>
      <c r="T922" s="54" t="n">
        <f aca="true">RAND()</f>
        <v>0.247130931121784</v>
      </c>
      <c r="U922" s="54" t="n">
        <f aca="true">RAND()</f>
        <v>0.299361834763393</v>
      </c>
    </row>
    <row r="923" customFormat="false" ht="15" hidden="false" customHeight="false" outlineLevel="0" collapsed="false">
      <c r="A923" s="50" t="n">
        <v>843</v>
      </c>
      <c r="B923" s="51" t="n">
        <f aca="false">1+IF($G$6=$E$6,$F$6,IF(P923&lt;($F$6-$E$6)/($G$6-$E$6),$E$6+SQRT(P923*($G$6-$E$6)*($F$6-$E$6)),$G$6-SQRT((1-P923)*($G$6-$E$6)*($G$6-$F$6))))</f>
        <v>1.01187543205068</v>
      </c>
      <c r="C923" s="51" t="n">
        <f aca="false">1+IF($G$7=$E$7,$F$7,IF(Q923&lt;($F$7-$E$7)/($G$7-$E$7),$E$7+SQRT(Q923*($G$7-$E$7)*($F$7-$E$7)),$G$7-SQRT((1-Q923)*($G$7-$E$7)*($G$7-$F$7))))</f>
        <v>1.05191634666242</v>
      </c>
      <c r="D923" s="51" t="n">
        <f aca="false">1+IF($G$8=$E$8,$F$8,IF(R923&lt;($F$8-$E$8)/($G$8-$E$8),$E$8+SQRT(R923*($G$8-$E$8)*($F$8-$E$8)),$G$8-SQRT((1-R923)*($G$8-$E$8)*($G$8-$F$8))))</f>
        <v>0.992114582401512</v>
      </c>
      <c r="E923" s="51" t="n">
        <f aca="false">1+IF($G$9=$E$9,$F$9,IF(S923&lt;($F$9-$E$9)/($G$9-$E$9),$E$9+SQRT(S923*($G$9-$E$9)*($F$9-$E$9)),$G$9-SQRT((1-S923)*($G$9-$E$9)*($G$9-$F$9))))</f>
        <v>1.01551919721175</v>
      </c>
      <c r="F923" s="51" t="n">
        <f aca="false">1+IF($G$10=$E$10,$F$10,IF(T923&lt;($F$10-$E$10)/($G$10-$E$10),$E$10+SQRT(T923*($G$10-$E$10)*($F$10-$E$10)),$G$10-SQRT((1-T923)*($G$10-$E$10)*($G$10-$F$10))))</f>
        <v>1.16072030948926</v>
      </c>
      <c r="G923" s="52" t="n">
        <f aca="false">IF($G$11=$E$11,$F$11,IF(U923&lt;($F$11-$E$11)/($G$11-$E$11),$E$11+SQRT(U923*($G$11-$E$11)*($F$11-$E$11)),$G$11-SQRT((1-U923)*($G$11-$E$11)*($G$11-$F$11))))</f>
        <v>0.109987555178766</v>
      </c>
      <c r="H923" s="53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-2321440618.97852</v>
      </c>
      <c r="I923" s="53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21918511.6517631</v>
      </c>
      <c r="J923" s="53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359494810.770253</v>
      </c>
      <c r="K923" s="53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755107125.363205</v>
      </c>
      <c r="L923" s="53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904418509.518894</v>
      </c>
      <c r="M923" s="53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1106741240.65795</v>
      </c>
      <c r="N923" s="53" t="n">
        <f aca="false">IF(COUNT('Business Case'!B11:G11)=0,"",H923+NPV(G923,I923:M923))</f>
        <v>-205137918.576641</v>
      </c>
      <c r="P923" s="54" t="n">
        <f aca="true">RAND()</f>
        <v>0.806202309157021</v>
      </c>
      <c r="Q923" s="54" t="n">
        <f aca="true">RAND()</f>
        <v>0.85747551034005</v>
      </c>
      <c r="R923" s="54" t="n">
        <f aca="true">RAND()</f>
        <v>0.236485073447168</v>
      </c>
      <c r="S923" s="54" t="n">
        <f aca="true">RAND()</f>
        <v>0.517731031504763</v>
      </c>
      <c r="T923" s="54" t="n">
        <f aca="true">RAND()</f>
        <v>0.893721824830751</v>
      </c>
      <c r="U923" s="54" t="n">
        <f aca="true">RAND()</f>
        <v>0.733001368184702</v>
      </c>
    </row>
    <row r="924" customFormat="false" ht="15" hidden="false" customHeight="false" outlineLevel="0" collapsed="false">
      <c r="A924" s="50" t="n">
        <v>844</v>
      </c>
      <c r="B924" s="51" t="n">
        <f aca="false">1+IF($G$6=$E$6,$F$6,IF(P924&lt;($F$6-$E$6)/($G$6-$E$6),$E$6+SQRT(P924*($G$6-$E$6)*($F$6-$E$6)),$G$6-SQRT((1-P924)*($G$6-$E$6)*($G$6-$F$6))))</f>
        <v>0.965622935614679</v>
      </c>
      <c r="C924" s="51" t="n">
        <f aca="false">1+IF($G$7=$E$7,$F$7,IF(Q924&lt;($F$7-$E$7)/($G$7-$E$7),$E$7+SQRT(Q924*($G$7-$E$7)*($F$7-$E$7)),$G$7-SQRT((1-Q924)*($G$7-$E$7)*($G$7-$F$7))))</f>
        <v>1.02702595286738</v>
      </c>
      <c r="D924" s="51" t="n">
        <f aca="false">1+IF($G$8=$E$8,$F$8,IF(R924&lt;($F$8-$E$8)/($G$8-$E$8),$E$8+SQRT(R924*($G$8-$E$8)*($F$8-$E$8)),$G$8-SQRT((1-R924)*($G$8-$E$8)*($G$8-$F$8))))</f>
        <v>1.06212435415209</v>
      </c>
      <c r="E924" s="51" t="n">
        <f aca="false">1+IF($G$9=$E$9,$F$9,IF(S924&lt;($F$9-$E$9)/($G$9-$E$9),$E$9+SQRT(S924*($G$9-$E$9)*($F$9-$E$9)),$G$9-SQRT((1-S924)*($G$9-$E$9)*($G$9-$F$9))))</f>
        <v>0.949028109312697</v>
      </c>
      <c r="F924" s="51" t="n">
        <f aca="false">1+IF($G$10=$E$10,$F$10,IF(T924&lt;($F$10-$E$10)/($G$10-$E$10),$E$10+SQRT(T924*($G$10-$E$10)*($F$10-$E$10)),$G$10-SQRT((1-T924)*($G$10-$E$10)*($G$10-$F$10))))</f>
        <v>0.98967609359342</v>
      </c>
      <c r="G924" s="52" t="n">
        <f aca="false">IF($G$11=$E$11,$F$11,IF(U924&lt;($F$11-$E$11)/($G$11-$E$11),$E$11+SQRT(U924*($G$11-$E$11)*($F$11-$E$11)),$G$11-SQRT((1-U924)*($G$11-$E$11)*($G$11-$F$11))))</f>
        <v>0.11643072797742</v>
      </c>
      <c r="H924" s="53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-1979352187.18684</v>
      </c>
      <c r="I924" s="53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-31457552.395517</v>
      </c>
      <c r="J924" s="53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222415056.951218</v>
      </c>
      <c r="K924" s="53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525771470.977623</v>
      </c>
      <c r="L924" s="53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644669510.918963</v>
      </c>
      <c r="M924" s="53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833175613.460657</v>
      </c>
      <c r="N924" s="53" t="n">
        <f aca="false">IF(COUNT('Business Case'!B11:G11)=0,"",H924+NPV(G924,I924:M924))</f>
        <v>-555915516.86229</v>
      </c>
      <c r="P924" s="54" t="n">
        <f aca="true">RAND()</f>
        <v>0.287091311912551</v>
      </c>
      <c r="Q924" s="54" t="n">
        <f aca="true">RAND()</f>
        <v>0.775961240471455</v>
      </c>
      <c r="R924" s="54" t="n">
        <f aca="true">RAND()</f>
        <v>0.904362363440244</v>
      </c>
      <c r="S924" s="54" t="n">
        <f aca="true">RAND()</f>
        <v>0.0961502201111122</v>
      </c>
      <c r="T924" s="54" t="n">
        <f aca="true">RAND()</f>
        <v>0.104946160188922</v>
      </c>
      <c r="U924" s="54" t="n">
        <f aca="true">RAND()</f>
        <v>0.877249904518152</v>
      </c>
    </row>
    <row r="925" customFormat="false" ht="15" hidden="false" customHeight="false" outlineLevel="0" collapsed="false">
      <c r="A925" s="50" t="n">
        <v>845</v>
      </c>
      <c r="B925" s="51" t="n">
        <f aca="false">1+IF($G$6=$E$6,$F$6,IF(P925&lt;($F$6-$E$6)/($G$6-$E$6),$E$6+SQRT(P925*($G$6-$E$6)*($F$6-$E$6)),$G$6-SQRT((1-P925)*($G$6-$E$6)*($G$6-$F$6))))</f>
        <v>1.02025634372653</v>
      </c>
      <c r="C925" s="51" t="n">
        <f aca="false">1+IF($G$7=$E$7,$F$7,IF(Q925&lt;($F$7-$E$7)/($G$7-$E$7),$E$7+SQRT(Q925*($G$7-$E$7)*($F$7-$E$7)),$G$7-SQRT((1-Q925)*($G$7-$E$7)*($G$7-$F$7))))</f>
        <v>1.07181722135996</v>
      </c>
      <c r="D925" s="51" t="n">
        <f aca="false">1+IF($G$8=$E$8,$F$8,IF(R925&lt;($F$8-$E$8)/($G$8-$E$8),$E$8+SQRT(R925*($G$8-$E$8)*($F$8-$E$8)),$G$8-SQRT((1-R925)*($G$8-$E$8)*($G$8-$F$8))))</f>
        <v>0.962224349075988</v>
      </c>
      <c r="E925" s="51" t="n">
        <f aca="false">1+IF($G$9=$E$9,$F$9,IF(S925&lt;($F$9-$E$9)/($G$9-$E$9),$E$9+SQRT(S925*($G$9-$E$9)*($F$9-$E$9)),$G$9-SQRT((1-S925)*($G$9-$E$9)*($G$9-$F$9))))</f>
        <v>1.02525969990782</v>
      </c>
      <c r="F925" s="51" t="n">
        <f aca="false">1+IF($G$10=$E$10,$F$10,IF(T925&lt;($F$10-$E$10)/($G$10-$E$10),$E$10+SQRT(T925*($G$10-$E$10)*($F$10-$E$10)),$G$10-SQRT((1-T925)*($G$10-$E$10)*($G$10-$F$10))))</f>
        <v>1.14224226838889</v>
      </c>
      <c r="G925" s="52" t="n">
        <f aca="false">IF($G$11=$E$11,$F$11,IF(U925&lt;($F$11-$E$11)/($G$11-$E$11),$E$11+SQRT(U925*($G$11-$E$11)*($F$11-$E$11)),$G$11-SQRT((1-U925)*($G$11-$E$11)*($G$11-$F$11))))</f>
        <v>0.0910317335652725</v>
      </c>
      <c r="H925" s="53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-2284484536.77778</v>
      </c>
      <c r="I925" s="53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51016012.06681</v>
      </c>
      <c r="J925" s="53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418736688.377503</v>
      </c>
      <c r="K925" s="53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843569478.107641</v>
      </c>
      <c r="L925" s="53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1003935375.59661</v>
      </c>
      <c r="M925" s="53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1211793238.54965</v>
      </c>
      <c r="N925" s="53" t="n">
        <f aca="false">IF(COUNT('Business Case'!B11:G11)=0,"",H925+NPV(G925,I925:M925))</f>
        <v>255987441.791758</v>
      </c>
      <c r="P925" s="54" t="n">
        <f aca="true">RAND()</f>
        <v>0.882041988198091</v>
      </c>
      <c r="Q925" s="54" t="n">
        <f aca="true">RAND()</f>
        <v>0.909443749987002</v>
      </c>
      <c r="R925" s="54" t="n">
        <f aca="true">RAND()</f>
        <v>0.0199246280442148</v>
      </c>
      <c r="S925" s="54" t="n">
        <f aca="true">RAND()</f>
        <v>0.585062867544318</v>
      </c>
      <c r="T925" s="54" t="n">
        <f aca="true">RAND()</f>
        <v>0.845176950373711</v>
      </c>
      <c r="U925" s="54" t="n">
        <f aca="true">RAND()</f>
        <v>0.121699145455159</v>
      </c>
    </row>
    <row r="926" customFormat="false" ht="15" hidden="false" customHeight="false" outlineLevel="0" collapsed="false">
      <c r="A926" s="50" t="n">
        <v>846</v>
      </c>
      <c r="B926" s="51" t="n">
        <f aca="false">1+IF($G$6=$E$6,$F$6,IF(P926&lt;($F$6-$E$6)/($G$6-$E$6),$E$6+SQRT(P926*($G$6-$E$6)*($F$6-$E$6)),$G$6-SQRT((1-P926)*($G$6-$E$6)*($G$6-$F$6))))</f>
        <v>0.96294726848398</v>
      </c>
      <c r="C926" s="51" t="n">
        <f aca="false">1+IF($G$7=$E$7,$F$7,IF(Q926&lt;($F$7-$E$7)/($G$7-$E$7),$E$7+SQRT(Q926*($G$7-$E$7)*($F$7-$E$7)),$G$7-SQRT((1-Q926)*($G$7-$E$7)*($G$7-$F$7))))</f>
        <v>0.918281126038838</v>
      </c>
      <c r="D926" s="51" t="n">
        <f aca="false">1+IF($G$8=$E$8,$F$8,IF(R926&lt;($F$8-$E$8)/($G$8-$E$8),$E$8+SQRT(R926*($G$8-$E$8)*($F$8-$E$8)),$G$8-SQRT((1-R926)*($G$8-$E$8)*($G$8-$F$8))))</f>
        <v>1.02311534710204</v>
      </c>
      <c r="E926" s="51" t="n">
        <f aca="false">1+IF($G$9=$E$9,$F$9,IF(S926&lt;($F$9-$E$9)/($G$9-$E$9),$E$9+SQRT(S926*($G$9-$E$9)*($F$9-$E$9)),$G$9-SQRT((1-S926)*($G$9-$E$9)*($G$9-$F$9))))</f>
        <v>1.00058755235423</v>
      </c>
      <c r="F926" s="51" t="n">
        <f aca="false">1+IF($G$10=$E$10,$F$10,IF(T926&lt;($F$10-$E$10)/($G$10-$E$10),$E$10+SQRT(T926*($G$10-$E$10)*($F$10-$E$10)),$G$10-SQRT((1-T926)*($G$10-$E$10)*($G$10-$F$10))))</f>
        <v>1.00102566057383</v>
      </c>
      <c r="G926" s="52" t="n">
        <f aca="false">IF($G$11=$E$11,$F$11,IF(U926&lt;($F$11-$E$11)/($G$11-$E$11),$E$11+SQRT(U926*($G$11-$E$11)*($F$11-$E$11)),$G$11-SQRT((1-U926)*($G$11-$E$11)*($G$11-$F$11))))</f>
        <v>0.104827773041725</v>
      </c>
      <c r="H926" s="53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-2002051321.14767</v>
      </c>
      <c r="I926" s="53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-44909070.9483875</v>
      </c>
      <c r="J926" s="53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198407820.80207</v>
      </c>
      <c r="K926" s="53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491775995.581219</v>
      </c>
      <c r="L926" s="53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603441523.962499</v>
      </c>
      <c r="M926" s="53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771520961.850364</v>
      </c>
      <c r="N926" s="53" t="n">
        <f aca="false">IF(COUNT('Business Case'!B11:G11)=0,"",H926+NPV(G926,I926:M926))</f>
        <v>-641819685.570909</v>
      </c>
      <c r="P926" s="54" t="n">
        <f aca="true">RAND()</f>
        <v>0.264157240639619</v>
      </c>
      <c r="Q926" s="54" t="n">
        <f aca="true">RAND()</f>
        <v>0.352938148035429</v>
      </c>
      <c r="R926" s="54" t="n">
        <f aca="true">RAND()</f>
        <v>0.605916676584015</v>
      </c>
      <c r="S926" s="54" t="n">
        <f aca="true">RAND()</f>
        <v>0.404691213026648</v>
      </c>
      <c r="T926" s="54" t="n">
        <f aca="true">RAND()</f>
        <v>0.17349037743072</v>
      </c>
      <c r="U926" s="54" t="n">
        <f aca="true">RAND()</f>
        <v>0.577572659974063</v>
      </c>
    </row>
    <row r="927" customFormat="false" ht="15" hidden="false" customHeight="false" outlineLevel="0" collapsed="false">
      <c r="A927" s="50" t="n">
        <v>847</v>
      </c>
      <c r="B927" s="51" t="n">
        <f aca="false">1+IF($G$6=$E$6,$F$6,IF(P927&lt;($F$6-$E$6)/($G$6-$E$6),$E$6+SQRT(P927*($G$6-$E$6)*($F$6-$E$6)),$G$6-SQRT((1-P927)*($G$6-$E$6)*($G$6-$F$6))))</f>
        <v>0.996833853653282</v>
      </c>
      <c r="C927" s="51" t="n">
        <f aca="false">1+IF($G$7=$E$7,$F$7,IF(Q927&lt;($F$7-$E$7)/($G$7-$E$7),$E$7+SQRT(Q927*($G$7-$E$7)*($F$7-$E$7)),$G$7-SQRT((1-Q927)*($G$7-$E$7)*($G$7-$F$7))))</f>
        <v>0.993051866465978</v>
      </c>
      <c r="D927" s="51" t="n">
        <f aca="false">1+IF($G$8=$E$8,$F$8,IF(R927&lt;($F$8-$E$8)/($G$8-$E$8),$E$8+SQRT(R927*($G$8-$E$8)*($F$8-$E$8)),$G$8-SQRT((1-R927)*($G$8-$E$8)*($G$8-$F$8))))</f>
        <v>1.0540519626141</v>
      </c>
      <c r="E927" s="51" t="n">
        <f aca="false">1+IF($G$9=$E$9,$F$9,IF(S927&lt;($F$9-$E$9)/($G$9-$E$9),$E$9+SQRT(S927*($G$9-$E$9)*($F$9-$E$9)),$G$9-SQRT((1-S927)*($G$9-$E$9)*($G$9-$F$9))))</f>
        <v>1.07106914679373</v>
      </c>
      <c r="F927" s="51" t="n">
        <f aca="false">1+IF($G$10=$E$10,$F$10,IF(T927&lt;($F$10-$E$10)/($G$10-$E$10),$E$10+SQRT(T927*($G$10-$E$10)*($F$10-$E$10)),$G$10-SQRT((1-T927)*($G$10-$E$10)*($G$10-$F$10))))</f>
        <v>1.04710766704578</v>
      </c>
      <c r="G927" s="52" t="n">
        <f aca="false">IF($G$11=$E$11,$F$11,IF(U927&lt;($F$11-$E$11)/($G$11-$E$11),$E$11+SQRT(U927*($G$11-$E$11)*($F$11-$E$11)),$G$11-SQRT((1-U927)*($G$11-$E$11)*($G$11-$F$11))))</f>
        <v>0.100195806909575</v>
      </c>
      <c r="H927" s="53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-2094215334.09155</v>
      </c>
      <c r="I927" s="53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-33369055.748385</v>
      </c>
      <c r="J927" s="53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241595504.031045</v>
      </c>
      <c r="K927" s="53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568915447.162764</v>
      </c>
      <c r="L927" s="53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694781511.188686</v>
      </c>
      <c r="M927" s="53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882943170.402305</v>
      </c>
      <c r="N927" s="53" t="n">
        <f aca="false">IF(COUNT('Business Case'!B11:G11)=0,"",H927+NPV(G927,I927:M927))</f>
        <v>-475786444.348593</v>
      </c>
      <c r="P927" s="54" t="n">
        <f aca="true">RAND()</f>
        <v>0.625119680889678</v>
      </c>
      <c r="Q927" s="54" t="n">
        <f aca="true">RAND()</f>
        <v>0.636143677327356</v>
      </c>
      <c r="R927" s="54" t="n">
        <f aca="true">RAND()</f>
        <v>0.859251857358915</v>
      </c>
      <c r="S927" s="54" t="n">
        <f aca="true">RAND()</f>
        <v>0.833864544323488</v>
      </c>
      <c r="T927" s="54" t="n">
        <f aca="true">RAND()</f>
        <v>0.451129349711893</v>
      </c>
      <c r="U927" s="54" t="n">
        <f aca="true">RAND()</f>
        <v>0.407806716152458</v>
      </c>
    </row>
    <row r="928" customFormat="false" ht="15" hidden="false" customHeight="false" outlineLevel="0" collapsed="false">
      <c r="A928" s="50" t="n">
        <v>848</v>
      </c>
      <c r="B928" s="51" t="n">
        <f aca="false">1+IF($G$6=$E$6,$F$6,IF(P928&lt;($F$6-$E$6)/($G$6-$E$6),$E$6+SQRT(P928*($G$6-$E$6)*($F$6-$E$6)),$G$6-SQRT((1-P928)*($G$6-$E$6)*($G$6-$F$6))))</f>
        <v>0.998502813282704</v>
      </c>
      <c r="C928" s="51" t="n">
        <f aca="false">1+IF($G$7=$E$7,$F$7,IF(Q928&lt;($F$7-$E$7)/($G$7-$E$7),$E$7+SQRT(Q928*($G$7-$E$7)*($F$7-$E$7)),$G$7-SQRT((1-Q928)*($G$7-$E$7)*($G$7-$F$7))))</f>
        <v>0.854310373974226</v>
      </c>
      <c r="D928" s="51" t="n">
        <f aca="false">1+IF($G$8=$E$8,$F$8,IF(R928&lt;($F$8-$E$8)/($G$8-$E$8),$E$8+SQRT(R928*($G$8-$E$8)*($F$8-$E$8)),$G$8-SQRT((1-R928)*($G$8-$E$8)*($G$8-$F$8))))</f>
        <v>1.0344704095013</v>
      </c>
      <c r="E928" s="51" t="n">
        <f aca="false">1+IF($G$9=$E$9,$F$9,IF(S928&lt;($F$9-$E$9)/($G$9-$E$9),$E$9+SQRT(S928*($G$9-$E$9)*($F$9-$E$9)),$G$9-SQRT((1-S928)*($G$9-$E$9)*($G$9-$F$9))))</f>
        <v>1.00480133270952</v>
      </c>
      <c r="F928" s="51" t="n">
        <f aca="false">1+IF($G$10=$E$10,$F$10,IF(T928&lt;($F$10-$E$10)/($G$10-$E$10),$E$10+SQRT(T928*($G$10-$E$10)*($F$10-$E$10)),$G$10-SQRT((1-T928)*($G$10-$E$10)*($G$10-$F$10))))</f>
        <v>1.10524099545656</v>
      </c>
      <c r="G928" s="52" t="n">
        <f aca="false">IF($G$11=$E$11,$F$11,IF(U928&lt;($F$11-$E$11)/($G$11-$E$11),$E$11+SQRT(U928*($G$11-$E$11)*($F$11-$E$11)),$G$11-SQRT((1-U928)*($G$11-$E$11)*($G$11-$F$11))))</f>
        <v>0.119915925668191</v>
      </c>
      <c r="H928" s="53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-2210481990.91312</v>
      </c>
      <c r="I928" s="53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-51347735.7469453</v>
      </c>
      <c r="J928" s="53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194932520.76832</v>
      </c>
      <c r="K928" s="53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496474827.056412</v>
      </c>
      <c r="L928" s="53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608049008.031674</v>
      </c>
      <c r="M928" s="53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770193199.784294</v>
      </c>
      <c r="N928" s="53" t="n">
        <f aca="false">IF(COUNT('Business Case'!B11:G11)=0,"",H928+NPV(G928,I928:M928))</f>
        <v>-923714149.051118</v>
      </c>
      <c r="P928" s="54" t="n">
        <f aca="true">RAND()</f>
        <v>0.646853614973813</v>
      </c>
      <c r="Q928" s="54" t="n">
        <f aca="true">RAND()</f>
        <v>0.176382900119002</v>
      </c>
      <c r="R928" s="54" t="n">
        <f aca="true">RAND()</f>
        <v>0.71372485127148</v>
      </c>
      <c r="S928" s="54" t="n">
        <f aca="true">RAND()</f>
        <v>0.43779592045518</v>
      </c>
      <c r="T928" s="54" t="n">
        <f aca="true">RAND()</f>
        <v>0.720597741381229</v>
      </c>
      <c r="U928" s="54" t="n">
        <f aca="true">RAND()</f>
        <v>0.932207629913704</v>
      </c>
    </row>
    <row r="929" customFormat="false" ht="15" hidden="false" customHeight="false" outlineLevel="0" collapsed="false">
      <c r="A929" s="50" t="n">
        <v>849</v>
      </c>
      <c r="B929" s="51" t="n">
        <f aca="false">1+IF($G$6=$E$6,$F$6,IF(P929&lt;($F$6-$E$6)/($G$6-$E$6),$E$6+SQRT(P929*($G$6-$E$6)*($F$6-$E$6)),$G$6-SQRT((1-P929)*($G$6-$E$6)*($G$6-$F$6))))</f>
        <v>1.00921765781033</v>
      </c>
      <c r="C929" s="51" t="n">
        <f aca="false">1+IF($G$7=$E$7,$F$7,IF(Q929&lt;($F$7-$E$7)/($G$7-$E$7),$E$7+SQRT(Q929*($G$7-$E$7)*($F$7-$E$7)),$G$7-SQRT((1-Q929)*($G$7-$E$7)*($G$7-$F$7))))</f>
        <v>0.858443445291424</v>
      </c>
      <c r="D929" s="51" t="n">
        <f aca="false">1+IF($G$8=$E$8,$F$8,IF(R929&lt;($F$8-$E$8)/($G$8-$E$8),$E$8+SQRT(R929*($G$8-$E$8)*($F$8-$E$8)),$G$8-SQRT((1-R929)*($G$8-$E$8)*($G$8-$F$8))))</f>
        <v>0.993363918396269</v>
      </c>
      <c r="E929" s="51" t="n">
        <f aca="false">1+IF($G$9=$E$9,$F$9,IF(S929&lt;($F$9-$E$9)/($G$9-$E$9),$E$9+SQRT(S929*($G$9-$E$9)*($F$9-$E$9)),$G$9-SQRT((1-S929)*($G$9-$E$9)*($G$9-$F$9))))</f>
        <v>0.99364716872099</v>
      </c>
      <c r="F929" s="51" t="n">
        <f aca="false">1+IF($G$10=$E$10,$F$10,IF(T929&lt;($F$10-$E$10)/($G$10-$E$10),$E$10+SQRT(T929*($G$10-$E$10)*($F$10-$E$10)),$G$10-SQRT((1-T929)*($G$10-$E$10)*($G$10-$F$10))))</f>
        <v>1.01714737488602</v>
      </c>
      <c r="G929" s="52" t="n">
        <f aca="false">IF($G$11=$E$11,$F$11,IF(U929&lt;($F$11-$E$11)/($G$11-$E$11),$E$11+SQRT(U929*($G$11-$E$11)*($F$11-$E$11)),$G$11-SQRT((1-U929)*($G$11-$E$11)*($G$11-$F$11))))</f>
        <v>0.10242032996597</v>
      </c>
      <c r="H929" s="53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-2034294749.77204</v>
      </c>
      <c r="I929" s="53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-14853214.4565706</v>
      </c>
      <c r="J929" s="53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258216845.689692</v>
      </c>
      <c r="K929" s="53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582144274.580255</v>
      </c>
      <c r="L929" s="53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703108901.110414</v>
      </c>
      <c r="M929" s="53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867785903.424803</v>
      </c>
      <c r="N929" s="53" t="n">
        <f aca="false">IF(COUNT('Business Case'!B11:G11)=0,"",H929+NPV(G929,I929:M929))</f>
        <v>-391835313.605517</v>
      </c>
      <c r="P929" s="54" t="n">
        <f aca="true">RAND()</f>
        <v>0.778240075403262</v>
      </c>
      <c r="Q929" s="54" t="n">
        <f aca="true">RAND()</f>
        <v>0.185957965598641</v>
      </c>
      <c r="R929" s="54" t="n">
        <f aca="true">RAND()</f>
        <v>0.250723922490441</v>
      </c>
      <c r="S929" s="54" t="n">
        <f aca="true">RAND()</f>
        <v>0.350791688378302</v>
      </c>
      <c r="T929" s="54" t="n">
        <f aca="true">RAND()</f>
        <v>0.277062066367059</v>
      </c>
      <c r="U929" s="54" t="n">
        <f aca="true">RAND()</f>
        <v>0.492907867209364</v>
      </c>
    </row>
    <row r="930" customFormat="false" ht="15" hidden="false" customHeight="false" outlineLevel="0" collapsed="false">
      <c r="A930" s="50" t="n">
        <v>850</v>
      </c>
      <c r="B930" s="51" t="n">
        <f aca="false">1+IF($G$6=$E$6,$F$6,IF(P930&lt;($F$6-$E$6)/($G$6-$E$6),$E$6+SQRT(P930*($G$6-$E$6)*($F$6-$E$6)),$G$6-SQRT((1-P930)*($G$6-$E$6)*($G$6-$F$6))))</f>
        <v>0.92977740157711</v>
      </c>
      <c r="C930" s="51" t="n">
        <f aca="false">1+IF($G$7=$E$7,$F$7,IF(Q930&lt;($F$7-$E$7)/($G$7-$E$7),$E$7+SQRT(Q930*($G$7-$E$7)*($F$7-$E$7)),$G$7-SQRT((1-Q930)*($G$7-$E$7)*($G$7-$F$7))))</f>
        <v>1.08423131560833</v>
      </c>
      <c r="D930" s="51" t="n">
        <f aca="false">1+IF($G$8=$E$8,$F$8,IF(R930&lt;($F$8-$E$8)/($G$8-$E$8),$E$8+SQRT(R930*($G$8-$E$8)*($F$8-$E$8)),$G$8-SQRT((1-R930)*($G$8-$E$8)*($G$8-$F$8))))</f>
        <v>0.979770723268008</v>
      </c>
      <c r="E930" s="51" t="n">
        <f aca="false">1+IF($G$9=$E$9,$F$9,IF(S930&lt;($F$9-$E$9)/($G$9-$E$9),$E$9+SQRT(S930*($G$9-$E$9)*($F$9-$E$9)),$G$9-SQRT((1-S930)*($G$9-$E$9)*($G$9-$F$9))))</f>
        <v>1.05554595606429</v>
      </c>
      <c r="F930" s="51" t="n">
        <f aca="false">1+IF($G$10=$E$10,$F$10,IF(T930&lt;($F$10-$E$10)/($G$10-$E$10),$E$10+SQRT(T930*($G$10-$E$10)*($F$10-$E$10)),$G$10-SQRT((1-T930)*($G$10-$E$10)*($G$10-$F$10))))</f>
        <v>0.979009957426873</v>
      </c>
      <c r="G930" s="52" t="n">
        <f aca="false">IF($G$11=$E$11,$F$11,IF(U930&lt;($F$11-$E$11)/($G$11-$E$11),$E$11+SQRT(U930*($G$11-$E$11)*($F$11-$E$11)),$G$11-SQRT((1-U930)*($G$11-$E$11)*($G$11-$F$11))))</f>
        <v>0.0990741104096522</v>
      </c>
      <c r="H930" s="53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-1958019914.85375</v>
      </c>
      <c r="I930" s="53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-18369470.7544025</v>
      </c>
      <c r="J930" s="53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263520270.499582</v>
      </c>
      <c r="K930" s="53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594360509.62491</v>
      </c>
      <c r="L930" s="53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723163477.585144</v>
      </c>
      <c r="M930" s="53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914781942.400791</v>
      </c>
      <c r="N930" s="53" t="n">
        <f aca="false">IF(COUNT('Business Case'!B11:G11)=0,"",H930+NPV(G930,I930:M930))</f>
        <v>-242898638.627122</v>
      </c>
      <c r="P930" s="54" t="n">
        <f aca="true">RAND()</f>
        <v>0.0591129096456307</v>
      </c>
      <c r="Q930" s="54" t="n">
        <f aca="true">RAND()</f>
        <v>0.935918224494649</v>
      </c>
      <c r="R930" s="54" t="n">
        <f aca="true">RAND()</f>
        <v>0.11817279518671</v>
      </c>
      <c r="S930" s="54" t="n">
        <f aca="true">RAND()</f>
        <v>0.762091562245072</v>
      </c>
      <c r="T930" s="54" t="n">
        <f aca="true">RAND()</f>
        <v>0.0561051753272646</v>
      </c>
      <c r="U930" s="54" t="n">
        <f aca="true">RAND()</f>
        <v>0.363821687919602</v>
      </c>
    </row>
    <row r="931" customFormat="false" ht="15" hidden="false" customHeight="false" outlineLevel="0" collapsed="false">
      <c r="A931" s="50" t="n">
        <v>851</v>
      </c>
      <c r="B931" s="51" t="n">
        <f aca="false">1+IF($G$6=$E$6,$F$6,IF(P931&lt;($F$6-$E$6)/($G$6-$E$6),$E$6+SQRT(P931*($G$6-$E$6)*($F$6-$E$6)),$G$6-SQRT((1-P931)*($G$6-$E$6)*($G$6-$F$6))))</f>
        <v>0.983470677818077</v>
      </c>
      <c r="C931" s="51" t="n">
        <f aca="false">1+IF($G$7=$E$7,$F$7,IF(Q931&lt;($F$7-$E$7)/($G$7-$E$7),$E$7+SQRT(Q931*($G$7-$E$7)*($F$7-$E$7)),$G$7-SQRT((1-Q931)*($G$7-$E$7)*($G$7-$F$7))))</f>
        <v>0.925239121368609</v>
      </c>
      <c r="D931" s="51" t="n">
        <f aca="false">1+IF($G$8=$E$8,$F$8,IF(R931&lt;($F$8-$E$8)/($G$8-$E$8),$E$8+SQRT(R931*($G$8-$E$8)*($F$8-$E$8)),$G$8-SQRT((1-R931)*($G$8-$E$8)*($G$8-$F$8))))</f>
        <v>1.06662021174322</v>
      </c>
      <c r="E931" s="51" t="n">
        <f aca="false">1+IF($G$9=$E$9,$F$9,IF(S931&lt;($F$9-$E$9)/($G$9-$E$9),$E$9+SQRT(S931*($G$9-$E$9)*($F$9-$E$9)),$G$9-SQRT((1-S931)*($G$9-$E$9)*($G$9-$F$9))))</f>
        <v>1.03250292579542</v>
      </c>
      <c r="F931" s="51" t="n">
        <f aca="false">1+IF($G$10=$E$10,$F$10,IF(T931&lt;($F$10-$E$10)/($G$10-$E$10),$E$10+SQRT(T931*($G$10-$E$10)*($F$10-$E$10)),$G$10-SQRT((1-T931)*($G$10-$E$10)*($G$10-$F$10))))</f>
        <v>1.103724261036</v>
      </c>
      <c r="G931" s="52" t="n">
        <f aca="false">IF($G$11=$E$11,$F$11,IF(U931&lt;($F$11-$E$11)/($G$11-$E$11),$E$11+SQRT(U931*($G$11-$E$11)*($F$11-$E$11)),$G$11-SQRT((1-U931)*($G$11-$E$11)*($G$11-$F$11))))</f>
        <v>0.121950293580373</v>
      </c>
      <c r="H931" s="53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-2207448522.072</v>
      </c>
      <c r="I931" s="53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-64257969.5731315</v>
      </c>
      <c r="J931" s="53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175849980.101595</v>
      </c>
      <c r="K931" s="53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471144142.828121</v>
      </c>
      <c r="L931" s="53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582627844.117128</v>
      </c>
      <c r="M931" s="53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755590293.469671</v>
      </c>
      <c r="N931" s="53" t="n">
        <f aca="false">IF(COUNT('Business Case'!B11:G11)=0,"",H931+NPV(G931,I931:M931))</f>
        <v>-998685707.70555</v>
      </c>
      <c r="P931" s="54" t="n">
        <f aca="true">RAND()</f>
        <v>0.464490270360615</v>
      </c>
      <c r="Q931" s="54" t="n">
        <f aca="true">RAND()</f>
        <v>0.375797494777059</v>
      </c>
      <c r="R931" s="54" t="n">
        <f aca="true">RAND()</f>
        <v>0.925719315728837</v>
      </c>
      <c r="S931" s="54" t="n">
        <f aca="true">RAND()</f>
        <v>0.631851668089719</v>
      </c>
      <c r="T931" s="54" t="n">
        <f aca="true">RAND()</f>
        <v>0.714712109207145</v>
      </c>
      <c r="U931" s="54" t="n">
        <f aca="true">RAND()</f>
        <v>0.956801484371878</v>
      </c>
    </row>
    <row r="932" customFormat="false" ht="15" hidden="false" customHeight="false" outlineLevel="0" collapsed="false">
      <c r="A932" s="50" t="n">
        <v>852</v>
      </c>
      <c r="B932" s="51" t="n">
        <f aca="false">1+IF($G$6=$E$6,$F$6,IF(P932&lt;($F$6-$E$6)/($G$6-$E$6),$E$6+SQRT(P932*($G$6-$E$6)*($F$6-$E$6)),$G$6-SQRT((1-P932)*($G$6-$E$6)*($G$6-$F$6))))</f>
        <v>1.01543647770404</v>
      </c>
      <c r="C932" s="51" t="n">
        <f aca="false">1+IF($G$7=$E$7,$F$7,IF(Q932&lt;($F$7-$E$7)/($G$7-$E$7),$E$7+SQRT(Q932*($G$7-$E$7)*($F$7-$E$7)),$G$7-SQRT((1-Q932)*($G$7-$E$7)*($G$7-$F$7))))</f>
        <v>1.0858508071461</v>
      </c>
      <c r="D932" s="51" t="n">
        <f aca="false">1+IF($G$8=$E$8,$F$8,IF(R932&lt;($F$8-$E$8)/($G$8-$E$8),$E$8+SQRT(R932*($G$8-$E$8)*($F$8-$E$8)),$G$8-SQRT((1-R932)*($G$8-$E$8)*($G$8-$F$8))))</f>
        <v>1.05234463297335</v>
      </c>
      <c r="E932" s="51" t="n">
        <f aca="false">1+IF($G$9=$E$9,$F$9,IF(S932&lt;($F$9-$E$9)/($G$9-$E$9),$E$9+SQRT(S932*($G$9-$E$9)*($F$9-$E$9)),$G$9-SQRT((1-S932)*($G$9-$E$9)*($G$9-$F$9))))</f>
        <v>0.999186540155735</v>
      </c>
      <c r="F932" s="51" t="n">
        <f aca="false">1+IF($G$10=$E$10,$F$10,IF(T932&lt;($F$10-$E$10)/($G$10-$E$10),$E$10+SQRT(T932*($G$10-$E$10)*($F$10-$E$10)),$G$10-SQRT((1-T932)*($G$10-$E$10)*($G$10-$F$10))))</f>
        <v>1.16054848794738</v>
      </c>
      <c r="G932" s="52" t="n">
        <f aca="false">IF($G$11=$E$11,$F$11,IF(U932&lt;($F$11-$E$11)/($G$11-$E$11),$E$11+SQRT(U932*($G$11-$E$11)*($F$11-$E$11)),$G$11-SQRT((1-U932)*($G$11-$E$11)*($G$11-$F$11))))</f>
        <v>0.0929961246987891</v>
      </c>
      <c r="H932" s="53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-2321096975.89476</v>
      </c>
      <c r="I932" s="53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2854942.66877058</v>
      </c>
      <c r="J932" s="53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321008493.123265</v>
      </c>
      <c r="K932" s="53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697189467.975129</v>
      </c>
      <c r="L932" s="53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841346940.113854</v>
      </c>
      <c r="M932" s="53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1050931527.71027</v>
      </c>
      <c r="N932" s="53" t="n">
        <f aca="false">IF(COUNT('Business Case'!B11:G11)=0,"",H932+NPV(G932,I932:M932))</f>
        <v>-252588955.759305</v>
      </c>
      <c r="P932" s="54" t="n">
        <f aca="true">RAND()</f>
        <v>0.84071505686625</v>
      </c>
      <c r="Q932" s="54" t="n">
        <f aca="true">RAND()</f>
        <v>0.939035274906574</v>
      </c>
      <c r="R932" s="54" t="n">
        <f aca="true">RAND()</f>
        <v>0.848597732903698</v>
      </c>
      <c r="S932" s="54" t="n">
        <f aca="true">RAND()</f>
        <v>0.393518789922606</v>
      </c>
      <c r="T932" s="54" t="n">
        <f aca="true">RAND()</f>
        <v>0.893312359886668</v>
      </c>
      <c r="U932" s="54" t="n">
        <f aca="true">RAND()</f>
        <v>0.168899257186475</v>
      </c>
    </row>
    <row r="933" customFormat="false" ht="15" hidden="false" customHeight="false" outlineLevel="0" collapsed="false">
      <c r="A933" s="50" t="n">
        <v>853</v>
      </c>
      <c r="B933" s="51" t="n">
        <f aca="false">1+IF($G$6=$E$6,$F$6,IF(P933&lt;($F$6-$E$6)/($G$6-$E$6),$E$6+SQRT(P933*($G$6-$E$6)*($F$6-$E$6)),$G$6-SQRT((1-P933)*($G$6-$E$6)*($G$6-$F$6))))</f>
        <v>1.01453988481008</v>
      </c>
      <c r="C933" s="51" t="n">
        <f aca="false">1+IF($G$7=$E$7,$F$7,IF(Q933&lt;($F$7-$E$7)/($G$7-$E$7),$E$7+SQRT(Q933*($G$7-$E$7)*($F$7-$E$7)),$G$7-SQRT((1-Q933)*($G$7-$E$7)*($G$7-$F$7))))</f>
        <v>1.00779393041619</v>
      </c>
      <c r="D933" s="51" t="n">
        <f aca="false">1+IF($G$8=$E$8,$F$8,IF(R933&lt;($F$8-$E$8)/($G$8-$E$8),$E$8+SQRT(R933*($G$8-$E$8)*($F$8-$E$8)),$G$8-SQRT((1-R933)*($G$8-$E$8)*($G$8-$F$8))))</f>
        <v>0.978671453276383</v>
      </c>
      <c r="E933" s="51" t="n">
        <f aca="false">1+IF($G$9=$E$9,$F$9,IF(S933&lt;($F$9-$E$9)/($G$9-$E$9),$E$9+SQRT(S933*($G$9-$E$9)*($F$9-$E$9)),$G$9-SQRT((1-S933)*($G$9-$E$9)*($G$9-$F$9))))</f>
        <v>1.08809633172227</v>
      </c>
      <c r="F933" s="51" t="n">
        <f aca="false">1+IF($G$10=$E$10,$F$10,IF(T933&lt;($F$10-$E$10)/($G$10-$E$10),$E$10+SQRT(T933*($G$10-$E$10)*($F$10-$E$10)),$G$10-SQRT((1-T933)*($G$10-$E$10)*($G$10-$F$10))))</f>
        <v>1.05298406904309</v>
      </c>
      <c r="G933" s="52" t="n">
        <f aca="false">IF($G$11=$E$11,$F$11,IF(U933&lt;($F$11-$E$11)/($G$11-$E$11),$E$11+SQRT(U933*($G$11-$E$11)*($F$11-$E$11)),$G$11-SQRT((1-U933)*($G$11-$E$11)*($G$11-$F$11))))</f>
        <v>0.0965641551331856</v>
      </c>
      <c r="H933" s="53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-2105968138.08618</v>
      </c>
      <c r="I933" s="53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19522196.2501434</v>
      </c>
      <c r="J933" s="53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352073757.413401</v>
      </c>
      <c r="K933" s="53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737274522.028813</v>
      </c>
      <c r="L933" s="53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883460815.508498</v>
      </c>
      <c r="M933" s="53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1077807567.51412</v>
      </c>
      <c r="N933" s="53" t="n">
        <f aca="false">IF(COUNT('Business Case'!B11:G11)=0,"",H933+NPV(G933,I933:M933))</f>
        <v>54577638.7755044</v>
      </c>
      <c r="P933" s="54" t="n">
        <f aca="true">RAND()</f>
        <v>0.832344030762304</v>
      </c>
      <c r="Q933" s="54" t="n">
        <f aca="true">RAND()</f>
        <v>0.700406426274432</v>
      </c>
      <c r="R933" s="54" t="n">
        <f aca="true">RAND()</f>
        <v>0.10960696439731</v>
      </c>
      <c r="S933" s="54" t="n">
        <f aca="true">RAND()</f>
        <v>0.897811622766966</v>
      </c>
      <c r="T933" s="54" t="n">
        <f aca="true">RAND()</f>
        <v>0.482462972655764</v>
      </c>
      <c r="U933" s="54" t="n">
        <f aca="true">RAND()</f>
        <v>0.274371235276239</v>
      </c>
    </row>
    <row r="934" customFormat="false" ht="15" hidden="false" customHeight="false" outlineLevel="0" collapsed="false">
      <c r="A934" s="50" t="n">
        <v>854</v>
      </c>
      <c r="B934" s="51" t="n">
        <f aca="false">1+IF($G$6=$E$6,$F$6,IF(P934&lt;($F$6-$E$6)/($G$6-$E$6),$E$6+SQRT(P934*($G$6-$E$6)*($F$6-$E$6)),$G$6-SQRT((1-P934)*($G$6-$E$6)*($G$6-$F$6))))</f>
        <v>0.934053684820635</v>
      </c>
      <c r="C934" s="51" t="n">
        <f aca="false">1+IF($G$7=$E$7,$F$7,IF(Q934&lt;($F$7-$E$7)/($G$7-$E$7),$E$7+SQRT(Q934*($G$7-$E$7)*($F$7-$E$7)),$G$7-SQRT((1-Q934)*($G$7-$E$7)*($G$7-$F$7))))</f>
        <v>0.925424388014239</v>
      </c>
      <c r="D934" s="51" t="n">
        <f aca="false">1+IF($G$8=$E$8,$F$8,IF(R934&lt;($F$8-$E$8)/($G$8-$E$8),$E$8+SQRT(R934*($G$8-$E$8)*($F$8-$E$8)),$G$8-SQRT((1-R934)*($G$8-$E$8)*($G$8-$F$8))))</f>
        <v>1.07962113047075</v>
      </c>
      <c r="E934" s="51" t="n">
        <f aca="false">1+IF($G$9=$E$9,$F$9,IF(S934&lt;($F$9-$E$9)/($G$9-$E$9),$E$9+SQRT(S934*($G$9-$E$9)*($F$9-$E$9)),$G$9-SQRT((1-S934)*($G$9-$E$9)*($G$9-$F$9))))</f>
        <v>1.0771072082562</v>
      </c>
      <c r="F934" s="51" t="n">
        <f aca="false">1+IF($G$10=$E$10,$F$10,IF(T934&lt;($F$10-$E$10)/($G$10-$E$10),$E$10+SQRT(T934*($G$10-$E$10)*($F$10-$E$10)),$G$10-SQRT((1-T934)*($G$10-$E$10)*($G$10-$F$10))))</f>
        <v>1.04066845098676</v>
      </c>
      <c r="G934" s="52" t="n">
        <f aca="false">IF($G$11=$E$11,$F$11,IF(U934&lt;($F$11-$E$11)/($G$11-$E$11),$E$11+SQRT(U934*($G$11-$E$11)*($F$11-$E$11)),$G$11-SQRT((1-U934)*($G$11-$E$11)*($G$11-$F$11))))</f>
        <v>0.0873021255545528</v>
      </c>
      <c r="H934" s="53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-2081336901.97352</v>
      </c>
      <c r="I934" s="53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-105502398.523263</v>
      </c>
      <c r="J934" s="53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91036984.7983115</v>
      </c>
      <c r="K934" s="53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339609790.669224</v>
      </c>
      <c r="L934" s="53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434996446.264503</v>
      </c>
      <c r="M934" s="53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599300849.282315</v>
      </c>
      <c r="N934" s="53" t="n">
        <f aca="false">IF(COUNT('Business Case'!B11:G11)=0,"",H934+NPV(G934,I934:M934))</f>
        <v>-1131572407.43309</v>
      </c>
      <c r="P934" s="54" t="n">
        <f aca="true">RAND()</f>
        <v>0.0773102299908779</v>
      </c>
      <c r="Q934" s="54" t="n">
        <f aca="true">RAND()</f>
        <v>0.376415960826623</v>
      </c>
      <c r="R934" s="54" t="n">
        <f aca="true">RAND()</f>
        <v>0.97231344511399</v>
      </c>
      <c r="S934" s="54" t="n">
        <f aca="true">RAND()</f>
        <v>0.858310424314515</v>
      </c>
      <c r="T934" s="54" t="n">
        <f aca="true">RAND()</f>
        <v>0.415737367836231</v>
      </c>
      <c r="U934" s="54" t="n">
        <f aca="true">RAND()</f>
        <v>0.0533210376144522</v>
      </c>
    </row>
    <row r="935" customFormat="false" ht="15" hidden="false" customHeight="false" outlineLevel="0" collapsed="false">
      <c r="A935" s="50" t="n">
        <v>855</v>
      </c>
      <c r="B935" s="51" t="n">
        <f aca="false">1+IF($G$6=$E$6,$F$6,IF(P935&lt;($F$6-$E$6)/($G$6-$E$6),$E$6+SQRT(P935*($G$6-$E$6)*($F$6-$E$6)),$G$6-SQRT((1-P935)*($G$6-$E$6)*($G$6-$F$6))))</f>
        <v>1.00642334784762</v>
      </c>
      <c r="C935" s="51" t="n">
        <f aca="false">1+IF($G$7=$E$7,$F$7,IF(Q935&lt;($F$7-$E$7)/($G$7-$E$7),$E$7+SQRT(Q935*($G$7-$E$7)*($F$7-$E$7)),$G$7-SQRT((1-Q935)*($G$7-$E$7)*($G$7-$F$7))))</f>
        <v>0.909414850366205</v>
      </c>
      <c r="D935" s="51" t="n">
        <f aca="false">1+IF($G$8=$E$8,$F$8,IF(R935&lt;($F$8-$E$8)/($G$8-$E$8),$E$8+SQRT(R935*($G$8-$E$8)*($F$8-$E$8)),$G$8-SQRT((1-R935)*($G$8-$E$8)*($G$8-$F$8))))</f>
        <v>0.97556216469173</v>
      </c>
      <c r="E935" s="51" t="n">
        <f aca="false">1+IF($G$9=$E$9,$F$9,IF(S935&lt;($F$9-$E$9)/($G$9-$E$9),$E$9+SQRT(S935*($G$9-$E$9)*($F$9-$E$9)),$G$9-SQRT((1-S935)*($G$9-$E$9)*($G$9-$F$9))))</f>
        <v>0.951203209861774</v>
      </c>
      <c r="F935" s="51" t="n">
        <f aca="false">1+IF($G$10=$E$10,$F$10,IF(T935&lt;($F$10-$E$10)/($G$10-$E$10),$E$10+SQRT(T935*($G$10-$E$10)*($F$10-$E$10)),$G$10-SQRT((1-T935)*($G$10-$E$10)*($G$10-$F$10))))</f>
        <v>1.01297466020284</v>
      </c>
      <c r="G935" s="52" t="n">
        <f aca="false">IF($G$11=$E$11,$F$11,IF(U935&lt;($F$11-$E$11)/($G$11-$E$11),$E$11+SQRT(U935*($G$11-$E$11)*($F$11-$E$11)),$G$11-SQRT((1-U935)*($G$11-$E$11)*($G$11-$F$11))))</f>
        <v>0.100463277102271</v>
      </c>
      <c r="H935" s="53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-2025949320.40569</v>
      </c>
      <c r="I935" s="53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11484715.0789284</v>
      </c>
      <c r="J935" s="53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306974881.19733</v>
      </c>
      <c r="K935" s="53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653113780.325874</v>
      </c>
      <c r="L935" s="53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783241761.416571</v>
      </c>
      <c r="M935" s="53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957213686.198334</v>
      </c>
      <c r="N935" s="53" t="n">
        <f aca="false">IF(COUNT('Business Case'!B11:G11)=0,"",H935+NPV(G935,I935:M935))</f>
        <v>-144785030.555441</v>
      </c>
      <c r="P935" s="54" t="n">
        <f aca="true">RAND()</f>
        <v>0.746810051625356</v>
      </c>
      <c r="Q935" s="54" t="n">
        <f aca="true">RAND()</f>
        <v>0.324848737436295</v>
      </c>
      <c r="R935" s="54" t="n">
        <f aca="true">RAND()</f>
        <v>0.0871232351636196</v>
      </c>
      <c r="S935" s="54" t="n">
        <f aca="true">RAND()</f>
        <v>0.104870748005956</v>
      </c>
      <c r="T935" s="54" t="n">
        <f aca="true">RAND()</f>
        <v>0.250919843920575</v>
      </c>
      <c r="U935" s="54" t="n">
        <f aca="true">RAND()</f>
        <v>0.418388000308512</v>
      </c>
    </row>
    <row r="936" customFormat="false" ht="15" hidden="false" customHeight="false" outlineLevel="0" collapsed="false">
      <c r="A936" s="50" t="n">
        <v>856</v>
      </c>
      <c r="B936" s="51" t="n">
        <f aca="false">1+IF($G$6=$E$6,$F$6,IF(P936&lt;($F$6-$E$6)/($G$6-$E$6),$E$6+SQRT(P936*($G$6-$E$6)*($F$6-$E$6)),$G$6-SQRT((1-P936)*($G$6-$E$6)*($G$6-$F$6))))</f>
        <v>0.989650797092117</v>
      </c>
      <c r="C936" s="51" t="n">
        <f aca="false">1+IF($G$7=$E$7,$F$7,IF(Q936&lt;($F$7-$E$7)/($G$7-$E$7),$E$7+SQRT(Q936*($G$7-$E$7)*($F$7-$E$7)),$G$7-SQRT((1-Q936)*($G$7-$E$7)*($G$7-$F$7))))</f>
        <v>0.962906670366016</v>
      </c>
      <c r="D936" s="51" t="n">
        <f aca="false">1+IF($G$8=$E$8,$F$8,IF(R936&lt;($F$8-$E$8)/($G$8-$E$8),$E$8+SQRT(R936*($G$8-$E$8)*($F$8-$E$8)),$G$8-SQRT((1-R936)*($G$8-$E$8)*($G$8-$F$8))))</f>
        <v>1.02625438353065</v>
      </c>
      <c r="E936" s="51" t="n">
        <f aca="false">1+IF($G$9=$E$9,$F$9,IF(S936&lt;($F$9-$E$9)/($G$9-$E$9),$E$9+SQRT(S936*($G$9-$E$9)*($F$9-$E$9)),$G$9-SQRT((1-S936)*($G$9-$E$9)*($G$9-$F$9))))</f>
        <v>0.963363844551648</v>
      </c>
      <c r="F936" s="51" t="n">
        <f aca="false">1+IF($G$10=$E$10,$F$10,IF(T936&lt;($F$10-$E$10)/($G$10-$E$10),$E$10+SQRT(T936*($G$10-$E$10)*($F$10-$E$10)),$G$10-SQRT((1-T936)*($G$10-$E$10)*($G$10-$F$10))))</f>
        <v>1.04050383864132</v>
      </c>
      <c r="G936" s="52" t="n">
        <f aca="false">IF($G$11=$E$11,$F$11,IF(U936&lt;($F$11-$E$11)/($G$11-$E$11),$E$11+SQRT(U936*($G$11-$E$11)*($F$11-$E$11)),$G$11-SQRT((1-U936)*($G$11-$E$11)*($G$11-$F$11))))</f>
        <v>0.118280105046332</v>
      </c>
      <c r="H936" s="53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-2081007677.28264</v>
      </c>
      <c r="I936" s="53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-15786408.7784273</v>
      </c>
      <c r="J936" s="53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258868384.786263</v>
      </c>
      <c r="K936" s="53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585548370.28302</v>
      </c>
      <c r="L936" s="53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710033621.327078</v>
      </c>
      <c r="M936" s="53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891168713.867464</v>
      </c>
      <c r="N936" s="53" t="n">
        <f aca="false">IF(COUNT('Business Case'!B11:G11)=0,"",H936+NPV(G936,I936:M936))</f>
        <v>-505817843.211839</v>
      </c>
      <c r="P936" s="54" t="n">
        <f aca="true">RAND()</f>
        <v>0.535817694616799</v>
      </c>
      <c r="Q936" s="54" t="n">
        <f aca="true">RAND()</f>
        <v>0.51199938757737</v>
      </c>
      <c r="R936" s="54" t="n">
        <f aca="true">RAND()</f>
        <v>0.637438936770369</v>
      </c>
      <c r="S936" s="54" t="n">
        <f aca="true">RAND()</f>
        <v>0.160599071854614</v>
      </c>
      <c r="T936" s="54" t="n">
        <f aca="true">RAND()</f>
        <v>0.414818111679696</v>
      </c>
      <c r="U936" s="54" t="n">
        <f aca="true">RAND()</f>
        <v>0.908429374849986</v>
      </c>
    </row>
    <row r="937" customFormat="false" ht="15" hidden="false" customHeight="false" outlineLevel="0" collapsed="false">
      <c r="A937" s="50" t="n">
        <v>857</v>
      </c>
      <c r="B937" s="51" t="n">
        <f aca="false">1+IF($G$6=$E$6,$F$6,IF(P937&lt;($F$6-$E$6)/($G$6-$E$6),$E$6+SQRT(P937*($G$6-$E$6)*($F$6-$E$6)),$G$6-SQRT((1-P937)*($G$6-$E$6)*($G$6-$F$6))))</f>
        <v>0.972488120708092</v>
      </c>
      <c r="C937" s="51" t="n">
        <f aca="false">1+IF($G$7=$E$7,$F$7,IF(Q937&lt;($F$7-$E$7)/($G$7-$E$7),$E$7+SQRT(Q937*($G$7-$E$7)*($F$7-$E$7)),$G$7-SQRT((1-Q937)*($G$7-$E$7)*($G$7-$F$7))))</f>
        <v>1.02475034947286</v>
      </c>
      <c r="D937" s="51" t="n">
        <f aca="false">1+IF($G$8=$E$8,$F$8,IF(R937&lt;($F$8-$E$8)/($G$8-$E$8),$E$8+SQRT(R937*($G$8-$E$8)*($F$8-$E$8)),$G$8-SQRT((1-R937)*($G$8-$E$8)*($G$8-$F$8))))</f>
        <v>1.02321555600571</v>
      </c>
      <c r="E937" s="51" t="n">
        <f aca="false">1+IF($G$9=$E$9,$F$9,IF(S937&lt;($F$9-$E$9)/($G$9-$E$9),$E$9+SQRT(S937*($G$9-$E$9)*($F$9-$E$9)),$G$9-SQRT((1-S937)*($G$9-$E$9)*($G$9-$F$9))))</f>
        <v>0.977269404312166</v>
      </c>
      <c r="F937" s="51" t="n">
        <f aca="false">1+IF($G$10=$E$10,$F$10,IF(T937&lt;($F$10-$E$10)/($G$10-$E$10),$E$10+SQRT(T937*($G$10-$E$10)*($F$10-$E$10)),$G$10-SQRT((1-T937)*($G$10-$E$10)*($G$10-$F$10))))</f>
        <v>1.02485359291894</v>
      </c>
      <c r="G937" s="52" t="n">
        <f aca="false">IF($G$11=$E$11,$F$11,IF(U937&lt;($F$11-$E$11)/($G$11-$E$11),$E$11+SQRT(U937*($G$11-$E$11)*($F$11-$E$11)),$G$11-SQRT((1-U937)*($G$11-$E$11)*($G$11-$F$11))))</f>
        <v>0.102022558987758</v>
      </c>
      <c r="H937" s="53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-2049707185.83788</v>
      </c>
      <c r="I937" s="53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-13631084.9084657</v>
      </c>
      <c r="J937" s="53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265852441.722303</v>
      </c>
      <c r="K937" s="53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596578647.999019</v>
      </c>
      <c r="L937" s="53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724180852.178708</v>
      </c>
      <c r="M937" s="53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913606509.677259</v>
      </c>
      <c r="N937" s="53" t="n">
        <f aca="false">IF(COUNT('Business Case'!B11:G11)=0,"",H937+NPV(G937,I937:M937))</f>
        <v>-344319047.689078</v>
      </c>
      <c r="P937" s="54" t="n">
        <f aca="true">RAND()</f>
        <v>0.35030184291939</v>
      </c>
      <c r="Q937" s="54" t="n">
        <f aca="true">RAND()</f>
        <v>0.767592963597484</v>
      </c>
      <c r="R937" s="54" t="n">
        <f aca="true">RAND()</f>
        <v>0.606943277365819</v>
      </c>
      <c r="S937" s="54" t="n">
        <f aca="true">RAND()</f>
        <v>0.23882243371028</v>
      </c>
      <c r="T937" s="54" t="n">
        <f aca="true">RAND()</f>
        <v>0.324121271713194</v>
      </c>
      <c r="U937" s="54" t="n">
        <f aca="true">RAND()</f>
        <v>0.478175196271019</v>
      </c>
    </row>
    <row r="938" customFormat="false" ht="15" hidden="false" customHeight="false" outlineLevel="0" collapsed="false">
      <c r="A938" s="50" t="n">
        <v>858</v>
      </c>
      <c r="B938" s="51" t="n">
        <f aca="false">1+IF($G$6=$E$6,$F$6,IF(P938&lt;($F$6-$E$6)/($G$6-$E$6),$E$6+SQRT(P938*($G$6-$E$6)*($F$6-$E$6)),$G$6-SQRT((1-P938)*($G$6-$E$6)*($G$6-$F$6))))</f>
        <v>0.98295347806097</v>
      </c>
      <c r="C938" s="51" t="n">
        <f aca="false">1+IF($G$7=$E$7,$F$7,IF(Q938&lt;($F$7-$E$7)/($G$7-$E$7),$E$7+SQRT(Q938*($G$7-$E$7)*($F$7-$E$7)),$G$7-SQRT((1-Q938)*($G$7-$E$7)*($G$7-$F$7))))</f>
        <v>0.77739717610138</v>
      </c>
      <c r="D938" s="51" t="n">
        <f aca="false">1+IF($G$8=$E$8,$F$8,IF(R938&lt;($F$8-$E$8)/($G$8-$E$8),$E$8+SQRT(R938*($G$8-$E$8)*($F$8-$E$8)),$G$8-SQRT((1-R938)*($G$8-$E$8)*($G$8-$F$8))))</f>
        <v>1.02702372100898</v>
      </c>
      <c r="E938" s="51" t="n">
        <f aca="false">1+IF($G$9=$E$9,$F$9,IF(S938&lt;($F$9-$E$9)/($G$9-$E$9),$E$9+SQRT(S938*($G$9-$E$9)*($F$9-$E$9)),$G$9-SQRT((1-S938)*($G$9-$E$9)*($G$9-$F$9))))</f>
        <v>1.00934005697025</v>
      </c>
      <c r="F938" s="51" t="n">
        <f aca="false">1+IF($G$10=$E$10,$F$10,IF(T938&lt;($F$10-$E$10)/($G$10-$E$10),$E$10+SQRT(T938*($G$10-$E$10)*($F$10-$E$10)),$G$10-SQRT((1-T938)*($G$10-$E$10)*($G$10-$F$10))))</f>
        <v>1.16790956044</v>
      </c>
      <c r="G938" s="52" t="n">
        <f aca="false">IF($G$11=$E$11,$F$11,IF(U938&lt;($F$11-$E$11)/($G$11-$E$11),$E$11+SQRT(U938*($G$11-$E$11)*($F$11-$E$11)),$G$11-SQRT((1-U938)*($G$11-$E$11)*($G$11-$F$11))))</f>
        <v>0.119992583509638</v>
      </c>
      <c r="H938" s="53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-2335819120.88001</v>
      </c>
      <c r="I938" s="53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-82762079.4046861</v>
      </c>
      <c r="J938" s="53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134408243.514853</v>
      </c>
      <c r="K938" s="53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409974044.456392</v>
      </c>
      <c r="L938" s="53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508773012.215609</v>
      </c>
      <c r="M938" s="53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654021742.872145</v>
      </c>
      <c r="N938" s="53" t="n">
        <f aca="false">IF(COUNT('Business Case'!B11:G11)=0,"",H938+NPV(G938,I938:M938))</f>
        <v>-1316281451.93694</v>
      </c>
      <c r="P938" s="54" t="n">
        <f aca="true">RAND()</f>
        <v>0.458751968160784</v>
      </c>
      <c r="Q938" s="54" t="n">
        <f aca="true">RAND()</f>
        <v>0.0443727619886522</v>
      </c>
      <c r="R938" s="54" t="n">
        <f aca="true">RAND()</f>
        <v>0.644964180308306</v>
      </c>
      <c r="S938" s="54" t="n">
        <f aca="true">RAND()</f>
        <v>0.472394144716479</v>
      </c>
      <c r="T938" s="54" t="n">
        <f aca="true">RAND()</f>
        <v>0.910148796437954</v>
      </c>
      <c r="U938" s="54" t="n">
        <f aca="true">RAND()</f>
        <v>0.933234410125621</v>
      </c>
    </row>
    <row r="939" customFormat="false" ht="15" hidden="false" customHeight="false" outlineLevel="0" collapsed="false">
      <c r="A939" s="50" t="n">
        <v>859</v>
      </c>
      <c r="B939" s="51" t="n">
        <f aca="false">1+IF($G$6=$E$6,$F$6,IF(P939&lt;($F$6-$E$6)/($G$6-$E$6),$E$6+SQRT(P939*($G$6-$E$6)*($F$6-$E$6)),$G$6-SQRT((1-P939)*($G$6-$E$6)*($G$6-$F$6))))</f>
        <v>1.02226823896784</v>
      </c>
      <c r="C939" s="51" t="n">
        <f aca="false">1+IF($G$7=$E$7,$F$7,IF(Q939&lt;($F$7-$E$7)/($G$7-$E$7),$E$7+SQRT(Q939*($G$7-$E$7)*($F$7-$E$7)),$G$7-SQRT((1-Q939)*($G$7-$E$7)*($G$7-$F$7))))</f>
        <v>0.858515343862448</v>
      </c>
      <c r="D939" s="51" t="n">
        <f aca="false">1+IF($G$8=$E$8,$F$8,IF(R939&lt;($F$8-$E$8)/($G$8-$E$8),$E$8+SQRT(R939*($G$8-$E$8)*($F$8-$E$8)),$G$8-SQRT((1-R939)*($G$8-$E$8)*($G$8-$F$8))))</f>
        <v>1.02725374664992</v>
      </c>
      <c r="E939" s="51" t="n">
        <f aca="false">1+IF($G$9=$E$9,$F$9,IF(S939&lt;($F$9-$E$9)/($G$9-$E$9),$E$9+SQRT(S939*($G$9-$E$9)*($F$9-$E$9)),$G$9-SQRT((1-S939)*($G$9-$E$9)*($G$9-$F$9))))</f>
        <v>1.00234216851373</v>
      </c>
      <c r="F939" s="51" t="n">
        <f aca="false">1+IF($G$10=$E$10,$F$10,IF(T939&lt;($F$10-$E$10)/($G$10-$E$10),$E$10+SQRT(T939*($G$10-$E$10)*($F$10-$E$10)),$G$10-SQRT((1-T939)*($G$10-$E$10)*($G$10-$F$10))))</f>
        <v>1.13682303573821</v>
      </c>
      <c r="G939" s="52" t="n">
        <f aca="false">IF($G$11=$E$11,$F$11,IF(U939&lt;($F$11-$E$11)/($G$11-$E$11),$E$11+SQRT(U939*($G$11-$E$11)*($F$11-$E$11)),$G$11-SQRT((1-U939)*($G$11-$E$11)*($G$11-$F$11))))</f>
        <v>0.102976120798389</v>
      </c>
      <c r="H939" s="53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-2273646071.47642</v>
      </c>
      <c r="I939" s="53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-34336218.0607944</v>
      </c>
      <c r="J939" s="53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233039416.912144</v>
      </c>
      <c r="K939" s="53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557256203.671994</v>
      </c>
      <c r="L939" s="53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676712410.727813</v>
      </c>
      <c r="M939" s="53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843532885.417764</v>
      </c>
      <c r="N939" s="53" t="n">
        <f aca="false">IF(COUNT('Business Case'!B11:G11)=0,"",H939+NPV(G939,I939:M939))</f>
        <v>-723950569.010628</v>
      </c>
      <c r="P939" s="54" t="n">
        <f aca="true">RAND()</f>
        <v>0.897459924007351</v>
      </c>
      <c r="Q939" s="54" t="n">
        <f aca="true">RAND()</f>
        <v>0.18612677214689</v>
      </c>
      <c r="R939" s="54" t="n">
        <f aca="true">RAND()</f>
        <v>0.64719884156843</v>
      </c>
      <c r="S939" s="54" t="n">
        <f aca="true">RAND()</f>
        <v>0.418591061353942</v>
      </c>
      <c r="T939" s="54" t="n">
        <f aca="true">RAND()</f>
        <v>0.829212996806471</v>
      </c>
      <c r="U939" s="54" t="n">
        <f aca="true">RAND()</f>
        <v>0.51313996859784</v>
      </c>
    </row>
    <row r="940" customFormat="false" ht="15" hidden="false" customHeight="false" outlineLevel="0" collapsed="false">
      <c r="A940" s="50" t="n">
        <v>860</v>
      </c>
      <c r="B940" s="51" t="n">
        <f aca="false">1+IF($G$6=$E$6,$F$6,IF(P940&lt;($F$6-$E$6)/($G$6-$E$6),$E$6+SQRT(P940*($G$6-$E$6)*($F$6-$E$6)),$G$6-SQRT((1-P940)*($G$6-$E$6)*($G$6-$F$6))))</f>
        <v>1.01680138913647</v>
      </c>
      <c r="C940" s="51" t="n">
        <f aca="false">1+IF($G$7=$E$7,$F$7,IF(Q940&lt;($F$7-$E$7)/($G$7-$E$7),$E$7+SQRT(Q940*($G$7-$E$7)*($F$7-$E$7)),$G$7-SQRT((1-Q940)*($G$7-$E$7)*($G$7-$F$7))))</f>
        <v>0.985625336904731</v>
      </c>
      <c r="D940" s="51" t="n">
        <f aca="false">1+IF($G$8=$E$8,$F$8,IF(R940&lt;($F$8-$E$8)/($G$8-$E$8),$E$8+SQRT(R940*($G$8-$E$8)*($F$8-$E$8)),$G$8-SQRT((1-R940)*($G$8-$E$8)*($G$8-$F$8))))</f>
        <v>0.991708425855401</v>
      </c>
      <c r="E940" s="51" t="n">
        <f aca="false">1+IF($G$9=$E$9,$F$9,IF(S940&lt;($F$9-$E$9)/($G$9-$E$9),$E$9+SQRT(S940*($G$9-$E$9)*($F$9-$E$9)),$G$9-SQRT((1-S940)*($G$9-$E$9)*($G$9-$F$9))))</f>
        <v>1.0008408518598</v>
      </c>
      <c r="F940" s="51" t="n">
        <f aca="false">1+IF($G$10=$E$10,$F$10,IF(T940&lt;($F$10-$E$10)/($G$10-$E$10),$E$10+SQRT(T940*($G$10-$E$10)*($F$10-$E$10)),$G$10-SQRT((1-T940)*($G$10-$E$10)*($G$10-$F$10))))</f>
        <v>0.991947206720816</v>
      </c>
      <c r="G940" s="52" t="n">
        <f aca="false">IF($G$11=$E$11,$F$11,IF(U940&lt;($F$11-$E$11)/($G$11-$E$11),$E$11+SQRT(U940*($G$11-$E$11)*($F$11-$E$11)),$G$11-SQRT((1-U940)*($G$11-$E$11)*($G$11-$F$11))))</f>
        <v>0.0926651821945535</v>
      </c>
      <c r="H940" s="53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-1983894413.44163</v>
      </c>
      <c r="I940" s="53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27016559.7091295</v>
      </c>
      <c r="J940" s="53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347500690.601034</v>
      </c>
      <c r="K940" s="53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717582181.82898</v>
      </c>
      <c r="L940" s="53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859045746.377102</v>
      </c>
      <c r="M940" s="53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1049541111.42328</v>
      </c>
      <c r="N940" s="53" t="n">
        <f aca="false">IF(COUNT('Business Case'!B11:G11)=0,"",H940+NPV(G940,I940:M940))</f>
        <v>158455443.011339</v>
      </c>
      <c r="P940" s="54" t="n">
        <f aca="true">RAND()</f>
        <v>0.85304696489757</v>
      </c>
      <c r="Q940" s="54" t="n">
        <f aca="true">RAND()</f>
        <v>0.604309874681044</v>
      </c>
      <c r="R940" s="54" t="n">
        <f aca="true">RAND()</f>
        <v>0.231945704978064</v>
      </c>
      <c r="S940" s="54" t="n">
        <f aca="true">RAND()</f>
        <v>0.406707960695756</v>
      </c>
      <c r="T940" s="54" t="n">
        <f aca="true">RAND()</f>
        <v>0.117304543445256</v>
      </c>
      <c r="U940" s="54" t="n">
        <f aca="true">RAND()</f>
        <v>0.160406840021234</v>
      </c>
    </row>
    <row r="941" customFormat="false" ht="15" hidden="false" customHeight="false" outlineLevel="0" collapsed="false">
      <c r="A941" s="50" t="n">
        <v>861</v>
      </c>
      <c r="B941" s="51" t="n">
        <f aca="false">1+IF($G$6=$E$6,$F$6,IF(P941&lt;($F$6-$E$6)/($G$6-$E$6),$E$6+SQRT(P941*($G$6-$E$6)*($F$6-$E$6)),$G$6-SQRT((1-P941)*($G$6-$E$6)*($G$6-$F$6))))</f>
        <v>0.961405652265762</v>
      </c>
      <c r="C941" s="51" t="n">
        <f aca="false">1+IF($G$7=$E$7,$F$7,IF(Q941&lt;($F$7-$E$7)/($G$7-$E$7),$E$7+SQRT(Q941*($G$7-$E$7)*($F$7-$E$7)),$G$7-SQRT((1-Q941)*($G$7-$E$7)*($G$7-$F$7))))</f>
        <v>0.91109738350148</v>
      </c>
      <c r="D941" s="51" t="n">
        <f aca="false">1+IF($G$8=$E$8,$F$8,IF(R941&lt;($F$8-$E$8)/($G$8-$E$8),$E$8+SQRT(R941*($G$8-$E$8)*($F$8-$E$8)),$G$8-SQRT((1-R941)*($G$8-$E$8)*($G$8-$F$8))))</f>
        <v>1.07130094942766</v>
      </c>
      <c r="E941" s="51" t="n">
        <f aca="false">1+IF($G$9=$E$9,$F$9,IF(S941&lt;($F$9-$E$9)/($G$9-$E$9),$E$9+SQRT(S941*($G$9-$E$9)*($F$9-$E$9)),$G$9-SQRT((1-S941)*($G$9-$E$9)*($G$9-$F$9))))</f>
        <v>1.03229589093838</v>
      </c>
      <c r="F941" s="51" t="n">
        <f aca="false">1+IF($G$10=$E$10,$F$10,IF(T941&lt;($F$10-$E$10)/($G$10-$E$10),$E$10+SQRT(T941*($G$10-$E$10)*($F$10-$E$10)),$G$10-SQRT((1-T941)*($G$10-$E$10)*($G$10-$F$10))))</f>
        <v>0.983010414630354</v>
      </c>
      <c r="G941" s="52" t="n">
        <f aca="false">IF($G$11=$E$11,$F$11,IF(U941&lt;($F$11-$E$11)/($G$11-$E$11),$E$11+SQRT(U941*($G$11-$E$11)*($F$11-$E$11)),$G$11-SQRT((1-U941)*($G$11-$E$11)*($G$11-$F$11))))</f>
        <v>0.0881045511606156</v>
      </c>
      <c r="H941" s="53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-1966020829.26071</v>
      </c>
      <c r="I941" s="53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-72713163.8937555</v>
      </c>
      <c r="J941" s="53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145075616.960749</v>
      </c>
      <c r="K941" s="53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412014918.546772</v>
      </c>
      <c r="L941" s="53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514883463.894132</v>
      </c>
      <c r="M941" s="53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681381031.738018</v>
      </c>
      <c r="N941" s="53" t="n">
        <f aca="false">IF(COUNT('Business Case'!B11:G11)=0,"",H941+NPV(G941,I941:M941))</f>
        <v>-776470475.343559</v>
      </c>
      <c r="P941" s="54" t="n">
        <f aca="true">RAND()</f>
        <v>0.251376942012242</v>
      </c>
      <c r="Q941" s="54" t="n">
        <f aca="true">RAND()</f>
        <v>0.33008966904571</v>
      </c>
      <c r="R941" s="54" t="n">
        <f aca="true">RAND()</f>
        <v>0.945090966416408</v>
      </c>
      <c r="S941" s="54" t="n">
        <f aca="true">RAND()</f>
        <v>0.630553138933612</v>
      </c>
      <c r="T941" s="54" t="n">
        <f aca="true">RAND()</f>
        <v>0.0726458316045279</v>
      </c>
      <c r="U941" s="54" t="n">
        <f aca="true">RAND()</f>
        <v>0.065683749515035</v>
      </c>
    </row>
    <row r="942" customFormat="false" ht="15" hidden="false" customHeight="false" outlineLevel="0" collapsed="false">
      <c r="A942" s="50" t="n">
        <v>862</v>
      </c>
      <c r="B942" s="51" t="n">
        <f aca="false">1+IF($G$6=$E$6,$F$6,IF(P942&lt;($F$6-$E$6)/($G$6-$E$6),$E$6+SQRT(P942*($G$6-$E$6)*($F$6-$E$6)),$G$6-SQRT((1-P942)*($G$6-$E$6)*($G$6-$F$6))))</f>
        <v>1.02311076366812</v>
      </c>
      <c r="C942" s="51" t="n">
        <f aca="false">1+IF($G$7=$E$7,$F$7,IF(Q942&lt;($F$7-$E$7)/($G$7-$E$7),$E$7+SQRT(Q942*($G$7-$E$7)*($F$7-$E$7)),$G$7-SQRT((1-Q942)*($G$7-$E$7)*($G$7-$F$7))))</f>
        <v>0.828071361717047</v>
      </c>
      <c r="D942" s="51" t="n">
        <f aca="false">1+IF($G$8=$E$8,$F$8,IF(R942&lt;($F$8-$E$8)/($G$8-$E$8),$E$8+SQRT(R942*($G$8-$E$8)*($F$8-$E$8)),$G$8-SQRT((1-R942)*($G$8-$E$8)*($G$8-$F$8))))</f>
        <v>1.02077278255628</v>
      </c>
      <c r="E942" s="51" t="n">
        <f aca="false">1+IF($G$9=$E$9,$F$9,IF(S942&lt;($F$9-$E$9)/($G$9-$E$9),$E$9+SQRT(S942*($G$9-$E$9)*($F$9-$E$9)),$G$9-SQRT((1-S942)*($G$9-$E$9)*($G$9-$F$9))))</f>
        <v>1.05189020028775</v>
      </c>
      <c r="F942" s="51" t="n">
        <f aca="false">1+IF($G$10=$E$10,$F$10,IF(T942&lt;($F$10-$E$10)/($G$10-$E$10),$E$10+SQRT(T942*($G$10-$E$10)*($F$10-$E$10)),$G$10-SQRT((1-T942)*($G$10-$E$10)*($G$10-$F$10))))</f>
        <v>0.994598907499898</v>
      </c>
      <c r="G942" s="52" t="n">
        <f aca="false">IF($G$11=$E$11,$F$11,IF(U942&lt;($F$11-$E$11)/($G$11-$E$11),$E$11+SQRT(U942*($G$11-$E$11)*($F$11-$E$11)),$G$11-SQRT((1-U942)*($G$11-$E$11)*($G$11-$F$11))))</f>
        <v>0.0981084939252712</v>
      </c>
      <c r="H942" s="53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-1989197814.9998</v>
      </c>
      <c r="I942" s="53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-31745038.7757583</v>
      </c>
      <c r="J942" s="53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229467899.893088</v>
      </c>
      <c r="K942" s="53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540410783.936928</v>
      </c>
      <c r="L942" s="53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656761296.969008</v>
      </c>
      <c r="M942" s="53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817798731.085894</v>
      </c>
      <c r="N942" s="53" t="n">
        <f aca="false">IF(COUNT('Business Case'!B11:G11)=0,"",H942+NPV(G942,I942:M942))</f>
        <v>-455836877.747966</v>
      </c>
      <c r="P942" s="54" t="n">
        <f aca="true">RAND()</f>
        <v>0.903595862598462</v>
      </c>
      <c r="Q942" s="54" t="n">
        <f aca="true">RAND()</f>
        <v>0.12149832364488</v>
      </c>
      <c r="R942" s="54" t="n">
        <f aca="true">RAND()</f>
        <v>0.581536534408371</v>
      </c>
      <c r="S942" s="54" t="n">
        <f aca="true">RAND()</f>
        <v>0.743319125344597</v>
      </c>
      <c r="T942" s="54" t="n">
        <f aca="true">RAND()</f>
        <v>0.132604170012296</v>
      </c>
      <c r="U942" s="54" t="n">
        <f aca="true">RAND()</f>
        <v>0.327917552241583</v>
      </c>
    </row>
    <row r="943" customFormat="false" ht="15" hidden="false" customHeight="false" outlineLevel="0" collapsed="false">
      <c r="A943" s="50" t="n">
        <v>863</v>
      </c>
      <c r="B943" s="51" t="n">
        <f aca="false">1+IF($G$6=$E$6,$F$6,IF(P943&lt;($F$6-$E$6)/($G$6-$E$6),$E$6+SQRT(P943*($G$6-$E$6)*($F$6-$E$6)),$G$6-SQRT((1-P943)*($G$6-$E$6)*($G$6-$F$6))))</f>
        <v>0.936377114251538</v>
      </c>
      <c r="C943" s="51" t="n">
        <f aca="false">1+IF($G$7=$E$7,$F$7,IF(Q943&lt;($F$7-$E$7)/($G$7-$E$7),$E$7+SQRT(Q943*($G$7-$E$7)*($F$7-$E$7)),$G$7-SQRT((1-Q943)*($G$7-$E$7)*($G$7-$F$7))))</f>
        <v>1.05606341232716</v>
      </c>
      <c r="D943" s="51" t="n">
        <f aca="false">1+IF($G$8=$E$8,$F$8,IF(R943&lt;($F$8-$E$8)/($G$8-$E$8),$E$8+SQRT(R943*($G$8-$E$8)*($F$8-$E$8)),$G$8-SQRT((1-R943)*($G$8-$E$8)*($G$8-$F$8))))</f>
        <v>1.00595386390526</v>
      </c>
      <c r="E943" s="51" t="n">
        <f aca="false">1+IF($G$9=$E$9,$F$9,IF(S943&lt;($F$9-$E$9)/($G$9-$E$9),$E$9+SQRT(S943*($G$9-$E$9)*($F$9-$E$9)),$G$9-SQRT((1-S943)*($G$9-$E$9)*($G$9-$F$9))))</f>
        <v>1.04616329999086</v>
      </c>
      <c r="F943" s="51" t="n">
        <f aca="false">1+IF($G$10=$E$10,$F$10,IF(T943&lt;($F$10-$E$10)/($G$10-$E$10),$E$10+SQRT(T943*($G$10-$E$10)*($F$10-$E$10)),$G$10-SQRT((1-T943)*($G$10-$E$10)*($G$10-$F$10))))</f>
        <v>1.0478262444676</v>
      </c>
      <c r="G943" s="52" t="n">
        <f aca="false">IF($G$11=$E$11,$F$11,IF(U943&lt;($F$11-$E$11)/($G$11-$E$11),$E$11+SQRT(U943*($G$11-$E$11)*($F$11-$E$11)),$G$11-SQRT((1-U943)*($G$11-$E$11)*($G$11-$F$11))))</f>
        <v>0.098380450653948</v>
      </c>
      <c r="H943" s="53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-2095652488.9352</v>
      </c>
      <c r="I943" s="53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-38690327.6091839</v>
      </c>
      <c r="J943" s="53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227429598.455492</v>
      </c>
      <c r="K943" s="53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545940836.743549</v>
      </c>
      <c r="L943" s="53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668822950.74404</v>
      </c>
      <c r="M943" s="53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856788046.628172</v>
      </c>
      <c r="N943" s="53" t="n">
        <f aca="false">IF(COUNT('Business Case'!B11:G11)=0,"",H943+NPV(G943,I943:M943))</f>
        <v>-534926852.206617</v>
      </c>
      <c r="P943" s="54" t="n">
        <f aca="true">RAND()</f>
        <v>0.0882196294179612</v>
      </c>
      <c r="Q943" s="54" t="n">
        <f aca="true">RAND()</f>
        <v>0.86927285179826</v>
      </c>
      <c r="R943" s="54" t="n">
        <f aca="true">RAND()</f>
        <v>0.410354952376591</v>
      </c>
      <c r="S943" s="54" t="n">
        <f aca="true">RAND()</f>
        <v>0.712478392832308</v>
      </c>
      <c r="T943" s="54" t="n">
        <f aca="true">RAND()</f>
        <v>0.455010300985679</v>
      </c>
      <c r="U943" s="54" t="n">
        <f aca="true">RAND()</f>
        <v>0.337840966242217</v>
      </c>
    </row>
    <row r="944" customFormat="false" ht="15" hidden="false" customHeight="false" outlineLevel="0" collapsed="false">
      <c r="A944" s="50" t="n">
        <v>864</v>
      </c>
      <c r="B944" s="51" t="n">
        <f aca="false">1+IF($G$6=$E$6,$F$6,IF(P944&lt;($F$6-$E$6)/($G$6-$E$6),$E$6+SQRT(P944*($G$6-$E$6)*($F$6-$E$6)),$G$6-SQRT((1-P944)*($G$6-$E$6)*($G$6-$F$6))))</f>
        <v>1.00037790433833</v>
      </c>
      <c r="C944" s="51" t="n">
        <f aca="false">1+IF($G$7=$E$7,$F$7,IF(Q944&lt;($F$7-$E$7)/($G$7-$E$7),$E$7+SQRT(Q944*($G$7-$E$7)*($F$7-$E$7)),$G$7-SQRT((1-Q944)*($G$7-$E$7)*($G$7-$F$7))))</f>
        <v>0.933584618832978</v>
      </c>
      <c r="D944" s="51" t="n">
        <f aca="false">1+IF($G$8=$E$8,$F$8,IF(R944&lt;($F$8-$E$8)/($G$8-$E$8),$E$8+SQRT(R944*($G$8-$E$8)*($F$8-$E$8)),$G$8-SQRT((1-R944)*($G$8-$E$8)*($G$8-$F$8))))</f>
        <v>0.956199634220228</v>
      </c>
      <c r="E944" s="51" t="n">
        <f aca="false">1+IF($G$9=$E$9,$F$9,IF(S944&lt;($F$9-$E$9)/($G$9-$E$9),$E$9+SQRT(S944*($G$9-$E$9)*($F$9-$E$9)),$G$9-SQRT((1-S944)*($G$9-$E$9)*($G$9-$F$9))))</f>
        <v>0.981319902108543</v>
      </c>
      <c r="F944" s="51" t="n">
        <f aca="false">1+IF($G$10=$E$10,$F$10,IF(T944&lt;($F$10-$E$10)/($G$10-$E$10),$E$10+SQRT(T944*($G$10-$E$10)*($F$10-$E$10)),$G$10-SQRT((1-T944)*($G$10-$E$10)*($G$10-$F$10))))</f>
        <v>1.1596951139122</v>
      </c>
      <c r="G944" s="52" t="n">
        <f aca="false">IF($G$11=$E$11,$F$11,IF(U944&lt;($F$11-$E$11)/($G$11-$E$11),$E$11+SQRT(U944*($G$11-$E$11)*($F$11-$E$11)),$G$11-SQRT((1-U944)*($G$11-$E$11)*($G$11-$F$11))))</f>
        <v>0.0953058865209334</v>
      </c>
      <c r="H944" s="53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-2319390227.82439</v>
      </c>
      <c r="I944" s="53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4045937.29940577</v>
      </c>
      <c r="J944" s="53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312020392.156497</v>
      </c>
      <c r="K944" s="53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677979602.709198</v>
      </c>
      <c r="L944" s="53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812914631.719316</v>
      </c>
      <c r="M944" s="53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990437457.370297</v>
      </c>
      <c r="N944" s="53" t="n">
        <f aca="false">IF(COUNT('Business Case'!B11:G11)=0,"",H944+NPV(G944,I944:M944))</f>
        <v>-346573591.60572</v>
      </c>
      <c r="P944" s="54" t="n">
        <f aca="true">RAND()</f>
        <v>0.671686349619163</v>
      </c>
      <c r="Q944" s="54" t="n">
        <f aca="true">RAND()</f>
        <v>0.404161290039613</v>
      </c>
      <c r="R944" s="54" t="n">
        <f aca="true">RAND()</f>
        <v>0.00512472859528247</v>
      </c>
      <c r="S944" s="54" t="n">
        <f aca="true">RAND()</f>
        <v>0.26451705915772</v>
      </c>
      <c r="T944" s="54" t="n">
        <f aca="true">RAND()</f>
        <v>0.891267033982251</v>
      </c>
      <c r="U944" s="54" t="n">
        <f aca="true">RAND()</f>
        <v>0.234270162191689</v>
      </c>
    </row>
    <row r="945" customFormat="false" ht="15" hidden="false" customHeight="false" outlineLevel="0" collapsed="false">
      <c r="A945" s="50" t="n">
        <v>865</v>
      </c>
      <c r="B945" s="51" t="n">
        <f aca="false">1+IF($G$6=$E$6,$F$6,IF(P945&lt;($F$6-$E$6)/($G$6-$E$6),$E$6+SQRT(P945*($G$6-$E$6)*($F$6-$E$6)),$G$6-SQRT((1-P945)*($G$6-$E$6)*($G$6-$F$6))))</f>
        <v>0.974697126102309</v>
      </c>
      <c r="C945" s="51" t="n">
        <f aca="false">1+IF($G$7=$E$7,$F$7,IF(Q945&lt;($F$7-$E$7)/($G$7-$E$7),$E$7+SQRT(Q945*($G$7-$E$7)*($F$7-$E$7)),$G$7-SQRT((1-Q945)*($G$7-$E$7)*($G$7-$F$7))))</f>
        <v>1.04404689401216</v>
      </c>
      <c r="D945" s="51" t="n">
        <f aca="false">1+IF($G$8=$E$8,$F$8,IF(R945&lt;($F$8-$E$8)/($G$8-$E$8),$E$8+SQRT(R945*($G$8-$E$8)*($F$8-$E$8)),$G$8-SQRT((1-R945)*($G$8-$E$8)*($G$8-$F$8))))</f>
        <v>0.984650759395518</v>
      </c>
      <c r="E945" s="51" t="n">
        <f aca="false">1+IF($G$9=$E$9,$F$9,IF(S945&lt;($F$9-$E$9)/($G$9-$E$9),$E$9+SQRT(S945*($G$9-$E$9)*($F$9-$E$9)),$G$9-SQRT((1-S945)*($G$9-$E$9)*($G$9-$F$9))))</f>
        <v>1.04785360495188</v>
      </c>
      <c r="F945" s="51" t="n">
        <f aca="false">1+IF($G$10=$E$10,$F$10,IF(T945&lt;($F$10-$E$10)/($G$10-$E$10),$E$10+SQRT(T945*($G$10-$E$10)*($F$10-$E$10)),$G$10-SQRT((1-T945)*($G$10-$E$10)*($G$10-$F$10))))</f>
        <v>1.13102817193171</v>
      </c>
      <c r="G945" s="52" t="n">
        <f aca="false">IF($G$11=$E$11,$F$11,IF(U945&lt;($F$11-$E$11)/($G$11-$E$11),$E$11+SQRT(U945*($G$11-$E$11)*($F$11-$E$11)),$G$11-SQRT((1-U945)*($G$11-$E$11)*($G$11-$F$11))))</f>
        <v>0.105677649758373</v>
      </c>
      <c r="H945" s="53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-2262056343.86342</v>
      </c>
      <c r="I945" s="53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-7614478.41438766</v>
      </c>
      <c r="J945" s="53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299632556.63712</v>
      </c>
      <c r="K945" s="53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663431000.285212</v>
      </c>
      <c r="L945" s="53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801015954.401426</v>
      </c>
      <c r="M945" s="53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994446971.112835</v>
      </c>
      <c r="N945" s="53" t="n">
        <f aca="false">IF(COUNT('Business Case'!B11:G11)=0,"",H945+NPV(G945,I945:M945))</f>
        <v>-395308011.218273</v>
      </c>
      <c r="P945" s="54" t="n">
        <f aca="true">RAND()</f>
        <v>0.37197737652962</v>
      </c>
      <c r="Q945" s="54" t="n">
        <f aca="true">RAND()</f>
        <v>0.833687990096719</v>
      </c>
      <c r="R945" s="54" t="n">
        <f aca="true">RAND()</f>
        <v>0.160090016891476</v>
      </c>
      <c r="S945" s="54" t="n">
        <f aca="true">RAND()</f>
        <v>0.721763039431303</v>
      </c>
      <c r="T945" s="54" t="n">
        <f aca="true">RAND()</f>
        <v>0.811276055014518</v>
      </c>
      <c r="U945" s="54" t="n">
        <f aca="true">RAND()</f>
        <v>0.6056155191491</v>
      </c>
    </row>
    <row r="946" customFormat="false" ht="15" hidden="false" customHeight="false" outlineLevel="0" collapsed="false">
      <c r="A946" s="50" t="n">
        <v>866</v>
      </c>
      <c r="B946" s="51" t="n">
        <f aca="false">1+IF($G$6=$E$6,$F$6,IF(P946&lt;($F$6-$E$6)/($G$6-$E$6),$E$6+SQRT(P946*($G$6-$E$6)*($F$6-$E$6)),$G$6-SQRT((1-P946)*($G$6-$E$6)*($G$6-$F$6))))</f>
        <v>0.964496018224775</v>
      </c>
      <c r="C946" s="51" t="n">
        <f aca="false">1+IF($G$7=$E$7,$F$7,IF(Q946&lt;($F$7-$E$7)/($G$7-$E$7),$E$7+SQRT(Q946*($G$7-$E$7)*($F$7-$E$7)),$G$7-SQRT((1-Q946)*($G$7-$E$7)*($G$7-$F$7))))</f>
        <v>0.87028791061458</v>
      </c>
      <c r="D946" s="51" t="n">
        <f aca="false">1+IF($G$8=$E$8,$F$8,IF(R946&lt;($F$8-$E$8)/($G$8-$E$8),$E$8+SQRT(R946*($G$8-$E$8)*($F$8-$E$8)),$G$8-SQRT((1-R946)*($G$8-$E$8)*($G$8-$F$8))))</f>
        <v>1.03561199167196</v>
      </c>
      <c r="E946" s="51" t="n">
        <f aca="false">1+IF($G$9=$E$9,$F$9,IF(S946&lt;($F$9-$E$9)/($G$9-$E$9),$E$9+SQRT(S946*($G$9-$E$9)*($F$9-$E$9)),$G$9-SQRT((1-S946)*($G$9-$E$9)*($G$9-$F$9))))</f>
        <v>1.07135088787787</v>
      </c>
      <c r="F946" s="51" t="n">
        <f aca="false">1+IF($G$10=$E$10,$F$10,IF(T946&lt;($F$10-$E$10)/($G$10-$E$10),$E$10+SQRT(T946*($G$10-$E$10)*($F$10-$E$10)),$G$10-SQRT((1-T946)*($G$10-$E$10)*($G$10-$F$10))))</f>
        <v>1.1075334227394</v>
      </c>
      <c r="G946" s="52" t="n">
        <f aca="false">IF($G$11=$E$11,$F$11,IF(U946&lt;($F$11-$E$11)/($G$11-$E$11),$E$11+SQRT(U946*($G$11-$E$11)*($F$11-$E$11)),$G$11-SQRT((1-U946)*($G$11-$E$11)*($G$11-$F$11))))</f>
        <v>0.09180085097197</v>
      </c>
      <c r="H946" s="53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-2215066845.47879</v>
      </c>
      <c r="I946" s="53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-80476727.9703077</v>
      </c>
      <c r="J946" s="53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145659919.987477</v>
      </c>
      <c r="K946" s="53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427173239.082232</v>
      </c>
      <c r="L946" s="53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531561413.333441</v>
      </c>
      <c r="M946" s="53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691112517.125816</v>
      </c>
      <c r="N946" s="53" t="n">
        <f aca="false">IF(COUNT('Business Case'!B11:G11)=0,"",H946+NPV(G946,I946:M946))</f>
        <v>-1018778781.25572</v>
      </c>
      <c r="P946" s="54" t="n">
        <f aca="true">RAND()</f>
        <v>0.277315757790033</v>
      </c>
      <c r="Q946" s="54" t="n">
        <f aca="true">RAND()</f>
        <v>0.214799796307253</v>
      </c>
      <c r="R946" s="54" t="n">
        <f aca="true">RAND()</f>
        <v>0.723612292236553</v>
      </c>
      <c r="S946" s="54" t="n">
        <f aca="true">RAND()</f>
        <v>0.835048457664008</v>
      </c>
      <c r="T946" s="54" t="n">
        <f aca="true">RAND()</f>
        <v>0.729376991515316</v>
      </c>
      <c r="U946" s="54" t="n">
        <f aca="true">RAND()</f>
        <v>0.139260083662645</v>
      </c>
    </row>
    <row r="947" customFormat="false" ht="15" hidden="false" customHeight="false" outlineLevel="0" collapsed="false">
      <c r="A947" s="50" t="n">
        <v>867</v>
      </c>
      <c r="B947" s="51" t="n">
        <f aca="false">1+IF($G$6=$E$6,$F$6,IF(P947&lt;($F$6-$E$6)/($G$6-$E$6),$E$6+SQRT(P947*($G$6-$E$6)*($F$6-$E$6)),$G$6-SQRT((1-P947)*($G$6-$E$6)*($G$6-$F$6))))</f>
        <v>1.0100806578679</v>
      </c>
      <c r="C947" s="51" t="n">
        <f aca="false">1+IF($G$7=$E$7,$F$7,IF(Q947&lt;($F$7-$E$7)/($G$7-$E$7),$E$7+SQRT(Q947*($G$7-$E$7)*($F$7-$E$7)),$G$7-SQRT((1-Q947)*($G$7-$E$7)*($G$7-$F$7))))</f>
        <v>0.915136947318428</v>
      </c>
      <c r="D947" s="51" t="n">
        <f aca="false">1+IF($G$8=$E$8,$F$8,IF(R947&lt;($F$8-$E$8)/($G$8-$E$8),$E$8+SQRT(R947*($G$8-$E$8)*($F$8-$E$8)),$G$8-SQRT((1-R947)*($G$8-$E$8)*($G$8-$F$8))))</f>
        <v>1.02487541916354</v>
      </c>
      <c r="E947" s="51" t="n">
        <f aca="false">1+IF($G$9=$E$9,$F$9,IF(S947&lt;($F$9-$E$9)/($G$9-$E$9),$E$9+SQRT(S947*($G$9-$E$9)*($F$9-$E$9)),$G$9-SQRT((1-S947)*($G$9-$E$9)*($G$9-$F$9))))</f>
        <v>1.07737898768677</v>
      </c>
      <c r="F947" s="51" t="n">
        <f aca="false">1+IF($G$10=$E$10,$F$10,IF(T947&lt;($F$10-$E$10)/($G$10-$E$10),$E$10+SQRT(T947*($G$10-$E$10)*($F$10-$E$10)),$G$10-SQRT((1-T947)*($G$10-$E$10)*($G$10-$F$10))))</f>
        <v>1.17573868691389</v>
      </c>
      <c r="G947" s="52" t="n">
        <f aca="false">IF($G$11=$E$11,$F$11,IF(U947&lt;($F$11-$E$11)/($G$11-$E$11),$E$11+SQRT(U947*($G$11-$E$11)*($F$11-$E$11)),$G$11-SQRT((1-U947)*($G$11-$E$11)*($G$11-$F$11))))</f>
        <v>0.110240471992294</v>
      </c>
      <c r="H947" s="53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-2351477373.82779</v>
      </c>
      <c r="I947" s="53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-41707420.6582115</v>
      </c>
      <c r="J947" s="53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235281252.232163</v>
      </c>
      <c r="K947" s="53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571056859.468232</v>
      </c>
      <c r="L947" s="53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695332372.303782</v>
      </c>
      <c r="M947" s="53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871035125.933623</v>
      </c>
      <c r="N947" s="53" t="n">
        <f aca="false">IF(COUNT('Business Case'!B11:G11)=0,"",H947+NPV(G947,I947:M947))</f>
        <v>-806888409.619034</v>
      </c>
      <c r="P947" s="54" t="n">
        <f aca="true">RAND()</f>
        <v>0.787526149832016</v>
      </c>
      <c r="Q947" s="54" t="n">
        <f aca="true">RAND()</f>
        <v>0.342843748899943</v>
      </c>
      <c r="R947" s="54" t="n">
        <f aca="true">RAND()</f>
        <v>0.623753156943062</v>
      </c>
      <c r="S947" s="54" t="n">
        <f aca="true">RAND()</f>
        <v>0.859365028549364</v>
      </c>
      <c r="T947" s="54" t="n">
        <f aca="true">RAND()</f>
        <v>0.926470098383032</v>
      </c>
      <c r="U947" s="54" t="n">
        <f aca="true">RAND()</f>
        <v>0.739707368608443</v>
      </c>
    </row>
    <row r="948" customFormat="false" ht="15" hidden="false" customHeight="false" outlineLevel="0" collapsed="false">
      <c r="A948" s="50" t="n">
        <v>868</v>
      </c>
      <c r="B948" s="51" t="n">
        <f aca="false">1+IF($G$6=$E$6,$F$6,IF(P948&lt;($F$6-$E$6)/($G$6-$E$6),$E$6+SQRT(P948*($G$6-$E$6)*($F$6-$E$6)),$G$6-SQRT((1-P948)*($G$6-$E$6)*($G$6-$F$6))))</f>
        <v>1.00638837108542</v>
      </c>
      <c r="C948" s="51" t="n">
        <f aca="false">1+IF($G$7=$E$7,$F$7,IF(Q948&lt;($F$7-$E$7)/($G$7-$E$7),$E$7+SQRT(Q948*($G$7-$E$7)*($F$7-$E$7)),$G$7-SQRT((1-Q948)*($G$7-$E$7)*($G$7-$F$7))))</f>
        <v>1.03768354586742</v>
      </c>
      <c r="D948" s="51" t="n">
        <f aca="false">1+IF($G$8=$E$8,$F$8,IF(R948&lt;($F$8-$E$8)/($G$8-$E$8),$E$8+SQRT(R948*($G$8-$E$8)*($F$8-$E$8)),$G$8-SQRT((1-R948)*($G$8-$E$8)*($G$8-$F$8))))</f>
        <v>1.0025982920703</v>
      </c>
      <c r="E948" s="51" t="n">
        <f aca="false">1+IF($G$9=$E$9,$F$9,IF(S948&lt;($F$9-$E$9)/($G$9-$E$9),$E$9+SQRT(S948*($G$9-$E$9)*($F$9-$E$9)),$G$9-SQRT((1-S948)*($G$9-$E$9)*($G$9-$F$9))))</f>
        <v>0.955002575848379</v>
      </c>
      <c r="F948" s="51" t="n">
        <f aca="false">1+IF($G$10=$E$10,$F$10,IF(T948&lt;($F$10-$E$10)/($G$10-$E$10),$E$10+SQRT(T948*($G$10-$E$10)*($F$10-$E$10)),$G$10-SQRT((1-T948)*($G$10-$E$10)*($G$10-$F$10))))</f>
        <v>1.1296465454683</v>
      </c>
      <c r="G948" s="52" t="n">
        <f aca="false">IF($G$11=$E$11,$F$11,IF(U948&lt;($F$11-$E$11)/($G$11-$E$11),$E$11+SQRT(U948*($G$11-$E$11)*($F$11-$E$11)),$G$11-SQRT((1-U948)*($G$11-$E$11)*($G$11-$F$11))))</f>
        <v>0.120506404830438</v>
      </c>
      <c r="H948" s="53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-2259293090.93659</v>
      </c>
      <c r="I948" s="53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19872862.8545826</v>
      </c>
      <c r="J948" s="53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342648914.495324</v>
      </c>
      <c r="K948" s="53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721907293.40948</v>
      </c>
      <c r="L948" s="53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865590755.92552</v>
      </c>
      <c r="M948" s="53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1064093705.08905</v>
      </c>
      <c r="N948" s="53" t="n">
        <f aca="false">IF(COUNT('Business Case'!B11:G11)=0,"",H948+NPV(G948,I948:M948))</f>
        <v>-303966755.646074</v>
      </c>
      <c r="P948" s="54" t="n">
        <f aca="true">RAND()</f>
        <v>0.74640344312229</v>
      </c>
      <c r="Q948" s="54" t="n">
        <f aca="true">RAND()</f>
        <v>0.813111320460496</v>
      </c>
      <c r="R948" s="54" t="n">
        <f aca="true">RAND()</f>
        <v>0.367527152825224</v>
      </c>
      <c r="S948" s="54" t="n">
        <f aca="true">RAND()</f>
        <v>0.121011333998266</v>
      </c>
      <c r="T948" s="54" t="n">
        <f aca="true">RAND()</f>
        <v>0.806867279763804</v>
      </c>
      <c r="U948" s="54" t="n">
        <f aca="true">RAND()</f>
        <v>0.939914433837647</v>
      </c>
    </row>
    <row r="949" customFormat="false" ht="15" hidden="false" customHeight="false" outlineLevel="0" collapsed="false">
      <c r="A949" s="50" t="n">
        <v>869</v>
      </c>
      <c r="B949" s="51" t="n">
        <f aca="false">1+IF($G$6=$E$6,$F$6,IF(P949&lt;($F$6-$E$6)/($G$6-$E$6),$E$6+SQRT(P949*($G$6-$E$6)*($F$6-$E$6)),$G$6-SQRT((1-P949)*($G$6-$E$6)*($G$6-$F$6))))</f>
        <v>0.970024288114439</v>
      </c>
      <c r="C949" s="51" t="n">
        <f aca="false">1+IF($G$7=$E$7,$F$7,IF(Q949&lt;($F$7-$E$7)/($G$7-$E$7),$E$7+SQRT(Q949*($G$7-$E$7)*($F$7-$E$7)),$G$7-SQRT((1-Q949)*($G$7-$E$7)*($G$7-$F$7))))</f>
        <v>0.905136153189199</v>
      </c>
      <c r="D949" s="51" t="n">
        <f aca="false">1+IF($G$8=$E$8,$F$8,IF(R949&lt;($F$8-$E$8)/($G$8-$E$8),$E$8+SQRT(R949*($G$8-$E$8)*($F$8-$E$8)),$G$8-SQRT((1-R949)*($G$8-$E$8)*($G$8-$F$8))))</f>
        <v>1.00843164665495</v>
      </c>
      <c r="E949" s="51" t="n">
        <f aca="false">1+IF($G$9=$E$9,$F$9,IF(S949&lt;($F$9-$E$9)/($G$9-$E$9),$E$9+SQRT(S949*($G$9-$E$9)*($F$9-$E$9)),$G$9-SQRT((1-S949)*($G$9-$E$9)*($G$9-$F$9))))</f>
        <v>1.10129987081367</v>
      </c>
      <c r="F949" s="51" t="n">
        <f aca="false">1+IF($G$10=$E$10,$F$10,IF(T949&lt;($F$10-$E$10)/($G$10-$E$10),$E$10+SQRT(T949*($G$10-$E$10)*($F$10-$E$10)),$G$10-SQRT((1-T949)*($G$10-$E$10)*($G$10-$F$10))))</f>
        <v>1.02292682988516</v>
      </c>
      <c r="G949" s="52" t="n">
        <f aca="false">IF($G$11=$E$11,$F$11,IF(U949&lt;($F$11-$E$11)/($G$11-$E$11),$E$11+SQRT(U949*($G$11-$E$11)*($F$11-$E$11)),$G$11-SQRT((1-U949)*($G$11-$E$11)*($G$11-$F$11))))</f>
        <v>0.0914702432371443</v>
      </c>
      <c r="H949" s="53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-2045853659.77033</v>
      </c>
      <c r="I949" s="53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-52528883.8653958</v>
      </c>
      <c r="J949" s="53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199355486.976493</v>
      </c>
      <c r="K949" s="53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502386199.312639</v>
      </c>
      <c r="L949" s="53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616691476.319312</v>
      </c>
      <c r="M949" s="53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783582486.645883</v>
      </c>
      <c r="N949" s="53" t="n">
        <f aca="false">IF(COUNT('Business Case'!B11:G11)=0,"",H949+NPV(G949,I949:M949))</f>
        <v>-599885222.45807</v>
      </c>
      <c r="P949" s="54" t="n">
        <f aca="true">RAND()</f>
        <v>0.326893395062266</v>
      </c>
      <c r="Q949" s="54" t="n">
        <f aca="true">RAND()</f>
        <v>0.311709935890833</v>
      </c>
      <c r="R949" s="54" t="n">
        <f aca="true">RAND()</f>
        <v>0.441015777711753</v>
      </c>
      <c r="S949" s="54" t="n">
        <f aca="true">RAND()</f>
        <v>0.936754597792914</v>
      </c>
      <c r="T949" s="54" t="n">
        <f aca="true">RAND()</f>
        <v>0.312503672186643</v>
      </c>
      <c r="U949" s="54" t="n">
        <f aca="true">RAND()</f>
        <v>0.131566479919255</v>
      </c>
    </row>
    <row r="950" customFormat="false" ht="15" hidden="false" customHeight="false" outlineLevel="0" collapsed="false">
      <c r="A950" s="50" t="n">
        <v>870</v>
      </c>
      <c r="B950" s="51" t="n">
        <f aca="false">1+IF($G$6=$E$6,$F$6,IF(P950&lt;($F$6-$E$6)/($G$6-$E$6),$E$6+SQRT(P950*($G$6-$E$6)*($F$6-$E$6)),$G$6-SQRT((1-P950)*($G$6-$E$6)*($G$6-$F$6))))</f>
        <v>1.00105560601236</v>
      </c>
      <c r="C950" s="51" t="n">
        <f aca="false">1+IF($G$7=$E$7,$F$7,IF(Q950&lt;($F$7-$E$7)/($G$7-$E$7),$E$7+SQRT(Q950*($G$7-$E$7)*($F$7-$E$7)),$G$7-SQRT((1-Q950)*($G$7-$E$7)*($G$7-$F$7))))</f>
        <v>0.998551074872174</v>
      </c>
      <c r="D950" s="51" t="n">
        <f aca="false">1+IF($G$8=$E$8,$F$8,IF(R950&lt;($F$8-$E$8)/($G$8-$E$8),$E$8+SQRT(R950*($G$8-$E$8)*($F$8-$E$8)),$G$8-SQRT((1-R950)*($G$8-$E$8)*($G$8-$F$8))))</f>
        <v>1.0017254190442</v>
      </c>
      <c r="E950" s="51" t="n">
        <f aca="false">1+IF($G$9=$E$9,$F$9,IF(S950&lt;($F$9-$E$9)/($G$9-$E$9),$E$9+SQRT(S950*($G$9-$E$9)*($F$9-$E$9)),$G$9-SQRT((1-S950)*($G$9-$E$9)*($G$9-$F$9))))</f>
        <v>0.954754276006083</v>
      </c>
      <c r="F950" s="51" t="n">
        <f aca="false">1+IF($G$10=$E$10,$F$10,IF(T950&lt;($F$10-$E$10)/($G$10-$E$10),$E$10+SQRT(T950*($G$10-$E$10)*($F$10-$E$10)),$G$10-SQRT((1-T950)*($G$10-$E$10)*($G$10-$F$10))))</f>
        <v>1.03301686882419</v>
      </c>
      <c r="G950" s="52" t="n">
        <f aca="false">IF($G$11=$E$11,$F$11,IF(U950&lt;($F$11-$E$11)/($G$11-$E$11),$E$11+SQRT(U950*($G$11-$E$11)*($F$11-$E$11)),$G$11-SQRT((1-U950)*($G$11-$E$11)*($G$11-$F$11))))</f>
        <v>0.0960557755819808</v>
      </c>
      <c r="H950" s="53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-2066033737.64837</v>
      </c>
      <c r="I950" s="53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15801051.6169914</v>
      </c>
      <c r="J950" s="53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322489379.212548</v>
      </c>
      <c r="K950" s="53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680828550.249314</v>
      </c>
      <c r="L950" s="53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817604346.813221</v>
      </c>
      <c r="M950" s="53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1007609293.98952</v>
      </c>
      <c r="N950" s="53" t="n">
        <f aca="false">IF(COUNT('Business Case'!B11:G11)=0,"",H950+NPV(G950,I950:M950))</f>
        <v>-62615992.1136398</v>
      </c>
      <c r="P950" s="54" t="n">
        <f aca="true">RAND()</f>
        <v>0.680592839624388</v>
      </c>
      <c r="Q950" s="54" t="n">
        <f aca="true">RAND()</f>
        <v>0.660242550424668</v>
      </c>
      <c r="R950" s="54" t="n">
        <f aca="true">RAND()</f>
        <v>0.356140449197474</v>
      </c>
      <c r="S950" s="54" t="n">
        <f aca="true">RAND()</f>
        <v>0.119921229638014</v>
      </c>
      <c r="T950" s="54" t="n">
        <f aca="true">RAND()</f>
        <v>0.372244277135199</v>
      </c>
      <c r="U950" s="54" t="n">
        <f aca="true">RAND()</f>
        <v>0.25778792953893</v>
      </c>
    </row>
    <row r="951" customFormat="false" ht="15" hidden="false" customHeight="false" outlineLevel="0" collapsed="false">
      <c r="A951" s="50" t="n">
        <v>871</v>
      </c>
      <c r="B951" s="51" t="n">
        <f aca="false">1+IF($G$6=$E$6,$F$6,IF(P951&lt;($F$6-$E$6)/($G$6-$E$6),$E$6+SQRT(P951*($G$6-$E$6)*($F$6-$E$6)),$G$6-SQRT((1-P951)*($G$6-$E$6)*($G$6-$F$6))))</f>
        <v>1.01333269225742</v>
      </c>
      <c r="C951" s="51" t="n">
        <f aca="false">1+IF($G$7=$E$7,$F$7,IF(Q951&lt;($F$7-$E$7)/($G$7-$E$7),$E$7+SQRT(Q951*($G$7-$E$7)*($F$7-$E$7)),$G$7-SQRT((1-Q951)*($G$7-$E$7)*($G$7-$F$7))))</f>
        <v>0.876827508228815</v>
      </c>
      <c r="D951" s="51" t="n">
        <f aca="false">1+IF($G$8=$E$8,$F$8,IF(R951&lt;($F$8-$E$8)/($G$8-$E$8),$E$8+SQRT(R951*($G$8-$E$8)*($F$8-$E$8)),$G$8-SQRT((1-R951)*($G$8-$E$8)*($G$8-$F$8))))</f>
        <v>1.08747479181294</v>
      </c>
      <c r="E951" s="51" t="n">
        <f aca="false">1+IF($G$9=$E$9,$F$9,IF(S951&lt;($F$9-$E$9)/($G$9-$E$9),$E$9+SQRT(S951*($G$9-$E$9)*($F$9-$E$9)),$G$9-SQRT((1-S951)*($G$9-$E$9)*($G$9-$F$9))))</f>
        <v>0.935901031914227</v>
      </c>
      <c r="F951" s="51" t="n">
        <f aca="false">1+IF($G$10=$E$10,$F$10,IF(T951&lt;($F$10-$E$10)/($G$10-$E$10),$E$10+SQRT(T951*($G$10-$E$10)*($F$10-$E$10)),$G$10-SQRT((1-T951)*($G$10-$E$10)*($G$10-$F$10))))</f>
        <v>1.0371615867507</v>
      </c>
      <c r="G951" s="52" t="n">
        <f aca="false">IF($G$11=$E$11,$F$11,IF(U951&lt;($F$11-$E$11)/($G$11-$E$11),$E$11+SQRT(U951*($G$11-$E$11)*($F$11-$E$11)),$G$11-SQRT((1-U951)*($G$11-$E$11)*($G$11-$F$11))))</f>
        <v>0.0901843865000098</v>
      </c>
      <c r="H951" s="53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-2074323173.5014</v>
      </c>
      <c r="I951" s="53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-43231816.4225015</v>
      </c>
      <c r="J951" s="53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196398424.628602</v>
      </c>
      <c r="K951" s="53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487886745.01724</v>
      </c>
      <c r="L951" s="53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598470673.407829</v>
      </c>
      <c r="M951" s="53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767360170.96238</v>
      </c>
      <c r="N951" s="53" t="n">
        <f aca="false">IF(COUNT('Business Case'!B11:G11)=0,"",H951+NPV(G951,I951:M951))</f>
        <v>-650188212.963708</v>
      </c>
      <c r="P951" s="54" t="n">
        <f aca="true">RAND()</f>
        <v>0.820734472388144</v>
      </c>
      <c r="Q951" s="54" t="n">
        <f aca="true">RAND()</f>
        <v>0.231614575306752</v>
      </c>
      <c r="R951" s="54" t="n">
        <f aca="true">RAND()</f>
        <v>0.989541277324719</v>
      </c>
      <c r="S951" s="54" t="n">
        <f aca="true">RAND()</f>
        <v>0.0515553637002534</v>
      </c>
      <c r="T951" s="54" t="n">
        <f aca="true">RAND()</f>
        <v>0.395997464606934</v>
      </c>
      <c r="U951" s="54" t="n">
        <f aca="true">RAND()</f>
        <v>0.103721728381583</v>
      </c>
    </row>
    <row r="952" customFormat="false" ht="15" hidden="false" customHeight="false" outlineLevel="0" collapsed="false">
      <c r="A952" s="50" t="n">
        <v>872</v>
      </c>
      <c r="B952" s="51" t="n">
        <f aca="false">1+IF($G$6=$E$6,$F$6,IF(P952&lt;($F$6-$E$6)/($G$6-$E$6),$E$6+SQRT(P952*($G$6-$E$6)*($F$6-$E$6)),$G$6-SQRT((1-P952)*($G$6-$E$6)*($G$6-$F$6))))</f>
        <v>1.0175033315827</v>
      </c>
      <c r="C952" s="51" t="n">
        <f aca="false">1+IF($G$7=$E$7,$F$7,IF(Q952&lt;($F$7-$E$7)/($G$7-$E$7),$E$7+SQRT(Q952*($G$7-$E$7)*($F$7-$E$7)),$G$7-SQRT((1-Q952)*($G$7-$E$7)*($G$7-$F$7))))</f>
        <v>1.01506314435206</v>
      </c>
      <c r="D952" s="51" t="n">
        <f aca="false">1+IF($G$8=$E$8,$F$8,IF(R952&lt;($F$8-$E$8)/($G$8-$E$8),$E$8+SQRT(R952*($G$8-$E$8)*($F$8-$E$8)),$G$8-SQRT((1-R952)*($G$8-$E$8)*($G$8-$F$8))))</f>
        <v>0.974127500320578</v>
      </c>
      <c r="E952" s="51" t="n">
        <f aca="false">1+IF($G$9=$E$9,$F$9,IF(S952&lt;($F$9-$E$9)/($G$9-$E$9),$E$9+SQRT(S952*($G$9-$E$9)*($F$9-$E$9)),$G$9-SQRT((1-S952)*($G$9-$E$9)*($G$9-$F$9))))</f>
        <v>1.09211706971438</v>
      </c>
      <c r="F952" s="51" t="n">
        <f aca="false">1+IF($G$10=$E$10,$F$10,IF(T952&lt;($F$10-$E$10)/($G$10-$E$10),$E$10+SQRT(T952*($G$10-$E$10)*($F$10-$E$10)),$G$10-SQRT((1-T952)*($G$10-$E$10)*($G$10-$F$10))))</f>
        <v>0.989828930497418</v>
      </c>
      <c r="G952" s="52" t="n">
        <f aca="false">IF($G$11=$E$11,$F$11,IF(U952&lt;($F$11-$E$11)/($G$11-$E$11),$E$11+SQRT(U952*($G$11-$E$11)*($F$11-$E$11)),$G$11-SQRT((1-U952)*($G$11-$E$11)*($G$11-$F$11))))</f>
        <v>0.100211813808582</v>
      </c>
      <c r="H952" s="53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-1979657860.99484</v>
      </c>
      <c r="I952" s="53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31951418.0701068</v>
      </c>
      <c r="J952" s="53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371726690.501899</v>
      </c>
      <c r="K952" s="53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760993409.458561</v>
      </c>
      <c r="L952" s="53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909946442.934864</v>
      </c>
      <c r="M952" s="53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1106266794.26291</v>
      </c>
      <c r="N952" s="53" t="n">
        <f aca="false">IF(COUNT('Business Case'!B11:G11)=0,"",H952+NPV(G952,I952:M952))</f>
        <v>235163479.287726</v>
      </c>
      <c r="P952" s="54" t="n">
        <f aca="true">RAND()</f>
        <v>0.85919553890349</v>
      </c>
      <c r="Q952" s="54" t="n">
        <f aca="true">RAND()</f>
        <v>0.730252518338473</v>
      </c>
      <c r="R952" s="54" t="n">
        <f aca="true">RAND()</f>
        <v>0.0776181695625954</v>
      </c>
      <c r="S952" s="54" t="n">
        <f aca="true">RAND()</f>
        <v>0.910655103507998</v>
      </c>
      <c r="T952" s="54" t="n">
        <f aca="true">RAND()</f>
        <v>0.105756246971211</v>
      </c>
      <c r="U952" s="54" t="n">
        <f aca="true">RAND()</f>
        <v>0.408442642283619</v>
      </c>
    </row>
    <row r="953" customFormat="false" ht="15" hidden="false" customHeight="false" outlineLevel="0" collapsed="false">
      <c r="A953" s="50" t="n">
        <v>873</v>
      </c>
      <c r="B953" s="51" t="n">
        <f aca="false">1+IF($G$6=$E$6,$F$6,IF(P953&lt;($F$6-$E$6)/($G$6-$E$6),$E$6+SQRT(P953*($G$6-$E$6)*($F$6-$E$6)),$G$6-SQRT((1-P953)*($G$6-$E$6)*($G$6-$F$6))))</f>
        <v>0.946431308636468</v>
      </c>
      <c r="C953" s="51" t="n">
        <f aca="false">1+IF($G$7=$E$7,$F$7,IF(Q953&lt;($F$7-$E$7)/($G$7-$E$7),$E$7+SQRT(Q953*($G$7-$E$7)*($F$7-$E$7)),$G$7-SQRT((1-Q953)*($G$7-$E$7)*($G$7-$F$7))))</f>
        <v>0.898922559152627</v>
      </c>
      <c r="D953" s="51" t="n">
        <f aca="false">1+IF($G$8=$E$8,$F$8,IF(R953&lt;($F$8-$E$8)/($G$8-$E$8),$E$8+SQRT(R953*($G$8-$E$8)*($F$8-$E$8)),$G$8-SQRT((1-R953)*($G$8-$E$8)*($G$8-$F$8))))</f>
        <v>1.0133659570262</v>
      </c>
      <c r="E953" s="51" t="n">
        <f aca="false">1+IF($G$9=$E$9,$F$9,IF(S953&lt;($F$9-$E$9)/($G$9-$E$9),$E$9+SQRT(S953*($G$9-$E$9)*($F$9-$E$9)),$G$9-SQRT((1-S953)*($G$9-$E$9)*($G$9-$F$9))))</f>
        <v>1.02300205015116</v>
      </c>
      <c r="F953" s="51" t="n">
        <f aca="false">1+IF($G$10=$E$10,$F$10,IF(T953&lt;($F$10-$E$10)/($G$10-$E$10),$E$10+SQRT(T953*($G$10-$E$10)*($F$10-$E$10)),$G$10-SQRT((1-T953)*($G$10-$E$10)*($G$10-$F$10))))</f>
        <v>1.09970703078125</v>
      </c>
      <c r="G953" s="52" t="n">
        <f aca="false">IF($G$11=$E$11,$F$11,IF(U953&lt;($F$11-$E$11)/($G$11-$E$11),$E$11+SQRT(U953*($G$11-$E$11)*($F$11-$E$11)),$G$11-SQRT((1-U953)*($G$11-$E$11)*($G$11-$F$11))))</f>
        <v>0.111292508773731</v>
      </c>
      <c r="H953" s="53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-2199414061.5625</v>
      </c>
      <c r="I953" s="53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-69031947.0495643</v>
      </c>
      <c r="J953" s="53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161481537.166975</v>
      </c>
      <c r="K953" s="53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446980372.922576</v>
      </c>
      <c r="L953" s="53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553220758.765744</v>
      </c>
      <c r="M953" s="53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714934826.506182</v>
      </c>
      <c r="N953" s="53" t="n">
        <f aca="false">IF(COUNT('Business Case'!B11:G11)=0,"",H953+NPV(G953,I953:M953))</f>
        <v>-1020537538.42717</v>
      </c>
      <c r="P953" s="54" t="n">
        <f aca="true">RAND()</f>
        <v>0.143724428112997</v>
      </c>
      <c r="Q953" s="54" t="n">
        <f aca="true">RAND()</f>
        <v>0.293112478072818</v>
      </c>
      <c r="R953" s="54" t="n">
        <f aca="true">RAND()</f>
        <v>0.499636173200917</v>
      </c>
      <c r="S953" s="54" t="n">
        <f aca="true">RAND()</f>
        <v>0.569907219578457</v>
      </c>
      <c r="T953" s="54" t="n">
        <f aca="true">RAND()</f>
        <v>0.698826978712153</v>
      </c>
      <c r="U953" s="54" t="n">
        <f aca="true">RAND()</f>
        <v>0.766686514679382</v>
      </c>
    </row>
    <row r="954" customFormat="false" ht="15" hidden="false" customHeight="false" outlineLevel="0" collapsed="false">
      <c r="A954" s="50" t="n">
        <v>874</v>
      </c>
      <c r="B954" s="51" t="n">
        <f aca="false">1+IF($G$6=$E$6,$F$6,IF(P954&lt;($F$6-$E$6)/($G$6-$E$6),$E$6+SQRT(P954*($G$6-$E$6)*($F$6-$E$6)),$G$6-SQRT((1-P954)*($G$6-$E$6)*($G$6-$F$6))))</f>
        <v>0.987856808215609</v>
      </c>
      <c r="C954" s="51" t="n">
        <f aca="false">1+IF($G$7=$E$7,$F$7,IF(Q954&lt;($F$7-$E$7)/($G$7-$E$7),$E$7+SQRT(Q954*($G$7-$E$7)*($F$7-$E$7)),$G$7-SQRT((1-Q954)*($G$7-$E$7)*($G$7-$F$7))))</f>
        <v>0.999283950686741</v>
      </c>
      <c r="D954" s="51" t="n">
        <f aca="false">1+IF($G$8=$E$8,$F$8,IF(R954&lt;($F$8-$E$8)/($G$8-$E$8),$E$8+SQRT(R954*($G$8-$E$8)*($F$8-$E$8)),$G$8-SQRT((1-R954)*($G$8-$E$8)*($G$8-$F$8))))</f>
        <v>0.978753033075232</v>
      </c>
      <c r="E954" s="51" t="n">
        <f aca="false">1+IF($G$9=$E$9,$F$9,IF(S954&lt;($F$9-$E$9)/($G$9-$E$9),$E$9+SQRT(S954*($G$9-$E$9)*($F$9-$E$9)),$G$9-SQRT((1-S954)*($G$9-$E$9)*($G$9-$F$9))))</f>
        <v>0.983023409262887</v>
      </c>
      <c r="F954" s="51" t="n">
        <f aca="false">1+IF($G$10=$E$10,$F$10,IF(T954&lt;($F$10-$E$10)/($G$10-$E$10),$E$10+SQRT(T954*($G$10-$E$10)*($F$10-$E$10)),$G$10-SQRT((1-T954)*($G$10-$E$10)*($G$10-$F$10))))</f>
        <v>1.05314938482797</v>
      </c>
      <c r="G954" s="52" t="n">
        <f aca="false">IF($G$11=$E$11,$F$11,IF(U954&lt;($F$11-$E$11)/($G$11-$E$11),$E$11+SQRT(U954*($G$11-$E$11)*($F$11-$E$11)),$G$11-SQRT((1-U954)*($G$11-$E$11)*($G$11-$F$11))))</f>
        <v>0.0874895277323452</v>
      </c>
      <c r="H954" s="53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-2106298769.65595</v>
      </c>
      <c r="I954" s="53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11587301.6168007</v>
      </c>
      <c r="J954" s="53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319449298.210314</v>
      </c>
      <c r="K954" s="53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679968764.045227</v>
      </c>
      <c r="L954" s="53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816705314.707553</v>
      </c>
      <c r="M954" s="53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1004342682.92891</v>
      </c>
      <c r="N954" s="53" t="n">
        <f aca="false">IF(COUNT('Business Case'!B11:G11)=0,"",H954+NPV(G954,I954:M954))</f>
        <v>-52562563.5802267</v>
      </c>
      <c r="P954" s="54" t="n">
        <f aca="true">RAND()</f>
        <v>0.51458791665562</v>
      </c>
      <c r="Q954" s="54" t="n">
        <f aca="true">RAND()</f>
        <v>0.66348802324936</v>
      </c>
      <c r="R954" s="54" t="n">
        <f aca="true">RAND()</f>
        <v>0.11023158813672</v>
      </c>
      <c r="S954" s="54" t="n">
        <f aca="true">RAND()</f>
        <v>0.275715459425317</v>
      </c>
      <c r="T954" s="54" t="n">
        <f aca="true">RAND()</f>
        <v>0.483331137418597</v>
      </c>
      <c r="U954" s="54" t="n">
        <f aca="true">RAND()</f>
        <v>0.0560930256535683</v>
      </c>
    </row>
    <row r="955" customFormat="false" ht="15" hidden="false" customHeight="false" outlineLevel="0" collapsed="false">
      <c r="A955" s="50" t="n">
        <v>875</v>
      </c>
      <c r="B955" s="51" t="n">
        <f aca="false">1+IF($G$6=$E$6,$F$6,IF(P955&lt;($F$6-$E$6)/($G$6-$E$6),$E$6+SQRT(P955*($G$6-$E$6)*($F$6-$E$6)),$G$6-SQRT((1-P955)*($G$6-$E$6)*($G$6-$F$6))))</f>
        <v>1.01327218018008</v>
      </c>
      <c r="C955" s="51" t="n">
        <f aca="false">1+IF($G$7=$E$7,$F$7,IF(Q955&lt;($F$7-$E$7)/($G$7-$E$7),$E$7+SQRT(Q955*($G$7-$E$7)*($F$7-$E$7)),$G$7-SQRT((1-Q955)*($G$7-$E$7)*($G$7-$F$7))))</f>
        <v>1.01063297932613</v>
      </c>
      <c r="D955" s="51" t="n">
        <f aca="false">1+IF($G$8=$E$8,$F$8,IF(R955&lt;($F$8-$E$8)/($G$8-$E$8),$E$8+SQRT(R955*($G$8-$E$8)*($F$8-$E$8)),$G$8-SQRT((1-R955)*($G$8-$E$8)*($G$8-$F$8))))</f>
        <v>0.995379997110929</v>
      </c>
      <c r="E955" s="51" t="n">
        <f aca="false">1+IF($G$9=$E$9,$F$9,IF(S955&lt;($F$9-$E$9)/($G$9-$E$9),$E$9+SQRT(S955*($G$9-$E$9)*($F$9-$E$9)),$G$9-SQRT((1-S955)*($G$9-$E$9)*($G$9-$F$9))))</f>
        <v>0.979314579080392</v>
      </c>
      <c r="F955" s="51" t="n">
        <f aca="false">1+IF($G$10=$E$10,$F$10,IF(T955&lt;($F$10-$E$10)/($G$10-$E$10),$E$10+SQRT(T955*($G$10-$E$10)*($F$10-$E$10)),$G$10-SQRT((1-T955)*($G$10-$E$10)*($G$10-$F$10))))</f>
        <v>1.03638061030047</v>
      </c>
      <c r="G955" s="52" t="n">
        <f aca="false">IF($G$11=$E$11,$F$11,IF(U955&lt;($F$11-$E$11)/($G$11-$E$11),$E$11+SQRT(U955*($G$11-$E$11)*($F$11-$E$11)),$G$11-SQRT((1-U955)*($G$11-$E$11)*($G$11-$F$11))))</f>
        <v>0.118943520472845</v>
      </c>
      <c r="H955" s="53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-2072761220.60093</v>
      </c>
      <c r="I955" s="53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27811467.9672143</v>
      </c>
      <c r="J955" s="53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351606089.385366</v>
      </c>
      <c r="K955" s="53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727219741.318541</v>
      </c>
      <c r="L955" s="53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870542321.308365</v>
      </c>
      <c r="M955" s="53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1065193038.65245</v>
      </c>
      <c r="N955" s="53" t="n">
        <f aca="false">IF(COUNT('Business Case'!B11:G11)=0,"",H955+NPV(G955,I955:M955))</f>
        <v>-85374418.6289249</v>
      </c>
      <c r="P955" s="54" t="n">
        <f aca="true">RAND()</f>
        <v>0.820142300170044</v>
      </c>
      <c r="Q955" s="54" t="n">
        <f aca="true">RAND()</f>
        <v>0.712249385903543</v>
      </c>
      <c r="R955" s="54" t="n">
        <f aca="true">RAND()</f>
        <v>0.274579218371724</v>
      </c>
      <c r="S955" s="54" t="n">
        <f aca="true">RAND()</f>
        <v>0.251632098187989</v>
      </c>
      <c r="T955" s="54" t="n">
        <f aca="true">RAND()</f>
        <v>0.391556751258647</v>
      </c>
      <c r="U955" s="54" t="n">
        <f aca="true">RAND()</f>
        <v>0.918502840310397</v>
      </c>
    </row>
    <row r="956" customFormat="false" ht="15" hidden="false" customHeight="false" outlineLevel="0" collapsed="false">
      <c r="A956" s="50" t="n">
        <v>876</v>
      </c>
      <c r="B956" s="51" t="n">
        <f aca="false">1+IF($G$6=$E$6,$F$6,IF(P956&lt;($F$6-$E$6)/($G$6-$E$6),$E$6+SQRT(P956*($G$6-$E$6)*($F$6-$E$6)),$G$6-SQRT((1-P956)*($G$6-$E$6)*($G$6-$F$6))))</f>
        <v>1.03607829053594</v>
      </c>
      <c r="C956" s="51" t="n">
        <f aca="false">1+IF($G$7=$E$7,$F$7,IF(Q956&lt;($F$7-$E$7)/($G$7-$E$7),$E$7+SQRT(Q956*($G$7-$E$7)*($F$7-$E$7)),$G$7-SQRT((1-Q956)*($G$7-$E$7)*($G$7-$F$7))))</f>
        <v>1.02917955032292</v>
      </c>
      <c r="D956" s="51" t="n">
        <f aca="false">1+IF($G$8=$E$8,$F$8,IF(R956&lt;($F$8-$E$8)/($G$8-$E$8),$E$8+SQRT(R956*($G$8-$E$8)*($F$8-$E$8)),$G$8-SQRT((1-R956)*($G$8-$E$8)*($G$8-$F$8))))</f>
        <v>1.0373550658425</v>
      </c>
      <c r="E956" s="51" t="n">
        <f aca="false">1+IF($G$9=$E$9,$F$9,IF(S956&lt;($F$9-$E$9)/($G$9-$E$9),$E$9+SQRT(S956*($G$9-$E$9)*($F$9-$E$9)),$G$9-SQRT((1-S956)*($G$9-$E$9)*($G$9-$F$9))))</f>
        <v>1.03496348834386</v>
      </c>
      <c r="F956" s="51" t="n">
        <f aca="false">1+IF($G$10=$E$10,$F$10,IF(T956&lt;($F$10-$E$10)/($G$10-$E$10),$E$10+SQRT(T956*($G$10-$E$10)*($F$10-$E$10)),$G$10-SQRT((1-T956)*($G$10-$E$10)*($G$10-$F$10))))</f>
        <v>1.00679349389623</v>
      </c>
      <c r="G956" s="52" t="n">
        <f aca="false">IF($G$11=$E$11,$F$11,IF(U956&lt;($F$11-$E$11)/($G$11-$E$11),$E$11+SQRT(U956*($G$11-$E$11)*($F$11-$E$11)),$G$11-SQRT((1-U956)*($G$11-$E$11)*($G$11-$F$11))))</f>
        <v>0.102107283403658</v>
      </c>
      <c r="H956" s="53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-2013586987.79246</v>
      </c>
      <c r="I956" s="53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23718052.9378554</v>
      </c>
      <c r="J956" s="53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350564804.249528</v>
      </c>
      <c r="K956" s="53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727751230.256012</v>
      </c>
      <c r="L956" s="53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873551841.321034</v>
      </c>
      <c r="M956" s="53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1076236158.10726</v>
      </c>
      <c r="N956" s="53" t="n">
        <f aca="false">IF(COUNT('Business Case'!B11:G11)=0,"",H956+NPV(G956,I956:M956))</f>
        <v>94180775.1791394</v>
      </c>
      <c r="P956" s="54" t="n">
        <f aca="true">RAND()</f>
        <v>0.974158134079759</v>
      </c>
      <c r="Q956" s="54" t="n">
        <f aca="true">RAND()</f>
        <v>0.783739539849307</v>
      </c>
      <c r="R956" s="54" t="n">
        <f aca="true">RAND()</f>
        <v>0.738374148293515</v>
      </c>
      <c r="S956" s="54" t="n">
        <f aca="true">RAND()</f>
        <v>0.647109359626299</v>
      </c>
      <c r="T956" s="54" t="n">
        <f aca="true">RAND()</f>
        <v>0.211341271850618</v>
      </c>
      <c r="U956" s="54" t="n">
        <f aca="true">RAND()</f>
        <v>0.481330907250773</v>
      </c>
    </row>
    <row r="957" customFormat="false" ht="15" hidden="false" customHeight="false" outlineLevel="0" collapsed="false">
      <c r="A957" s="50" t="n">
        <v>877</v>
      </c>
      <c r="B957" s="51" t="n">
        <f aca="false">1+IF($G$6=$E$6,$F$6,IF(P957&lt;($F$6-$E$6)/($G$6-$E$6),$E$6+SQRT(P957*($G$6-$E$6)*($F$6-$E$6)),$G$6-SQRT((1-P957)*($G$6-$E$6)*($G$6-$F$6))))</f>
        <v>0.959969797778648</v>
      </c>
      <c r="C957" s="51" t="n">
        <f aca="false">1+IF($G$7=$E$7,$F$7,IF(Q957&lt;($F$7-$E$7)/($G$7-$E$7),$E$7+SQRT(Q957*($G$7-$E$7)*($F$7-$E$7)),$G$7-SQRT((1-Q957)*($G$7-$E$7)*($G$7-$F$7))))</f>
        <v>0.838787510872377</v>
      </c>
      <c r="D957" s="51" t="n">
        <f aca="false">1+IF($G$8=$E$8,$F$8,IF(R957&lt;($F$8-$E$8)/($G$8-$E$8),$E$8+SQRT(R957*($G$8-$E$8)*($F$8-$E$8)),$G$8-SQRT((1-R957)*($G$8-$E$8)*($G$8-$F$8))))</f>
        <v>1.06019231826992</v>
      </c>
      <c r="E957" s="51" t="n">
        <f aca="false">1+IF($G$9=$E$9,$F$9,IF(S957&lt;($F$9-$E$9)/($G$9-$E$9),$E$9+SQRT(S957*($G$9-$E$9)*($F$9-$E$9)),$G$9-SQRT((1-S957)*($G$9-$E$9)*($G$9-$F$9))))</f>
        <v>1.11553681820617</v>
      </c>
      <c r="F957" s="51" t="n">
        <f aca="false">1+IF($G$10=$E$10,$F$10,IF(T957&lt;($F$10-$E$10)/($G$10-$E$10),$E$10+SQRT(T957*($G$10-$E$10)*($F$10-$E$10)),$G$10-SQRT((1-T957)*($G$10-$E$10)*($G$10-$F$10))))</f>
        <v>1.15793519657332</v>
      </c>
      <c r="G957" s="52" t="n">
        <f aca="false">IF($G$11=$E$11,$F$11,IF(U957&lt;($F$11-$E$11)/($G$11-$E$11),$E$11+SQRT(U957*($G$11-$E$11)*($F$11-$E$11)),$G$11-SQRT((1-U957)*($G$11-$E$11)*($G$11-$F$11))))</f>
        <v>0.122484441183851</v>
      </c>
      <c r="H957" s="53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-2315870393.14663</v>
      </c>
      <c r="I957" s="53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-111877665.589348</v>
      </c>
      <c r="J957" s="53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92409645.5331572</v>
      </c>
      <c r="K957" s="53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354593716.484328</v>
      </c>
      <c r="L957" s="53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450517567.862231</v>
      </c>
      <c r="M957" s="53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603572013.382775</v>
      </c>
      <c r="N957" s="53" t="n">
        <f aca="false">IF(COUNT('Business Case'!B11:G11)=0,"",H957+NPV(G957,I957:M957))</f>
        <v>-1468981611.01046</v>
      </c>
      <c r="P957" s="54" t="n">
        <f aca="true">RAND()</f>
        <v>0.239758443040794</v>
      </c>
      <c r="Q957" s="54" t="n">
        <f aca="true">RAND()</f>
        <v>0.142681282771482</v>
      </c>
      <c r="R957" s="54" t="n">
        <f aca="true">RAND()</f>
        <v>0.894356565018462</v>
      </c>
      <c r="S957" s="54" t="n">
        <f aca="true">RAND()</f>
        <v>0.968327709350553</v>
      </c>
      <c r="T957" s="54" t="n">
        <f aca="true">RAND()</f>
        <v>0.88698762626675</v>
      </c>
      <c r="U957" s="54" t="n">
        <f aca="true">RAND()</f>
        <v>0.962344250454008</v>
      </c>
    </row>
    <row r="958" customFormat="false" ht="15" hidden="false" customHeight="false" outlineLevel="0" collapsed="false">
      <c r="A958" s="50" t="n">
        <v>878</v>
      </c>
      <c r="B958" s="51" t="n">
        <f aca="false">1+IF($G$6=$E$6,$F$6,IF(P958&lt;($F$6-$E$6)/($G$6-$E$6),$E$6+SQRT(P958*($G$6-$E$6)*($F$6-$E$6)),$G$6-SQRT((1-P958)*($G$6-$E$6)*($G$6-$F$6))))</f>
        <v>0.998255108449078</v>
      </c>
      <c r="C958" s="51" t="n">
        <f aca="false">1+IF($G$7=$E$7,$F$7,IF(Q958&lt;($F$7-$E$7)/($G$7-$E$7),$E$7+SQRT(Q958*($G$7-$E$7)*($F$7-$E$7)),$G$7-SQRT((1-Q958)*($G$7-$E$7)*($G$7-$F$7))))</f>
        <v>0.954295261184734</v>
      </c>
      <c r="D958" s="51" t="n">
        <f aca="false">1+IF($G$8=$E$8,$F$8,IF(R958&lt;($F$8-$E$8)/($G$8-$E$8),$E$8+SQRT(R958*($G$8-$E$8)*($F$8-$E$8)),$G$8-SQRT((1-R958)*($G$8-$E$8)*($G$8-$F$8))))</f>
        <v>0.96581561999531</v>
      </c>
      <c r="E958" s="51" t="n">
        <f aca="false">1+IF($G$9=$E$9,$F$9,IF(S958&lt;($F$9-$E$9)/($G$9-$E$9),$E$9+SQRT(S958*($G$9-$E$9)*($F$9-$E$9)),$G$9-SQRT((1-S958)*($G$9-$E$9)*($G$9-$F$9))))</f>
        <v>1.00564282606484</v>
      </c>
      <c r="F958" s="51" t="n">
        <f aca="false">1+IF($G$10=$E$10,$F$10,IF(T958&lt;($F$10-$E$10)/($G$10-$E$10),$E$10+SQRT(T958*($G$10-$E$10)*($F$10-$E$10)),$G$10-SQRT((1-T958)*($G$10-$E$10)*($G$10-$F$10))))</f>
        <v>1.14405538209014</v>
      </c>
      <c r="G958" s="52" t="n">
        <f aca="false">IF($G$11=$E$11,$F$11,IF(U958&lt;($F$11-$E$11)/($G$11-$E$11),$E$11+SQRT(U958*($G$11-$E$11)*($F$11-$E$11)),$G$11-SQRT((1-U958)*($G$11-$E$11)*($G$11-$F$11))))</f>
        <v>0.0983377183584561</v>
      </c>
      <c r="H958" s="53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-2288110764.18027</v>
      </c>
      <c r="I958" s="53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1657383.68728362</v>
      </c>
      <c r="J958" s="53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310107060.842103</v>
      </c>
      <c r="K958" s="53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675759507.101428</v>
      </c>
      <c r="L958" s="53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811498963.081102</v>
      </c>
      <c r="M958" s="53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992574896.185476</v>
      </c>
      <c r="N958" s="53" t="n">
        <f aca="false">IF(COUNT('Business Case'!B11:G11)=0,"",H958+NPV(G958,I958:M958))</f>
        <v>-340905225.464754</v>
      </c>
      <c r="P958" s="54" t="n">
        <f aca="true">RAND()</f>
        <v>0.643604422422676</v>
      </c>
      <c r="Q958" s="54" t="n">
        <f aca="true">RAND()</f>
        <v>0.479007998970461</v>
      </c>
      <c r="R958" s="54" t="n">
        <f aca="true">RAND()</f>
        <v>0.0333511781114724</v>
      </c>
      <c r="S958" s="54" t="n">
        <f aca="true">RAND()</f>
        <v>0.444293502225429</v>
      </c>
      <c r="T958" s="54" t="n">
        <f aca="true">RAND()</f>
        <v>0.850343172479103</v>
      </c>
      <c r="U958" s="54" t="n">
        <f aca="true">RAND()</f>
        <v>0.336271914594057</v>
      </c>
    </row>
    <row r="959" customFormat="false" ht="15" hidden="false" customHeight="false" outlineLevel="0" collapsed="false">
      <c r="A959" s="50" t="n">
        <v>879</v>
      </c>
      <c r="B959" s="51" t="n">
        <f aca="false">1+IF($G$6=$E$6,$F$6,IF(P959&lt;($F$6-$E$6)/($G$6-$E$6),$E$6+SQRT(P959*($G$6-$E$6)*($F$6-$E$6)),$G$6-SQRT((1-P959)*($G$6-$E$6)*($G$6-$F$6))))</f>
        <v>0.992596864025565</v>
      </c>
      <c r="C959" s="51" t="n">
        <f aca="false">1+IF($G$7=$E$7,$F$7,IF(Q959&lt;($F$7-$E$7)/($G$7-$E$7),$E$7+SQRT(Q959*($G$7-$E$7)*($F$7-$E$7)),$G$7-SQRT((1-Q959)*($G$7-$E$7)*($G$7-$F$7))))</f>
        <v>1.06753047316605</v>
      </c>
      <c r="D959" s="51" t="n">
        <f aca="false">1+IF($G$8=$E$8,$F$8,IF(R959&lt;($F$8-$E$8)/($G$8-$E$8),$E$8+SQRT(R959*($G$8-$E$8)*($F$8-$E$8)),$G$8-SQRT((1-R959)*($G$8-$E$8)*($G$8-$F$8))))</f>
        <v>1.02684011816266</v>
      </c>
      <c r="E959" s="51" t="n">
        <f aca="false">1+IF($G$9=$E$9,$F$9,IF(S959&lt;($F$9-$E$9)/($G$9-$E$9),$E$9+SQRT(S959*($G$9-$E$9)*($F$9-$E$9)),$G$9-SQRT((1-S959)*($G$9-$E$9)*($G$9-$F$9))))</f>
        <v>1.00889114191957</v>
      </c>
      <c r="F959" s="51" t="n">
        <f aca="false">1+IF($G$10=$E$10,$F$10,IF(T959&lt;($F$10-$E$10)/($G$10-$E$10),$E$10+SQRT(T959*($G$10-$E$10)*($F$10-$E$10)),$G$10-SQRT((1-T959)*($G$10-$E$10)*($G$10-$F$10))))</f>
        <v>1.05499274501392</v>
      </c>
      <c r="G959" s="52" t="n">
        <f aca="false">IF($G$11=$E$11,$F$11,IF(U959&lt;($F$11-$E$11)/($G$11-$E$11),$E$11+SQRT(U959*($G$11-$E$11)*($F$11-$E$11)),$G$11-SQRT((1-U959)*($G$11-$E$11)*($G$11-$F$11))))</f>
        <v>0.110221704348755</v>
      </c>
      <c r="H959" s="53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-2109985490.02785</v>
      </c>
      <c r="I959" s="53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2858393.04910909</v>
      </c>
      <c r="J959" s="53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309611465.392237</v>
      </c>
      <c r="K959" s="53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669114174.986061</v>
      </c>
      <c r="L959" s="53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807985922.041546</v>
      </c>
      <c r="M959" s="53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1009399898.21764</v>
      </c>
      <c r="N959" s="53" t="n">
        <f aca="false">IF(COUNT('Business Case'!B11:G11)=0,"",H959+NPV(G959,I959:M959))</f>
        <v>-237013967.01889</v>
      </c>
      <c r="P959" s="54" t="n">
        <f aca="true">RAND()</f>
        <v>0.571611948491259</v>
      </c>
      <c r="Q959" s="54" t="n">
        <f aca="true">RAND()</f>
        <v>0.89924114287087</v>
      </c>
      <c r="R959" s="54" t="n">
        <f aca="true">RAND()</f>
        <v>0.64317544596977</v>
      </c>
      <c r="S959" s="54" t="n">
        <f aca="true">RAND()</f>
        <v>0.469021071233011</v>
      </c>
      <c r="T959" s="54" t="n">
        <f aca="true">RAND()</f>
        <v>0.492962273370607</v>
      </c>
      <c r="U959" s="54" t="n">
        <f aca="true">RAND()</f>
        <v>0.739212680754622</v>
      </c>
    </row>
    <row r="960" customFormat="false" ht="15" hidden="false" customHeight="false" outlineLevel="0" collapsed="false">
      <c r="A960" s="50" t="n">
        <v>880</v>
      </c>
      <c r="B960" s="51" t="n">
        <f aca="false">1+IF($G$6=$E$6,$F$6,IF(P960&lt;($F$6-$E$6)/($G$6-$E$6),$E$6+SQRT(P960*($G$6-$E$6)*($F$6-$E$6)),$G$6-SQRT((1-P960)*($G$6-$E$6)*($G$6-$F$6))))</f>
        <v>1.01279007233504</v>
      </c>
      <c r="C960" s="51" t="n">
        <f aca="false">1+IF($G$7=$E$7,$F$7,IF(Q960&lt;($F$7-$E$7)/($G$7-$E$7),$E$7+SQRT(Q960*($G$7-$E$7)*($F$7-$E$7)),$G$7-SQRT((1-Q960)*($G$7-$E$7)*($G$7-$F$7))))</f>
        <v>0.977004829855807</v>
      </c>
      <c r="D960" s="51" t="n">
        <f aca="false">1+IF($G$8=$E$8,$F$8,IF(R960&lt;($F$8-$E$8)/($G$8-$E$8),$E$8+SQRT(R960*($G$8-$E$8)*($F$8-$E$8)),$G$8-SQRT((1-R960)*($G$8-$E$8)*($G$8-$F$8))))</f>
        <v>1.06662422908916</v>
      </c>
      <c r="E960" s="51" t="n">
        <f aca="false">1+IF($G$9=$E$9,$F$9,IF(S960&lt;($F$9-$E$9)/($G$9-$E$9),$E$9+SQRT(S960*($G$9-$E$9)*($F$9-$E$9)),$G$9-SQRT((1-S960)*($G$9-$E$9)*($G$9-$F$9))))</f>
        <v>0.945589820667445</v>
      </c>
      <c r="F960" s="51" t="n">
        <f aca="false">1+IF($G$10=$E$10,$F$10,IF(T960&lt;($F$10-$E$10)/($G$10-$E$10),$E$10+SQRT(T960*($G$10-$E$10)*($F$10-$E$10)),$G$10-SQRT((1-T960)*($G$10-$E$10)*($G$10-$F$10))))</f>
        <v>1.05549533736544</v>
      </c>
      <c r="G960" s="52" t="n">
        <f aca="false">IF($G$11=$E$11,$F$11,IF(U960&lt;($F$11-$E$11)/($G$11-$E$11),$E$11+SQRT(U960*($G$11-$E$11)*($F$11-$E$11)),$G$11-SQRT((1-U960)*($G$11-$E$11)*($G$11-$F$11))))</f>
        <v>0.112274604710765</v>
      </c>
      <c r="H960" s="53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-2110990674.73088</v>
      </c>
      <c r="I960" s="53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-14306042.6068347</v>
      </c>
      <c r="J960" s="53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262696042.094687</v>
      </c>
      <c r="K960" s="53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592472893.664481</v>
      </c>
      <c r="L960" s="53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719004069.280256</v>
      </c>
      <c r="M960" s="53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907088379.880897</v>
      </c>
      <c r="N960" s="53" t="n">
        <f aca="false">IF(COUNT('Business Case'!B11:G11)=0,"",H960+NPV(G960,I960:M960))</f>
        <v>-478356198.476137</v>
      </c>
      <c r="P960" s="54" t="n">
        <f aca="true">RAND()</f>
        <v>0.815389504422477</v>
      </c>
      <c r="Q960" s="54" t="n">
        <f aca="true">RAND()</f>
        <v>0.568382783432921</v>
      </c>
      <c r="R960" s="54" t="n">
        <f aca="true">RAND()</f>
        <v>0.925737194407146</v>
      </c>
      <c r="S960" s="54" t="n">
        <f aca="true">RAND()</f>
        <v>0.0831372699395915</v>
      </c>
      <c r="T960" s="54" t="n">
        <f aca="true">RAND()</f>
        <v>0.495572482845555</v>
      </c>
      <c r="U960" s="54" t="n">
        <f aca="true">RAND()</f>
        <v>0.790540241226922</v>
      </c>
    </row>
    <row r="961" customFormat="false" ht="15" hidden="false" customHeight="false" outlineLevel="0" collapsed="false">
      <c r="A961" s="50" t="n">
        <v>881</v>
      </c>
      <c r="B961" s="51" t="n">
        <f aca="false">1+IF($G$6=$E$6,$F$6,IF(P961&lt;($F$6-$E$6)/($G$6-$E$6),$E$6+SQRT(P961*($G$6-$E$6)*($F$6-$E$6)),$G$6-SQRT((1-P961)*($G$6-$E$6)*($G$6-$F$6))))</f>
        <v>1.01688780388722</v>
      </c>
      <c r="C961" s="51" t="n">
        <f aca="false">1+IF($G$7=$E$7,$F$7,IF(Q961&lt;($F$7-$E$7)/($G$7-$E$7),$E$7+SQRT(Q961*($G$7-$E$7)*($F$7-$E$7)),$G$7-SQRT((1-Q961)*($G$7-$E$7)*($G$7-$F$7))))</f>
        <v>0.94031114243476</v>
      </c>
      <c r="D961" s="51" t="n">
        <f aca="false">1+IF($G$8=$E$8,$F$8,IF(R961&lt;($F$8-$E$8)/($G$8-$E$8),$E$8+SQRT(R961*($G$8-$E$8)*($F$8-$E$8)),$G$8-SQRT((1-R961)*($G$8-$E$8)*($G$8-$F$8))))</f>
        <v>1.03897449812227</v>
      </c>
      <c r="E961" s="51" t="n">
        <f aca="false">1+IF($G$9=$E$9,$F$9,IF(S961&lt;($F$9-$E$9)/($G$9-$E$9),$E$9+SQRT(S961*($G$9-$E$9)*($F$9-$E$9)),$G$9-SQRT((1-S961)*($G$9-$E$9)*($G$9-$F$9))))</f>
        <v>1.02971632712907</v>
      </c>
      <c r="F961" s="51" t="n">
        <f aca="false">1+IF($G$10=$E$10,$F$10,IF(T961&lt;($F$10-$E$10)/($G$10-$E$10),$E$10+SQRT(T961*($G$10-$E$10)*($F$10-$E$10)),$G$10-SQRT((1-T961)*($G$10-$E$10)*($G$10-$F$10))))</f>
        <v>1.0861318110281</v>
      </c>
      <c r="G961" s="52" t="n">
        <f aca="false">IF($G$11=$E$11,$F$11,IF(U961&lt;($F$11-$E$11)/($G$11-$E$11),$E$11+SQRT(U961*($G$11-$E$11)*($F$11-$E$11)),$G$11-SQRT((1-U961)*($G$11-$E$11)*($G$11-$F$11))))</f>
        <v>0.0987458285078964</v>
      </c>
      <c r="H961" s="53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-2172263622.0562</v>
      </c>
      <c r="I961" s="53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-21543564.6877683</v>
      </c>
      <c r="J961" s="53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261520651.391071</v>
      </c>
      <c r="K961" s="53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598891458.021316</v>
      </c>
      <c r="L961" s="53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726292155.344958</v>
      </c>
      <c r="M961" s="53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908044927.813788</v>
      </c>
      <c r="N961" s="53" t="n">
        <f aca="false">IF(COUNT('Business Case'!B11:G11)=0,"",H961+NPV(G961,I961:M961))</f>
        <v>-458360104.83434</v>
      </c>
      <c r="P961" s="54" t="n">
        <f aca="true">RAND()</f>
        <v>0.853810995811851</v>
      </c>
      <c r="Q961" s="54" t="n">
        <f aca="true">RAND()</f>
        <v>0.427773667987405</v>
      </c>
      <c r="R961" s="54" t="n">
        <f aca="true">RAND()</f>
        <v>0.751725874704768</v>
      </c>
      <c r="S961" s="54" t="n">
        <f aca="true">RAND()</f>
        <v>0.614182347751437</v>
      </c>
      <c r="T961" s="54" t="n">
        <f aca="true">RAND()</f>
        <v>0.641962888574251</v>
      </c>
      <c r="U961" s="54" t="n">
        <f aca="true">RAND()</f>
        <v>0.351406086447461</v>
      </c>
    </row>
    <row r="962" customFormat="false" ht="15" hidden="false" customHeight="false" outlineLevel="0" collapsed="false">
      <c r="A962" s="50" t="n">
        <v>882</v>
      </c>
      <c r="B962" s="51" t="n">
        <f aca="false">1+IF($G$6=$E$6,$F$6,IF(P962&lt;($F$6-$E$6)/($G$6-$E$6),$E$6+SQRT(P962*($G$6-$E$6)*($F$6-$E$6)),$G$6-SQRT((1-P962)*($G$6-$E$6)*($G$6-$F$6))))</f>
        <v>0.993738635409555</v>
      </c>
      <c r="C962" s="51" t="n">
        <f aca="false">1+IF($G$7=$E$7,$F$7,IF(Q962&lt;($F$7-$E$7)/($G$7-$E$7),$E$7+SQRT(Q962*($G$7-$E$7)*($F$7-$E$7)),$G$7-SQRT((1-Q962)*($G$7-$E$7)*($G$7-$F$7))))</f>
        <v>0.95768938705886</v>
      </c>
      <c r="D962" s="51" t="n">
        <f aca="false">1+IF($G$8=$E$8,$F$8,IF(R962&lt;($F$8-$E$8)/($G$8-$E$8),$E$8+SQRT(R962*($G$8-$E$8)*($F$8-$E$8)),$G$8-SQRT((1-R962)*($G$8-$E$8)*($G$8-$F$8))))</f>
        <v>1.08387113984598</v>
      </c>
      <c r="E962" s="51" t="n">
        <f aca="false">1+IF($G$9=$E$9,$F$9,IF(S962&lt;($F$9-$E$9)/($G$9-$E$9),$E$9+SQRT(S962*($G$9-$E$9)*($F$9-$E$9)),$G$9-SQRT((1-S962)*($G$9-$E$9)*($G$9-$F$9))))</f>
        <v>1.00545714681578</v>
      </c>
      <c r="F962" s="51" t="n">
        <f aca="false">1+IF($G$10=$E$10,$F$10,IF(T962&lt;($F$10-$E$10)/($G$10-$E$10),$E$10+SQRT(T962*($G$10-$E$10)*($F$10-$E$10)),$G$10-SQRT((1-T962)*($G$10-$E$10)*($G$10-$F$10))))</f>
        <v>1.13424268676134</v>
      </c>
      <c r="G962" s="52" t="n">
        <f aca="false">IF($G$11=$E$11,$F$11,IF(U962&lt;($F$11-$E$11)/($G$11-$E$11),$E$11+SQRT(U962*($G$11-$E$11)*($F$11-$E$11)),$G$11-SQRT((1-U962)*($G$11-$E$11)*($G$11-$F$11))))</f>
        <v>0.0985970334528348</v>
      </c>
      <c r="H962" s="53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-2268485373.52268</v>
      </c>
      <c r="I962" s="53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-57610039.1344762</v>
      </c>
      <c r="J962" s="53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190515958.934631</v>
      </c>
      <c r="K962" s="53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495354091.341806</v>
      </c>
      <c r="L962" s="53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610953265.531672</v>
      </c>
      <c r="M962" s="53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791851060.44924</v>
      </c>
      <c r="N962" s="53" t="n">
        <f aca="false">IF(COUNT('Business Case'!B11:G11)=0,"",H962+NPV(G962,I962:M962))</f>
        <v>-875227181.346319</v>
      </c>
      <c r="P962" s="54" t="n">
        <f aca="true">RAND()</f>
        <v>0.585795451229699</v>
      </c>
      <c r="Q962" s="54" t="n">
        <f aca="true">RAND()</f>
        <v>0.491880149650156</v>
      </c>
      <c r="R962" s="54" t="n">
        <f aca="true">RAND()</f>
        <v>0.982657324675465</v>
      </c>
      <c r="S962" s="54" t="n">
        <f aca="true">RAND()</f>
        <v>0.442863029156411</v>
      </c>
      <c r="T962" s="54" t="n">
        <f aca="true">RAND()</f>
        <v>0.821336592423561</v>
      </c>
      <c r="U962" s="54" t="n">
        <f aca="true">RAND()</f>
        <v>0.345849653245855</v>
      </c>
    </row>
    <row r="963" customFormat="false" ht="15" hidden="false" customHeight="false" outlineLevel="0" collapsed="false">
      <c r="A963" s="50" t="n">
        <v>883</v>
      </c>
      <c r="B963" s="51" t="n">
        <f aca="false">1+IF($G$6=$E$6,$F$6,IF(P963&lt;($F$6-$E$6)/($G$6-$E$6),$E$6+SQRT(P963*($G$6-$E$6)*($F$6-$E$6)),$G$6-SQRT((1-P963)*($G$6-$E$6)*($G$6-$F$6))))</f>
        <v>1.00471615393187</v>
      </c>
      <c r="C963" s="51" t="n">
        <f aca="false">1+IF($G$7=$E$7,$F$7,IF(Q963&lt;($F$7-$E$7)/($G$7-$E$7),$E$7+SQRT(Q963*($G$7-$E$7)*($F$7-$E$7)),$G$7-SQRT((1-Q963)*($G$7-$E$7)*($G$7-$F$7))))</f>
        <v>0.741288534830933</v>
      </c>
      <c r="D963" s="51" t="n">
        <f aca="false">1+IF($G$8=$E$8,$F$8,IF(R963&lt;($F$8-$E$8)/($G$8-$E$8),$E$8+SQRT(R963*($G$8-$E$8)*($F$8-$E$8)),$G$8-SQRT((1-R963)*($G$8-$E$8)*($G$8-$F$8))))</f>
        <v>1.00871986345682</v>
      </c>
      <c r="E963" s="51" t="n">
        <f aca="false">1+IF($G$9=$E$9,$F$9,IF(S963&lt;($F$9-$E$9)/($G$9-$E$9),$E$9+SQRT(S963*($G$9-$E$9)*($F$9-$E$9)),$G$9-SQRT((1-S963)*($G$9-$E$9)*($G$9-$F$9))))</f>
        <v>0.999342937978709</v>
      </c>
      <c r="F963" s="51" t="n">
        <f aca="false">1+IF($G$10=$E$10,$F$10,IF(T963&lt;($F$10-$E$10)/($G$10-$E$10),$E$10+SQRT(T963*($G$10-$E$10)*($F$10-$E$10)),$G$10-SQRT((1-T963)*($G$10-$E$10)*($G$10-$F$10))))</f>
        <v>1.17074760047936</v>
      </c>
      <c r="G963" s="52" t="n">
        <f aca="false">IF($G$11=$E$11,$F$11,IF(U963&lt;($F$11-$E$11)/($G$11-$E$11),$E$11+SQRT(U963*($G$11-$E$11)*($F$11-$E$11)),$G$11-SQRT((1-U963)*($G$11-$E$11)*($G$11-$F$11))))</f>
        <v>0.112136623679946</v>
      </c>
      <c r="H963" s="53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-2341495200.95872</v>
      </c>
      <c r="I963" s="53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-70548218.1975079</v>
      </c>
      <c r="J963" s="53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156694521.31778</v>
      </c>
      <c r="K963" s="53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442474640.857036</v>
      </c>
      <c r="L963" s="53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543961975.28499</v>
      </c>
      <c r="M963" s="53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685530625.527378</v>
      </c>
      <c r="N963" s="53" t="n">
        <f aca="false">IF(COUNT('Business Case'!B11:G11)=0,"",H963+NPV(G963,I963:M963))</f>
        <v>-1198053972.77487</v>
      </c>
      <c r="P963" s="54" t="n">
        <f aca="true">RAND()</f>
        <v>0.726583104703694</v>
      </c>
      <c r="Q963" s="54" t="n">
        <f aca="true">RAND()</f>
        <v>0.0126277267295196</v>
      </c>
      <c r="R963" s="54" t="n">
        <f aca="true">RAND()</f>
        <v>0.444529111510573</v>
      </c>
      <c r="S963" s="54" t="n">
        <f aca="true">RAND()</f>
        <v>0.394760773049666</v>
      </c>
      <c r="T963" s="54" t="n">
        <f aca="true">RAND()</f>
        <v>0.916254095602945</v>
      </c>
      <c r="U963" s="54" t="n">
        <f aca="true">RAND()</f>
        <v>0.787266524298753</v>
      </c>
    </row>
    <row r="964" customFormat="false" ht="15" hidden="false" customHeight="false" outlineLevel="0" collapsed="false">
      <c r="A964" s="50" t="n">
        <v>884</v>
      </c>
      <c r="B964" s="51" t="n">
        <f aca="false">1+IF($G$6=$E$6,$F$6,IF(P964&lt;($F$6-$E$6)/($G$6-$E$6),$E$6+SQRT(P964*($G$6-$E$6)*($F$6-$E$6)),$G$6-SQRT((1-P964)*($G$6-$E$6)*($G$6-$F$6))))</f>
        <v>0.989496193914583</v>
      </c>
      <c r="C964" s="51" t="n">
        <f aca="false">1+IF($G$7=$E$7,$F$7,IF(Q964&lt;($F$7-$E$7)/($G$7-$E$7),$E$7+SQRT(Q964*($G$7-$E$7)*($F$7-$E$7)),$G$7-SQRT((1-Q964)*($G$7-$E$7)*($G$7-$F$7))))</f>
        <v>0.993329017746388</v>
      </c>
      <c r="D964" s="51" t="n">
        <f aca="false">1+IF($G$8=$E$8,$F$8,IF(R964&lt;($F$8-$E$8)/($G$8-$E$8),$E$8+SQRT(R964*($G$8-$E$8)*($F$8-$E$8)),$G$8-SQRT((1-R964)*($G$8-$E$8)*($G$8-$F$8))))</f>
        <v>0.977803556209851</v>
      </c>
      <c r="E964" s="51" t="n">
        <f aca="false">1+IF($G$9=$E$9,$F$9,IF(S964&lt;($F$9-$E$9)/($G$9-$E$9),$E$9+SQRT(S964*($G$9-$E$9)*($F$9-$E$9)),$G$9-SQRT((1-S964)*($G$9-$E$9)*($G$9-$F$9))))</f>
        <v>0.975831612265071</v>
      </c>
      <c r="F964" s="51" t="n">
        <f aca="false">1+IF($G$10=$E$10,$F$10,IF(T964&lt;($F$10-$E$10)/($G$10-$E$10),$E$10+SQRT(T964*($G$10-$E$10)*($F$10-$E$10)),$G$10-SQRT((1-T964)*($G$10-$E$10)*($G$10-$F$10))))</f>
        <v>1.05401390728743</v>
      </c>
      <c r="G964" s="52" t="n">
        <f aca="false">IF($G$11=$E$11,$F$11,IF(U964&lt;($F$11-$E$11)/($G$11-$E$11),$E$11+SQRT(U964*($G$11-$E$11)*($F$11-$E$11)),$G$11-SQRT((1-U964)*($G$11-$E$11)*($G$11-$F$11))))</f>
        <v>0.0825691475856075</v>
      </c>
      <c r="H964" s="53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-2108027814.57486</v>
      </c>
      <c r="I964" s="53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12726078.9663874</v>
      </c>
      <c r="J964" s="53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320570095.36341</v>
      </c>
      <c r="K964" s="53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681114807.124805</v>
      </c>
      <c r="L964" s="53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817698340.215679</v>
      </c>
      <c r="M964" s="53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1004527075.48761</v>
      </c>
      <c r="N964" s="53" t="n">
        <f aca="false">IF(COUNT('Business Case'!B11:G11)=0,"",H964+NPV(G964,I964:M964))</f>
        <v>-14949777.1110282</v>
      </c>
      <c r="P964" s="54" t="n">
        <f aca="true">RAND()</f>
        <v>0.533971248346447</v>
      </c>
      <c r="Q964" s="54" t="n">
        <f aca="true">RAND()</f>
        <v>0.637347501126374</v>
      </c>
      <c r="R964" s="54" t="n">
        <f aca="true">RAND()</f>
        <v>0.103071698388581</v>
      </c>
      <c r="S964" s="54" t="n">
        <f aca="true">RAND()</f>
        <v>0.230017336748802</v>
      </c>
      <c r="T964" s="54" t="n">
        <f aca="true">RAND()</f>
        <v>0.487859352843456</v>
      </c>
      <c r="U964" s="54" t="n">
        <f aca="true">RAND()</f>
        <v>0.00660051931663262</v>
      </c>
    </row>
    <row r="965" customFormat="false" ht="15" hidden="false" customHeight="false" outlineLevel="0" collapsed="false">
      <c r="A965" s="50" t="n">
        <v>885</v>
      </c>
      <c r="B965" s="51" t="n">
        <f aca="false">1+IF($G$6=$E$6,$F$6,IF(P965&lt;($F$6-$E$6)/($G$6-$E$6),$E$6+SQRT(P965*($G$6-$E$6)*($F$6-$E$6)),$G$6-SQRT((1-P965)*($G$6-$E$6)*($G$6-$F$6))))</f>
        <v>1.00183755913501</v>
      </c>
      <c r="C965" s="51" t="n">
        <f aca="false">1+IF($G$7=$E$7,$F$7,IF(Q965&lt;($F$7-$E$7)/($G$7-$E$7),$E$7+SQRT(Q965*($G$7-$E$7)*($F$7-$E$7)),$G$7-SQRT((1-Q965)*($G$7-$E$7)*($G$7-$F$7))))</f>
        <v>1.06551717803228</v>
      </c>
      <c r="D965" s="51" t="n">
        <f aca="false">1+IF($G$8=$E$8,$F$8,IF(R965&lt;($F$8-$E$8)/($G$8-$E$8),$E$8+SQRT(R965*($G$8-$E$8)*($F$8-$E$8)),$G$8-SQRT((1-R965)*($G$8-$E$8)*($G$8-$F$8))))</f>
        <v>1.02885819982084</v>
      </c>
      <c r="E965" s="51" t="n">
        <f aca="false">1+IF($G$9=$E$9,$F$9,IF(S965&lt;($F$9-$E$9)/($G$9-$E$9),$E$9+SQRT(S965*($G$9-$E$9)*($F$9-$E$9)),$G$9-SQRT((1-S965)*($G$9-$E$9)*($G$9-$F$9))))</f>
        <v>0.991515153900602</v>
      </c>
      <c r="F965" s="51" t="n">
        <f aca="false">1+IF($G$10=$E$10,$F$10,IF(T965&lt;($F$10-$E$10)/($G$10-$E$10),$E$10+SQRT(T965*($G$10-$E$10)*($F$10-$E$10)),$G$10-SQRT((1-T965)*($G$10-$E$10)*($G$10-$F$10))))</f>
        <v>0.991354823667045</v>
      </c>
      <c r="G965" s="52" t="n">
        <f aca="false">IF($G$11=$E$11,$F$11,IF(U965&lt;($F$11-$E$11)/($G$11-$E$11),$E$11+SQRT(U965*($G$11-$E$11)*($F$11-$E$11)),$G$11-SQRT((1-U965)*($G$11-$E$11)*($G$11-$F$11))))</f>
        <v>0.116849214123</v>
      </c>
      <c r="H965" s="53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-1982709647.33409</v>
      </c>
      <c r="I965" s="53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17671606.2358906</v>
      </c>
      <c r="J965" s="53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330810060.403061</v>
      </c>
      <c r="K965" s="53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693516255.753584</v>
      </c>
      <c r="L965" s="53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834787680.929247</v>
      </c>
      <c r="M965" s="53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1037693353.42225</v>
      </c>
      <c r="N965" s="53" t="n">
        <f aca="false">IF(COUNT('Business Case'!B11:G11)=0,"",H965+NPV(G965,I965:M965))</f>
        <v>-70153836.3348229</v>
      </c>
      <c r="P965" s="54" t="n">
        <f aca="true">RAND()</f>
        <v>0.690717238656859</v>
      </c>
      <c r="Q965" s="54" t="n">
        <f aca="true">RAND()</f>
        <v>0.894261522849939</v>
      </c>
      <c r="R965" s="54" t="n">
        <f aca="true">RAND()</f>
        <v>0.662589617817897</v>
      </c>
      <c r="S965" s="54" t="n">
        <f aca="true">RAND()</f>
        <v>0.335000935738035</v>
      </c>
      <c r="T965" s="54" t="n">
        <f aca="true">RAND()</f>
        <v>0.114014762702159</v>
      </c>
      <c r="U965" s="54" t="n">
        <f aca="true">RAND()</f>
        <v>0.884704553878206</v>
      </c>
    </row>
    <row r="966" customFormat="false" ht="15" hidden="false" customHeight="false" outlineLevel="0" collapsed="false">
      <c r="A966" s="50" t="n">
        <v>886</v>
      </c>
      <c r="B966" s="51" t="n">
        <f aca="false">1+IF($G$6=$E$6,$F$6,IF(P966&lt;($F$6-$E$6)/($G$6-$E$6),$E$6+SQRT(P966*($G$6-$E$6)*($F$6-$E$6)),$G$6-SQRT((1-P966)*($G$6-$E$6)*($G$6-$F$6))))</f>
        <v>1.01657709660119</v>
      </c>
      <c r="C966" s="51" t="n">
        <f aca="false">1+IF($G$7=$E$7,$F$7,IF(Q966&lt;($F$7-$E$7)/($G$7-$E$7),$E$7+SQRT(Q966*($G$7-$E$7)*($F$7-$E$7)),$G$7-SQRT((1-Q966)*($G$7-$E$7)*($G$7-$F$7))))</f>
        <v>1.09534127380417</v>
      </c>
      <c r="D966" s="51" t="n">
        <f aca="false">1+IF($G$8=$E$8,$F$8,IF(R966&lt;($F$8-$E$8)/($G$8-$E$8),$E$8+SQRT(R966*($G$8-$E$8)*($F$8-$E$8)),$G$8-SQRT((1-R966)*($G$8-$E$8)*($G$8-$F$8))))</f>
        <v>1.0059733128149</v>
      </c>
      <c r="E966" s="51" t="n">
        <f aca="false">1+IF($G$9=$E$9,$F$9,IF(S966&lt;($F$9-$E$9)/($G$9-$E$9),$E$9+SQRT(S966*($G$9-$E$9)*($F$9-$E$9)),$G$9-SQRT((1-S966)*($G$9-$E$9)*($G$9-$F$9))))</f>
        <v>1.10649777331926</v>
      </c>
      <c r="F966" s="51" t="n">
        <f aca="false">1+IF($G$10=$E$10,$F$10,IF(T966&lt;($F$10-$E$10)/($G$10-$E$10),$E$10+SQRT(T966*($G$10-$E$10)*($F$10-$E$10)),$G$10-SQRT((1-T966)*($G$10-$E$10)*($G$10-$F$10))))</f>
        <v>0.978439269453053</v>
      </c>
      <c r="G966" s="52" t="n">
        <f aca="false">IF($G$11=$E$11,$F$11,IF(U966&lt;($F$11-$E$11)/($G$11-$E$11),$E$11+SQRT(U966*($G$11-$E$11)*($F$11-$E$11)),$G$11-SQRT((1-U966)*($G$11-$E$11)*($G$11-$F$11))))</f>
        <v>0.10282784514879</v>
      </c>
      <c r="H966" s="53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-1956878538.90611</v>
      </c>
      <c r="I966" s="53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35047537.5511884</v>
      </c>
      <c r="J966" s="53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383006765.896762</v>
      </c>
      <c r="K966" s="53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779887957.714989</v>
      </c>
      <c r="L966" s="53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934356887.485567</v>
      </c>
      <c r="M966" s="53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1146010749.25686</v>
      </c>
      <c r="N966" s="53" t="n">
        <f aca="false">IF(COUNT('Business Case'!B11:G11)=0,"",H966+NPV(G966,I966:M966))</f>
        <v>305423914.927759</v>
      </c>
      <c r="P966" s="54" t="n">
        <f aca="true">RAND()</f>
        <v>0.851054603785806</v>
      </c>
      <c r="Q966" s="54" t="n">
        <f aca="true">RAND()</f>
        <v>0.955739609639247</v>
      </c>
      <c r="R966" s="54" t="n">
        <f aca="true">RAND()</f>
        <v>0.410598806466384</v>
      </c>
      <c r="S966" s="54" t="n">
        <f aca="true">RAND()</f>
        <v>0.94953483396847</v>
      </c>
      <c r="T966" s="54" t="n">
        <f aca="true">RAND()</f>
        <v>0.053919469801558</v>
      </c>
      <c r="U966" s="54" t="n">
        <f aca="true">RAND()</f>
        <v>0.507782667161246</v>
      </c>
    </row>
    <row r="967" customFormat="false" ht="15" hidden="false" customHeight="false" outlineLevel="0" collapsed="false">
      <c r="A967" s="50" t="n">
        <v>887</v>
      </c>
      <c r="B967" s="51" t="n">
        <f aca="false">1+IF($G$6=$E$6,$F$6,IF(P967&lt;($F$6-$E$6)/($G$6-$E$6),$E$6+SQRT(P967*($G$6-$E$6)*($F$6-$E$6)),$G$6-SQRT((1-P967)*($G$6-$E$6)*($G$6-$F$6))))</f>
        <v>1.02771957543344</v>
      </c>
      <c r="C967" s="51" t="n">
        <f aca="false">1+IF($G$7=$E$7,$F$7,IF(Q967&lt;($F$7-$E$7)/($G$7-$E$7),$E$7+SQRT(Q967*($G$7-$E$7)*($F$7-$E$7)),$G$7-SQRT((1-Q967)*($G$7-$E$7)*($G$7-$F$7))))</f>
        <v>0.937061479871286</v>
      </c>
      <c r="D967" s="51" t="n">
        <f aca="false">1+IF($G$8=$E$8,$F$8,IF(R967&lt;($F$8-$E$8)/($G$8-$E$8),$E$8+SQRT(R967*($G$8-$E$8)*($F$8-$E$8)),$G$8-SQRT((1-R967)*($G$8-$E$8)*($G$8-$F$8))))</f>
        <v>0.98443657592285</v>
      </c>
      <c r="E967" s="51" t="n">
        <f aca="false">1+IF($G$9=$E$9,$F$9,IF(S967&lt;($F$9-$E$9)/($G$9-$E$9),$E$9+SQRT(S967*($G$9-$E$9)*($F$9-$E$9)),$G$9-SQRT((1-S967)*($G$9-$E$9)*($G$9-$F$9))))</f>
        <v>1.01805096823829</v>
      </c>
      <c r="F967" s="51" t="n">
        <f aca="false">1+IF($G$10=$E$10,$F$10,IF(T967&lt;($F$10-$E$10)/($G$10-$E$10),$E$10+SQRT(T967*($G$10-$E$10)*($F$10-$E$10)),$G$10-SQRT((1-T967)*($G$10-$E$10)*($G$10-$F$10))))</f>
        <v>1.03162583641771</v>
      </c>
      <c r="G967" s="52" t="n">
        <f aca="false">IF($G$11=$E$11,$F$11,IF(U967&lt;($F$11-$E$11)/($G$11-$E$11),$E$11+SQRT(U967*($G$11-$E$11)*($F$11-$E$11)),$G$11-SQRT((1-U967)*($G$11-$E$11)*($G$11-$F$11))))</f>
        <v>0.112392372716373</v>
      </c>
      <c r="H967" s="53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-2063251672.83543</v>
      </c>
      <c r="I967" s="53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18708201.7927597</v>
      </c>
      <c r="J967" s="53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335269643.24749</v>
      </c>
      <c r="K967" s="53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703412376.523106</v>
      </c>
      <c r="L967" s="53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842215395.899159</v>
      </c>
      <c r="M967" s="53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1025269359.80044</v>
      </c>
      <c r="N967" s="53" t="n">
        <f aca="false">IF(COUNT('Business Case'!B11:G11)=0,"",H967+NPV(G967,I967:M967))</f>
        <v>-112503930.902412</v>
      </c>
      <c r="P967" s="54" t="n">
        <f aca="true">RAND()</f>
        <v>0.93381102415115</v>
      </c>
      <c r="Q967" s="54" t="n">
        <f aca="true">RAND()</f>
        <v>0.416282557324179</v>
      </c>
      <c r="R967" s="54" t="n">
        <f aca="true">RAND()</f>
        <v>0.158117034838692</v>
      </c>
      <c r="S967" s="54" t="n">
        <f aca="true">RAND()</f>
        <v>0.535718747123939</v>
      </c>
      <c r="T967" s="54" t="n">
        <f aca="true">RAND()</f>
        <v>0.364169662396492</v>
      </c>
      <c r="U967" s="54" t="n">
        <f aca="true">RAND()</f>
        <v>0.793314307627253</v>
      </c>
    </row>
    <row r="968" customFormat="false" ht="15" hidden="false" customHeight="false" outlineLevel="0" collapsed="false">
      <c r="A968" s="50" t="n">
        <v>888</v>
      </c>
      <c r="B968" s="51" t="n">
        <f aca="false">1+IF($G$6=$E$6,$F$6,IF(P968&lt;($F$6-$E$6)/($G$6-$E$6),$E$6+SQRT(P968*($G$6-$E$6)*($F$6-$E$6)),$G$6-SQRT((1-P968)*($G$6-$E$6)*($G$6-$F$6))))</f>
        <v>1.00169935465185</v>
      </c>
      <c r="C968" s="51" t="n">
        <f aca="false">1+IF($G$7=$E$7,$F$7,IF(Q968&lt;($F$7-$E$7)/($G$7-$E$7),$E$7+SQRT(Q968*($G$7-$E$7)*($F$7-$E$7)),$G$7-SQRT((1-Q968)*($G$7-$E$7)*($G$7-$F$7))))</f>
        <v>0.837606839701677</v>
      </c>
      <c r="D968" s="51" t="n">
        <f aca="false">1+IF($G$8=$E$8,$F$8,IF(R968&lt;($F$8-$E$8)/($G$8-$E$8),$E$8+SQRT(R968*($G$8-$E$8)*($F$8-$E$8)),$G$8-SQRT((1-R968)*($G$8-$E$8)*($G$8-$F$8))))</f>
        <v>0.991709452946283</v>
      </c>
      <c r="E968" s="51" t="n">
        <f aca="false">1+IF($G$9=$E$9,$F$9,IF(S968&lt;($F$9-$E$9)/($G$9-$E$9),$E$9+SQRT(S968*($G$9-$E$9)*($F$9-$E$9)),$G$9-SQRT((1-S968)*($G$9-$E$9)*($G$9-$F$9))))</f>
        <v>0.927016488215104</v>
      </c>
      <c r="F968" s="51" t="n">
        <f aca="false">1+IF($G$10=$E$10,$F$10,IF(T968&lt;($F$10-$E$10)/($G$10-$E$10),$E$10+SQRT(T968*($G$10-$E$10)*($F$10-$E$10)),$G$10-SQRT((1-T968)*($G$10-$E$10)*($G$10-$F$10))))</f>
        <v>1.06095737150915</v>
      </c>
      <c r="G968" s="52" t="n">
        <f aca="false">IF($G$11=$E$11,$F$11,IF(U968&lt;($F$11-$E$11)/($G$11-$E$11),$E$11+SQRT(U968*($G$11-$E$11)*($F$11-$E$11)),$G$11-SQRT((1-U968)*($G$11-$E$11)*($G$11-$F$11))))</f>
        <v>0.0932803875044119</v>
      </c>
      <c r="H968" s="53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-2121914743.01829</v>
      </c>
      <c r="I968" s="53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-19419448.5844799</v>
      </c>
      <c r="J968" s="53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242573911.769838</v>
      </c>
      <c r="K968" s="53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557615140.699613</v>
      </c>
      <c r="L968" s="53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673943145.593515</v>
      </c>
      <c r="M968" s="53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833426011.860395</v>
      </c>
      <c r="N968" s="53" t="n">
        <f aca="false">IF(COUNT('Business Case'!B11:G11)=0,"",H968+NPV(G968,I968:M968))</f>
        <v>-504688343.487574</v>
      </c>
      <c r="P968" s="54" t="n">
        <f aca="true">RAND()</f>
        <v>0.688939687860359</v>
      </c>
      <c r="Q968" s="54" t="n">
        <f aca="true">RAND()</f>
        <v>0.140264017279133</v>
      </c>
      <c r="R968" s="54" t="n">
        <f aca="true">RAND()</f>
        <v>0.231957128677088</v>
      </c>
      <c r="S968" s="54" t="n">
        <f aca="true">RAND()</f>
        <v>0.0291956254190747</v>
      </c>
      <c r="T968" s="54" t="n">
        <f aca="true">RAND()</f>
        <v>0.523505128176925</v>
      </c>
      <c r="U968" s="54" t="n">
        <f aca="true">RAND()</f>
        <v>0.176368692267339</v>
      </c>
    </row>
    <row r="969" customFormat="false" ht="15" hidden="false" customHeight="false" outlineLevel="0" collapsed="false">
      <c r="A969" s="50" t="n">
        <v>889</v>
      </c>
      <c r="B969" s="51" t="n">
        <f aca="false">1+IF($G$6=$E$6,$F$6,IF(P969&lt;($F$6-$E$6)/($G$6-$E$6),$E$6+SQRT(P969*($G$6-$E$6)*($F$6-$E$6)),$G$6-SQRT((1-P969)*($G$6-$E$6)*($G$6-$F$6))))</f>
        <v>1.00648636990729</v>
      </c>
      <c r="C969" s="51" t="n">
        <f aca="false">1+IF($G$7=$E$7,$F$7,IF(Q969&lt;($F$7-$E$7)/($G$7-$E$7),$E$7+SQRT(Q969*($G$7-$E$7)*($F$7-$E$7)),$G$7-SQRT((1-Q969)*($G$7-$E$7)*($G$7-$F$7))))</f>
        <v>0.981790606204619</v>
      </c>
      <c r="D969" s="51" t="n">
        <f aca="false">1+IF($G$8=$E$8,$F$8,IF(R969&lt;($F$8-$E$8)/($G$8-$E$8),$E$8+SQRT(R969*($G$8-$E$8)*($F$8-$E$8)),$G$8-SQRT((1-R969)*($G$8-$E$8)*($G$8-$F$8))))</f>
        <v>1.02812213547622</v>
      </c>
      <c r="E969" s="51" t="n">
        <f aca="false">1+IF($G$9=$E$9,$F$9,IF(S969&lt;($F$9-$E$9)/($G$9-$E$9),$E$9+SQRT(S969*($G$9-$E$9)*($F$9-$E$9)),$G$9-SQRT((1-S969)*($G$9-$E$9)*($G$9-$F$9))))</f>
        <v>1.1134057720434</v>
      </c>
      <c r="F969" s="51" t="n">
        <f aca="false">1+IF($G$10=$E$10,$F$10,IF(T969&lt;($F$10-$E$10)/($G$10-$E$10),$E$10+SQRT(T969*($G$10-$E$10)*($F$10-$E$10)),$G$10-SQRT((1-T969)*($G$10-$E$10)*($G$10-$F$10))))</f>
        <v>0.975158806686862</v>
      </c>
      <c r="G969" s="52" t="n">
        <f aca="false">IF($G$11=$E$11,$F$11,IF(U969&lt;($F$11-$E$11)/($G$11-$E$11),$E$11+SQRT(U969*($G$11-$E$11)*($F$11-$E$11)),$G$11-SQRT((1-U969)*($G$11-$E$11)*($G$11-$F$11))))</f>
        <v>0.0981932432431223</v>
      </c>
      <c r="H969" s="53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-1950317613.37372</v>
      </c>
      <c r="I969" s="53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-14427463.6099151</v>
      </c>
      <c r="J969" s="53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278213409.704201</v>
      </c>
      <c r="K969" s="53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619612223.352661</v>
      </c>
      <c r="L969" s="53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751309951.437882</v>
      </c>
      <c r="M969" s="53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939139188.164055</v>
      </c>
      <c r="N969" s="53" t="n">
        <f aca="false">IF(COUNT('Business Case'!B11:G11)=0,"",H969+NPV(G969,I969:M969))</f>
        <v>-160459822.776249</v>
      </c>
      <c r="P969" s="54" t="n">
        <f aca="true">RAND()</f>
        <v>0.747541866153949</v>
      </c>
      <c r="Q969" s="54" t="n">
        <f aca="true">RAND()</f>
        <v>0.588192190704939</v>
      </c>
      <c r="R969" s="54" t="n">
        <f aca="true">RAND()</f>
        <v>0.655571506100044</v>
      </c>
      <c r="S969" s="54" t="n">
        <f aca="true">RAND()</f>
        <v>0.964289666140271</v>
      </c>
      <c r="T969" s="54" t="n">
        <f aca="true">RAND()</f>
        <v>0.0421977035937918</v>
      </c>
      <c r="U969" s="54" t="n">
        <f aca="true">RAND()</f>
        <v>0.330994099703416</v>
      </c>
    </row>
    <row r="970" customFormat="false" ht="15" hidden="false" customHeight="false" outlineLevel="0" collapsed="false">
      <c r="A970" s="50" t="n">
        <v>890</v>
      </c>
      <c r="B970" s="51" t="n">
        <f aca="false">1+IF($G$6=$E$6,$F$6,IF(P970&lt;($F$6-$E$6)/($G$6-$E$6),$E$6+SQRT(P970*($G$6-$E$6)*($F$6-$E$6)),$G$6-SQRT((1-P970)*($G$6-$E$6)*($G$6-$F$6))))</f>
        <v>0.961683867936758</v>
      </c>
      <c r="C970" s="51" t="n">
        <f aca="false">1+IF($G$7=$E$7,$F$7,IF(Q970&lt;($F$7-$E$7)/($G$7-$E$7),$E$7+SQRT(Q970*($G$7-$E$7)*($F$7-$E$7)),$G$7-SQRT((1-Q970)*($G$7-$E$7)*($G$7-$F$7))))</f>
        <v>1.02180141826094</v>
      </c>
      <c r="D970" s="51" t="n">
        <f aca="false">1+IF($G$8=$E$8,$F$8,IF(R970&lt;($F$8-$E$8)/($G$8-$E$8),$E$8+SQRT(R970*($G$8-$E$8)*($F$8-$E$8)),$G$8-SQRT((1-R970)*($G$8-$E$8)*($G$8-$F$8))))</f>
        <v>0.972644751041317</v>
      </c>
      <c r="E970" s="51" t="n">
        <f aca="false">1+IF($G$9=$E$9,$F$9,IF(S970&lt;($F$9-$E$9)/($G$9-$E$9),$E$9+SQRT(S970*($G$9-$E$9)*($F$9-$E$9)),$G$9-SQRT((1-S970)*($G$9-$E$9)*($G$9-$F$9))))</f>
        <v>0.953902086509874</v>
      </c>
      <c r="F970" s="51" t="n">
        <f aca="false">1+IF($G$10=$E$10,$F$10,IF(T970&lt;($F$10-$E$10)/($G$10-$E$10),$E$10+SQRT(T970*($G$10-$E$10)*($F$10-$E$10)),$G$10-SQRT((1-T970)*($G$10-$E$10)*($G$10-$F$10))))</f>
        <v>1.14996089767962</v>
      </c>
      <c r="G970" s="52" t="n">
        <f aca="false">IF($G$11=$E$11,$F$11,IF(U970&lt;($F$11-$E$11)/($G$11-$E$11),$E$11+SQRT(U970*($G$11-$E$11)*($F$11-$E$11)),$G$11-SQRT((1-U970)*($G$11-$E$11)*($G$11-$F$11))))</f>
        <v>0.110422881160541</v>
      </c>
      <c r="H970" s="53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-2299921795.35924</v>
      </c>
      <c r="I970" s="53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-5492070.05730015</v>
      </c>
      <c r="J970" s="53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290597399.253813</v>
      </c>
      <c r="K970" s="53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644184913.448907</v>
      </c>
      <c r="L970" s="53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776841785.151776</v>
      </c>
      <c r="M970" s="53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963623885.780515</v>
      </c>
      <c r="N970" s="53" t="n">
        <f aca="false">IF(COUNT('Business Case'!B11:G11)=0,"",H970+NPV(G970,I970:M970))</f>
        <v>-516980978.526917</v>
      </c>
      <c r="P970" s="54" t="n">
        <f aca="true">RAND()</f>
        <v>0.253659970909293</v>
      </c>
      <c r="Q970" s="54" t="n">
        <f aca="true">RAND()</f>
        <v>0.75652035022361</v>
      </c>
      <c r="R970" s="54" t="n">
        <f aca="true">RAND()</f>
        <v>0.0683712999630952</v>
      </c>
      <c r="S970" s="54" t="n">
        <f aca="true">RAND()</f>
        <v>0.116217397204718</v>
      </c>
      <c r="T970" s="54" t="n">
        <f aca="true">RAND()</f>
        <v>0.866562373425772</v>
      </c>
      <c r="U970" s="54" t="n">
        <f aca="true">RAND()</f>
        <v>0.744490945297139</v>
      </c>
    </row>
    <row r="971" customFormat="false" ht="15" hidden="false" customHeight="false" outlineLevel="0" collapsed="false">
      <c r="A971" s="50" t="n">
        <v>891</v>
      </c>
      <c r="B971" s="51" t="n">
        <f aca="false">1+IF($G$6=$E$6,$F$6,IF(P971&lt;($F$6-$E$6)/($G$6-$E$6),$E$6+SQRT(P971*($G$6-$E$6)*($F$6-$E$6)),$G$6-SQRT((1-P971)*($G$6-$E$6)*($G$6-$F$6))))</f>
        <v>0.991473016145223</v>
      </c>
      <c r="C971" s="51" t="n">
        <f aca="false">1+IF($G$7=$E$7,$F$7,IF(Q971&lt;($F$7-$E$7)/($G$7-$E$7),$E$7+SQRT(Q971*($G$7-$E$7)*($F$7-$E$7)),$G$7-SQRT((1-Q971)*($G$7-$E$7)*($G$7-$F$7))))</f>
        <v>0.83863943049117</v>
      </c>
      <c r="D971" s="51" t="n">
        <f aca="false">1+IF($G$8=$E$8,$F$8,IF(R971&lt;($F$8-$E$8)/($G$8-$E$8),$E$8+SQRT(R971*($G$8-$E$8)*($F$8-$E$8)),$G$8-SQRT((1-R971)*($G$8-$E$8)*($G$8-$F$8))))</f>
        <v>1.02036953230729</v>
      </c>
      <c r="E971" s="51" t="n">
        <f aca="false">1+IF($G$9=$E$9,$F$9,IF(S971&lt;($F$9-$E$9)/($G$9-$E$9),$E$9+SQRT(S971*($G$9-$E$9)*($F$9-$E$9)),$G$9-SQRT((1-S971)*($G$9-$E$9)*($G$9-$F$9))))</f>
        <v>0.966909200834587</v>
      </c>
      <c r="F971" s="51" t="n">
        <f aca="false">1+IF($G$10=$E$10,$F$10,IF(T971&lt;($F$10-$E$10)/($G$10-$E$10),$E$10+SQRT(T971*($G$10-$E$10)*($F$10-$E$10)),$G$10-SQRT((1-T971)*($G$10-$E$10)*($G$10-$F$10))))</f>
        <v>0.972263481582525</v>
      </c>
      <c r="G971" s="52" t="n">
        <f aca="false">IF($G$11=$E$11,$F$11,IF(U971&lt;($F$11-$E$11)/($G$11-$E$11),$E$11+SQRT(U971*($G$11-$E$11)*($F$11-$E$11)),$G$11-SQRT((1-U971)*($G$11-$E$11)*($G$11-$F$11))))</f>
        <v>0.094815954083751</v>
      </c>
      <c r="H971" s="53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-1944526963.16505</v>
      </c>
      <c r="I971" s="53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-34837624.2393017</v>
      </c>
      <c r="J971" s="53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208149944.911415</v>
      </c>
      <c r="K971" s="53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499750688.141257</v>
      </c>
      <c r="L971" s="53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609482782.440221</v>
      </c>
      <c r="M971" s="53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767532090.974874</v>
      </c>
      <c r="N971" s="53" t="n">
        <f aca="false">IF(COUNT('Business Case'!B11:G11)=0,"",H971+NPV(G971,I971:M971))</f>
        <v>-509667492.459543</v>
      </c>
      <c r="P971" s="54" t="n">
        <f aca="true">RAND()</f>
        <v>0.557820845513609</v>
      </c>
      <c r="Q971" s="54" t="n">
        <f aca="true">RAND()</f>
        <v>0.142376975458637</v>
      </c>
      <c r="R971" s="54" t="n">
        <f aca="true">RAND()</f>
        <v>0.577265907669312</v>
      </c>
      <c r="S971" s="54" t="n">
        <f aca="true">RAND()</f>
        <v>0.179073646252923</v>
      </c>
      <c r="T971" s="54" t="n">
        <f aca="true">RAND()</f>
        <v>0.0330441741450271</v>
      </c>
      <c r="U971" s="54" t="n">
        <f aca="true">RAND()</f>
        <v>0.219512495411817</v>
      </c>
    </row>
    <row r="972" customFormat="false" ht="15" hidden="false" customHeight="false" outlineLevel="0" collapsed="false">
      <c r="A972" s="50" t="n">
        <v>892</v>
      </c>
      <c r="B972" s="51" t="n">
        <f aca="false">1+IF($G$6=$E$6,$F$6,IF(P972&lt;($F$6-$E$6)/($G$6-$E$6),$E$6+SQRT(P972*($G$6-$E$6)*($F$6-$E$6)),$G$6-SQRT((1-P972)*($G$6-$E$6)*($G$6-$F$6))))</f>
        <v>0.99199739499661</v>
      </c>
      <c r="C972" s="51" t="n">
        <f aca="false">1+IF($G$7=$E$7,$F$7,IF(Q972&lt;($F$7-$E$7)/($G$7-$E$7),$E$7+SQRT(Q972*($G$7-$E$7)*($F$7-$E$7)),$G$7-SQRT((1-Q972)*($G$7-$E$7)*($G$7-$F$7))))</f>
        <v>0.85631350813746</v>
      </c>
      <c r="D972" s="51" t="n">
        <f aca="false">1+IF($G$8=$E$8,$F$8,IF(R972&lt;($F$8-$E$8)/($G$8-$E$8),$E$8+SQRT(R972*($G$8-$E$8)*($F$8-$E$8)),$G$8-SQRT((1-R972)*($G$8-$E$8)*($G$8-$F$8))))</f>
        <v>0.983996774344693</v>
      </c>
      <c r="E972" s="51" t="n">
        <f aca="false">1+IF($G$9=$E$9,$F$9,IF(S972&lt;($F$9-$E$9)/($G$9-$E$9),$E$9+SQRT(S972*($G$9-$E$9)*($F$9-$E$9)),$G$9-SQRT((1-S972)*($G$9-$E$9)*($G$9-$F$9))))</f>
        <v>0.995264044516938</v>
      </c>
      <c r="F972" s="51" t="n">
        <f aca="false">1+IF($G$10=$E$10,$F$10,IF(T972&lt;($F$10-$E$10)/($G$10-$E$10),$E$10+SQRT(T972*($G$10-$E$10)*($F$10-$E$10)),$G$10-SQRT((1-T972)*($G$10-$E$10)*($G$10-$F$10))))</f>
        <v>0.977349846952709</v>
      </c>
      <c r="G972" s="52" t="n">
        <f aca="false">IF($G$11=$E$11,$F$11,IF(U972&lt;($F$11-$E$11)/($G$11-$E$11),$E$11+SQRT(U972*($G$11-$E$11)*($F$11-$E$11)),$G$11-SQRT((1-U972)*($G$11-$E$11)*($G$11-$F$11))))</f>
        <v>0.124906426637487</v>
      </c>
      <c r="H972" s="53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-1954699693.90542</v>
      </c>
      <c r="I972" s="53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-18876819.7153295</v>
      </c>
      <c r="J972" s="53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245543938.679205</v>
      </c>
      <c r="K972" s="53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558832189.421375</v>
      </c>
      <c r="L972" s="53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676329806.409075</v>
      </c>
      <c r="M972" s="53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837795309.451451</v>
      </c>
      <c r="N972" s="53" t="n">
        <f aca="false">IF(COUNT('Business Case'!B11:G11)=0,"",H972+NPV(G972,I972:M972))</f>
        <v>-497374368.741901</v>
      </c>
      <c r="P972" s="54" t="n">
        <f aca="true">RAND()</f>
        <v>0.564234712410814</v>
      </c>
      <c r="Q972" s="54" t="n">
        <f aca="true">RAND()</f>
        <v>0.180991946861036</v>
      </c>
      <c r="R972" s="54" t="n">
        <f aca="true">RAND()</f>
        <v>0.154104088779197</v>
      </c>
      <c r="S972" s="54" t="n">
        <f aca="true">RAND()</f>
        <v>0.363009527109002</v>
      </c>
      <c r="T972" s="54" t="n">
        <f aca="true">RAND()</f>
        <v>0.0498676085557753</v>
      </c>
      <c r="U972" s="54" t="n">
        <f aca="true">RAND()</f>
        <v>0.982703673600462</v>
      </c>
    </row>
    <row r="973" customFormat="false" ht="15" hidden="false" customHeight="false" outlineLevel="0" collapsed="false">
      <c r="A973" s="50" t="n">
        <v>893</v>
      </c>
      <c r="B973" s="51" t="n">
        <f aca="false">1+IF($G$6=$E$6,$F$6,IF(P973&lt;($F$6-$E$6)/($G$6-$E$6),$E$6+SQRT(P973*($G$6-$E$6)*($F$6-$E$6)),$G$6-SQRT((1-P973)*($G$6-$E$6)*($G$6-$F$6))))</f>
        <v>1.00555459003311</v>
      </c>
      <c r="C973" s="51" t="n">
        <f aca="false">1+IF($G$7=$E$7,$F$7,IF(Q973&lt;($F$7-$E$7)/($G$7-$E$7),$E$7+SQRT(Q973*($G$7-$E$7)*($F$7-$E$7)),$G$7-SQRT((1-Q973)*($G$7-$E$7)*($G$7-$F$7))))</f>
        <v>0.918367531769693</v>
      </c>
      <c r="D973" s="51" t="n">
        <f aca="false">1+IF($G$8=$E$8,$F$8,IF(R973&lt;($F$8-$E$8)/($G$8-$E$8),$E$8+SQRT(R973*($G$8-$E$8)*($F$8-$E$8)),$G$8-SQRT((1-R973)*($G$8-$E$8)*($G$8-$F$8))))</f>
        <v>1.03091835320161</v>
      </c>
      <c r="E973" s="51" t="n">
        <f aca="false">1+IF($G$9=$E$9,$F$9,IF(S973&lt;($F$9-$E$9)/($G$9-$E$9),$E$9+SQRT(S973*($G$9-$E$9)*($F$9-$E$9)),$G$9-SQRT((1-S973)*($G$9-$E$9)*($G$9-$F$9))))</f>
        <v>1.06367716782126</v>
      </c>
      <c r="F973" s="51" t="n">
        <f aca="false">1+IF($G$10=$E$10,$F$10,IF(T973&lt;($F$10-$E$10)/($G$10-$E$10),$E$10+SQRT(T973*($G$10-$E$10)*($F$10-$E$10)),$G$10-SQRT((1-T973)*($G$10-$E$10)*($G$10-$F$10))))</f>
        <v>1.12604042642468</v>
      </c>
      <c r="G973" s="52" t="n">
        <f aca="false">IF($G$11=$E$11,$F$11,IF(U973&lt;($F$11-$E$11)/($G$11-$E$11),$E$11+SQRT(U973*($G$11-$E$11)*($F$11-$E$11)),$G$11-SQRT((1-U973)*($G$11-$E$11)*($G$11-$F$11))))</f>
        <v>0.114713801181711</v>
      </c>
      <c r="H973" s="53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-2252080852.84937</v>
      </c>
      <c r="I973" s="53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-40010582.421824</v>
      </c>
      <c r="J973" s="53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231710387.792335</v>
      </c>
      <c r="K973" s="53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559733379.327729</v>
      </c>
      <c r="L973" s="53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682222113.885336</v>
      </c>
      <c r="M973" s="53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857755041.892883</v>
      </c>
      <c r="N973" s="53" t="n">
        <f aca="false">IF(COUNT('Business Case'!B11:G11)=0,"",H973+NPV(G973,I973:M973))</f>
        <v>-757186669.598405</v>
      </c>
      <c r="P973" s="54" t="n">
        <f aca="true">RAND()</f>
        <v>0.736614071049995</v>
      </c>
      <c r="Q973" s="54" t="n">
        <f aca="true">RAND()</f>
        <v>0.353217621712502</v>
      </c>
      <c r="R973" s="54" t="n">
        <f aca="true">RAND()</f>
        <v>0.681848405041499</v>
      </c>
      <c r="S973" s="54" t="n">
        <f aca="true">RAND()</f>
        <v>0.801289830523785</v>
      </c>
      <c r="T973" s="54" t="n">
        <f aca="true">RAND()</f>
        <v>0.79512032158701</v>
      </c>
      <c r="U973" s="54" t="n">
        <f aca="true">RAND()</f>
        <v>0.844221417125168</v>
      </c>
    </row>
    <row r="974" customFormat="false" ht="15" hidden="false" customHeight="false" outlineLevel="0" collapsed="false">
      <c r="A974" s="50" t="n">
        <v>894</v>
      </c>
      <c r="B974" s="51" t="n">
        <f aca="false">1+IF($G$6=$E$6,$F$6,IF(P974&lt;($F$6-$E$6)/($G$6-$E$6),$E$6+SQRT(P974*($G$6-$E$6)*($F$6-$E$6)),$G$6-SQRT((1-P974)*($G$6-$E$6)*($G$6-$F$6))))</f>
        <v>0.993347633761782</v>
      </c>
      <c r="C974" s="51" t="n">
        <f aca="false">1+IF($G$7=$E$7,$F$7,IF(Q974&lt;($F$7-$E$7)/($G$7-$E$7),$E$7+SQRT(Q974*($G$7-$E$7)*($F$7-$E$7)),$G$7-SQRT((1-Q974)*($G$7-$E$7)*($G$7-$F$7))))</f>
        <v>0.870600443015231</v>
      </c>
      <c r="D974" s="51" t="n">
        <f aca="false">1+IF($G$8=$E$8,$F$8,IF(R974&lt;($F$8-$E$8)/($G$8-$E$8),$E$8+SQRT(R974*($G$8-$E$8)*($F$8-$E$8)),$G$8-SQRT((1-R974)*($G$8-$E$8)*($G$8-$F$8))))</f>
        <v>1.00699694355539</v>
      </c>
      <c r="E974" s="51" t="n">
        <f aca="false">1+IF($G$9=$E$9,$F$9,IF(S974&lt;($F$9-$E$9)/($G$9-$E$9),$E$9+SQRT(S974*($G$9-$E$9)*($F$9-$E$9)),$G$9-SQRT((1-S974)*($G$9-$E$9)*($G$9-$F$9))))</f>
        <v>1.02542892332499</v>
      </c>
      <c r="F974" s="51" t="n">
        <f aca="false">1+IF($G$10=$E$10,$F$10,IF(T974&lt;($F$10-$E$10)/($G$10-$E$10),$E$10+SQRT(T974*($G$10-$E$10)*($F$10-$E$10)),$G$10-SQRT((1-T974)*($G$10-$E$10)*($G$10-$F$10))))</f>
        <v>1.09183966763103</v>
      </c>
      <c r="G974" s="52" t="n">
        <f aca="false">IF($G$11=$E$11,$F$11,IF(U974&lt;($F$11-$E$11)/($G$11-$E$11),$E$11+SQRT(U974*($G$11-$E$11)*($F$11-$E$11)),$G$11-SQRT((1-U974)*($G$11-$E$11)*($G$11-$F$11))))</f>
        <v>0.0841494063512526</v>
      </c>
      <c r="H974" s="53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-2183679335.26207</v>
      </c>
      <c r="I974" s="53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-40287066.4016503</v>
      </c>
      <c r="J974" s="53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219257519.715312</v>
      </c>
      <c r="K974" s="53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533394089.213827</v>
      </c>
      <c r="L974" s="53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649796746.491945</v>
      </c>
      <c r="M974" s="53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814179620.307163</v>
      </c>
      <c r="N974" s="53" t="n">
        <f aca="false">IF(COUNT('Business Case'!B11:G11)=0,"",H974+NPV(G974,I974:M974))</f>
        <v>-601771656.12592</v>
      </c>
      <c r="P974" s="54" t="n">
        <f aca="true">RAND()</f>
        <v>0.580918715261581</v>
      </c>
      <c r="Q974" s="54" t="n">
        <f aca="true">RAND()</f>
        <v>0.215588971533281</v>
      </c>
      <c r="R974" s="54" t="n">
        <f aca="true">RAND()</f>
        <v>0.423362099464061</v>
      </c>
      <c r="S974" s="54" t="n">
        <f aca="true">RAND()</f>
        <v>0.586187916160767</v>
      </c>
      <c r="T974" s="54" t="n">
        <f aca="true">RAND()</f>
        <v>0.666470790199179</v>
      </c>
      <c r="U974" s="54" t="n">
        <f aca="true">RAND()</f>
        <v>0.0172175730678152</v>
      </c>
    </row>
    <row r="975" customFormat="false" ht="15" hidden="false" customHeight="false" outlineLevel="0" collapsed="false">
      <c r="A975" s="50" t="n">
        <v>895</v>
      </c>
      <c r="B975" s="51" t="n">
        <f aca="false">1+IF($G$6=$E$6,$F$6,IF(P975&lt;($F$6-$E$6)/($G$6-$E$6),$E$6+SQRT(P975*($G$6-$E$6)*($F$6-$E$6)),$G$6-SQRT((1-P975)*($G$6-$E$6)*($G$6-$F$6))))</f>
        <v>0.965306214622856</v>
      </c>
      <c r="C975" s="51" t="n">
        <f aca="false">1+IF($G$7=$E$7,$F$7,IF(Q975&lt;($F$7-$E$7)/($G$7-$E$7),$E$7+SQRT(Q975*($G$7-$E$7)*($F$7-$E$7)),$G$7-SQRT((1-Q975)*($G$7-$E$7)*($G$7-$F$7))))</f>
        <v>0.968915084684641</v>
      </c>
      <c r="D975" s="51" t="n">
        <f aca="false">1+IF($G$8=$E$8,$F$8,IF(R975&lt;($F$8-$E$8)/($G$8-$E$8),$E$8+SQRT(R975*($G$8-$E$8)*($F$8-$E$8)),$G$8-SQRT((1-R975)*($G$8-$E$8)*($G$8-$F$8))))</f>
        <v>0.986239621169991</v>
      </c>
      <c r="E975" s="51" t="n">
        <f aca="false">1+IF($G$9=$E$9,$F$9,IF(S975&lt;($F$9-$E$9)/($G$9-$E$9),$E$9+SQRT(S975*($G$9-$E$9)*($F$9-$E$9)),$G$9-SQRT((1-S975)*($G$9-$E$9)*($G$9-$F$9))))</f>
        <v>0.963215049274904</v>
      </c>
      <c r="F975" s="51" t="n">
        <f aca="false">1+IF($G$10=$E$10,$F$10,IF(T975&lt;($F$10-$E$10)/($G$10-$E$10),$E$10+SQRT(T975*($G$10-$E$10)*($F$10-$E$10)),$G$10-SQRT((1-T975)*($G$10-$E$10)*($G$10-$F$10))))</f>
        <v>1.04356874653685</v>
      </c>
      <c r="G975" s="52" t="n">
        <f aca="false">IF($G$11=$E$11,$F$11,IF(U975&lt;($F$11-$E$11)/($G$11-$E$11),$E$11+SQRT(U975*($G$11-$E$11)*($F$11-$E$11)),$G$11-SQRT((1-U975)*($G$11-$E$11)*($G$11-$F$11))))</f>
        <v>0.104968997772468</v>
      </c>
      <c r="H975" s="53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-2087137493.07369</v>
      </c>
      <c r="I975" s="53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-12915920.5960548</v>
      </c>
      <c r="J975" s="53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263980152.647808</v>
      </c>
      <c r="K975" s="53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593054663.218513</v>
      </c>
      <c r="L975" s="53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717677313.752694</v>
      </c>
      <c r="M975" s="53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895459090.743613</v>
      </c>
      <c r="N975" s="53" t="n">
        <f aca="false">IF(COUNT('Business Case'!B11:G11)=0,"",H975+NPV(G975,I975:M975))</f>
        <v>-417987119.202699</v>
      </c>
      <c r="P975" s="54" t="n">
        <f aca="true">RAND()</f>
        <v>0.284326777891098</v>
      </c>
      <c r="Q975" s="54" t="n">
        <f aca="true">RAND()</f>
        <v>0.535669057562577</v>
      </c>
      <c r="R975" s="54" t="n">
        <f aca="true">RAND()</f>
        <v>0.175108019005925</v>
      </c>
      <c r="S975" s="54" t="n">
        <f aca="true">RAND()</f>
        <v>0.159845698193141</v>
      </c>
      <c r="T975" s="54" t="n">
        <f aca="true">RAND()</f>
        <v>0.431815167915078</v>
      </c>
      <c r="U975" s="54" t="n">
        <f aca="true">RAND()</f>
        <v>0.582299284990192</v>
      </c>
    </row>
    <row r="976" customFormat="false" ht="15" hidden="false" customHeight="false" outlineLevel="0" collapsed="false">
      <c r="A976" s="50" t="n">
        <v>896</v>
      </c>
      <c r="B976" s="51" t="n">
        <f aca="false">1+IF($G$6=$E$6,$F$6,IF(P976&lt;($F$6-$E$6)/($G$6-$E$6),$E$6+SQRT(P976*($G$6-$E$6)*($F$6-$E$6)),$G$6-SQRT((1-P976)*($G$6-$E$6)*($G$6-$F$6))))</f>
        <v>0.986415024278381</v>
      </c>
      <c r="C976" s="51" t="n">
        <f aca="false">1+IF($G$7=$E$7,$F$7,IF(Q976&lt;($F$7-$E$7)/($G$7-$E$7),$E$7+SQRT(Q976*($G$7-$E$7)*($F$7-$E$7)),$G$7-SQRT((1-Q976)*($G$7-$E$7)*($G$7-$F$7))))</f>
        <v>0.821131361123669</v>
      </c>
      <c r="D976" s="51" t="n">
        <f aca="false">1+IF($G$8=$E$8,$F$8,IF(R976&lt;($F$8-$E$8)/($G$8-$E$8),$E$8+SQRT(R976*($G$8-$E$8)*($F$8-$E$8)),$G$8-SQRT((1-R976)*($G$8-$E$8)*($G$8-$F$8))))</f>
        <v>0.957885259645482</v>
      </c>
      <c r="E976" s="51" t="n">
        <f aca="false">1+IF($G$9=$E$9,$F$9,IF(S976&lt;($F$9-$E$9)/($G$9-$E$9),$E$9+SQRT(S976*($G$9-$E$9)*($F$9-$E$9)),$G$9-SQRT((1-S976)*($G$9-$E$9)*($G$9-$F$9))))</f>
        <v>0.992679867092884</v>
      </c>
      <c r="F976" s="51" t="n">
        <f aca="false">1+IF($G$10=$E$10,$F$10,IF(T976&lt;($F$10-$E$10)/($G$10-$E$10),$E$10+SQRT(T976*($G$10-$E$10)*($F$10-$E$10)),$G$10-SQRT((1-T976)*($G$10-$E$10)*($G$10-$F$10))))</f>
        <v>1.09908811150481</v>
      </c>
      <c r="G976" s="52" t="n">
        <f aca="false">IF($G$11=$E$11,$F$11,IF(U976&lt;($F$11-$E$11)/($G$11-$E$11),$E$11+SQRT(U976*($G$11-$E$11)*($F$11-$E$11)),$G$11-SQRT((1-U976)*($G$11-$E$11)*($G$11-$F$11))))</f>
        <v>0.115670942171019</v>
      </c>
      <c r="H976" s="53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-2198176223.00962</v>
      </c>
      <c r="I976" s="53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-32278627.8930615</v>
      </c>
      <c r="J976" s="53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228499804.454087</v>
      </c>
      <c r="K976" s="53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544232642.376476</v>
      </c>
      <c r="L976" s="53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659151567.818273</v>
      </c>
      <c r="M976" s="53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813111865.111718</v>
      </c>
      <c r="N976" s="53" t="n">
        <f aca="false">IF(COUNT('Business Case'!B11:G11)=0,"",H976+NPV(G976,I976:M976))</f>
        <v>-755787365.546568</v>
      </c>
      <c r="P976" s="54" t="n">
        <f aca="true">RAND()</f>
        <v>0.497837094735546</v>
      </c>
      <c r="Q976" s="54" t="n">
        <f aca="true">RAND()</f>
        <v>0.108687456649428</v>
      </c>
      <c r="R976" s="54" t="n">
        <f aca="true">RAND()</f>
        <v>0.00829030929022125</v>
      </c>
      <c r="S976" s="54" t="n">
        <f aca="true">RAND()</f>
        <v>0.343582310574185</v>
      </c>
      <c r="T976" s="54" t="n">
        <f aca="true">RAND()</f>
        <v>0.696341358810861</v>
      </c>
      <c r="U976" s="54" t="n">
        <f aca="true">RAND()</f>
        <v>0.863118734489152</v>
      </c>
    </row>
    <row r="977" customFormat="false" ht="15" hidden="false" customHeight="false" outlineLevel="0" collapsed="false">
      <c r="A977" s="50" t="n">
        <v>897</v>
      </c>
      <c r="B977" s="51" t="n">
        <f aca="false">1+IF($G$6=$E$6,$F$6,IF(P977&lt;($F$6-$E$6)/($G$6-$E$6),$E$6+SQRT(P977*($G$6-$E$6)*($F$6-$E$6)),$G$6-SQRT((1-P977)*($G$6-$E$6)*($G$6-$F$6))))</f>
        <v>0.950173537597496</v>
      </c>
      <c r="C977" s="51" t="n">
        <f aca="false">1+IF($G$7=$E$7,$F$7,IF(Q977&lt;($F$7-$E$7)/($G$7-$E$7),$E$7+SQRT(Q977*($G$7-$E$7)*($F$7-$E$7)),$G$7-SQRT((1-Q977)*($G$7-$E$7)*($G$7-$F$7))))</f>
        <v>0.91939034985913</v>
      </c>
      <c r="D977" s="51" t="n">
        <f aca="false">1+IF($G$8=$E$8,$F$8,IF(R977&lt;($F$8-$E$8)/($G$8-$E$8),$E$8+SQRT(R977*($G$8-$E$8)*($F$8-$E$8)),$G$8-SQRT((1-R977)*($G$8-$E$8)*($G$8-$F$8))))</f>
        <v>1.02040453140168</v>
      </c>
      <c r="E977" s="51" t="n">
        <f aca="false">1+IF($G$9=$E$9,$F$9,IF(S977&lt;($F$9-$E$9)/($G$9-$E$9),$E$9+SQRT(S977*($G$9-$E$9)*($F$9-$E$9)),$G$9-SQRT((1-S977)*($G$9-$E$9)*($G$9-$F$9))))</f>
        <v>1.02575312722067</v>
      </c>
      <c r="F977" s="51" t="n">
        <f aca="false">1+IF($G$10=$E$10,$F$10,IF(T977&lt;($F$10-$E$10)/($G$10-$E$10),$E$10+SQRT(T977*($G$10-$E$10)*($F$10-$E$10)),$G$10-SQRT((1-T977)*($G$10-$E$10)*($G$10-$F$10))))</f>
        <v>1.04680300681166</v>
      </c>
      <c r="G977" s="52" t="n">
        <f aca="false">IF($G$11=$E$11,$F$11,IF(U977&lt;($F$11-$E$11)/($G$11-$E$11),$E$11+SQRT(U977*($G$11-$E$11)*($F$11-$E$11)),$G$11-SQRT((1-U977)*($G$11-$E$11)*($G$11-$F$11))))</f>
        <v>0.108863288501665</v>
      </c>
      <c r="H977" s="53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-2093606013.62331</v>
      </c>
      <c r="I977" s="53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-60561360.8795954</v>
      </c>
      <c r="J977" s="53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174706080.572018</v>
      </c>
      <c r="K977" s="53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462313672.364214</v>
      </c>
      <c r="L977" s="53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570927090.820928</v>
      </c>
      <c r="M977" s="53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736977249.671564</v>
      </c>
      <c r="N977" s="53" t="n">
        <f aca="false">IF(COUNT('Business Case'!B11:G11)=0,"",H977+NPV(G977,I977:M977))</f>
        <v>-849816754.953604</v>
      </c>
      <c r="P977" s="54" t="n">
        <f aca="true">RAND()</f>
        <v>0.167825591669824</v>
      </c>
      <c r="Q977" s="54" t="n">
        <f aca="true">RAND()</f>
        <v>0.356534263787492</v>
      </c>
      <c r="R977" s="54" t="n">
        <f aca="true">RAND()</f>
        <v>0.577637425240899</v>
      </c>
      <c r="S977" s="54" t="n">
        <f aca="true">RAND()</f>
        <v>0.588339056121488</v>
      </c>
      <c r="T977" s="54" t="n">
        <f aca="true">RAND()</f>
        <v>0.449479759456219</v>
      </c>
      <c r="U977" s="54" t="n">
        <f aca="true">RAND()</f>
        <v>0.702159618024098</v>
      </c>
    </row>
    <row r="978" customFormat="false" ht="15" hidden="false" customHeight="false" outlineLevel="0" collapsed="false">
      <c r="A978" s="50" t="n">
        <v>898</v>
      </c>
      <c r="B978" s="51" t="n">
        <f aca="false">1+IF($G$6=$E$6,$F$6,IF(P978&lt;($F$6-$E$6)/($G$6-$E$6),$E$6+SQRT(P978*($G$6-$E$6)*($F$6-$E$6)),$G$6-SQRT((1-P978)*($G$6-$E$6)*($G$6-$F$6))))</f>
        <v>0.97599565982135</v>
      </c>
      <c r="C978" s="51" t="n">
        <f aca="false">1+IF($G$7=$E$7,$F$7,IF(Q978&lt;($F$7-$E$7)/($G$7-$E$7),$E$7+SQRT(Q978*($G$7-$E$7)*($F$7-$E$7)),$G$7-SQRT((1-Q978)*($G$7-$E$7)*($G$7-$F$7))))</f>
        <v>1.03490392113498</v>
      </c>
      <c r="D978" s="51" t="n">
        <f aca="false">1+IF($G$8=$E$8,$F$8,IF(R978&lt;($F$8-$E$8)/($G$8-$E$8),$E$8+SQRT(R978*($G$8-$E$8)*($F$8-$E$8)),$G$8-SQRT((1-R978)*($G$8-$E$8)*($G$8-$F$8))))</f>
        <v>1.04115222990404</v>
      </c>
      <c r="E978" s="51" t="n">
        <f aca="false">1+IF($G$9=$E$9,$F$9,IF(S978&lt;($F$9-$E$9)/($G$9-$E$9),$E$9+SQRT(S978*($G$9-$E$9)*($F$9-$E$9)),$G$9-SQRT((1-S978)*($G$9-$E$9)*($G$9-$F$9))))</f>
        <v>1.07223038227925</v>
      </c>
      <c r="F978" s="51" t="n">
        <f aca="false">1+IF($G$10=$E$10,$F$10,IF(T978&lt;($F$10-$E$10)/($G$10-$E$10),$E$10+SQRT(T978*($G$10-$E$10)*($F$10-$E$10)),$G$10-SQRT((1-T978)*($G$10-$E$10)*($G$10-$F$10))))</f>
        <v>0.984200651754698</v>
      </c>
      <c r="G978" s="52" t="n">
        <f aca="false">IF($G$11=$E$11,$F$11,IF(U978&lt;($F$11-$E$11)/($G$11-$E$11),$E$11+SQRT(U978*($G$11-$E$11)*($F$11-$E$11)),$G$11-SQRT((1-U978)*($G$11-$E$11)*($G$11-$F$11))))</f>
        <v>0.10268616162862</v>
      </c>
      <c r="H978" s="53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-1968401303.5094</v>
      </c>
      <c r="I978" s="53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-27529513.7057358</v>
      </c>
      <c r="J978" s="53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248193798.485162</v>
      </c>
      <c r="K978" s="53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573127143.263795</v>
      </c>
      <c r="L978" s="53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699942647.568129</v>
      </c>
      <c r="M978" s="53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891935182.225327</v>
      </c>
      <c r="N978" s="53" t="n">
        <f aca="false">IF(COUNT('Business Case'!B11:G11)=0,"",H978+NPV(G978,I978:M978))</f>
        <v>-341249069.855247</v>
      </c>
      <c r="P978" s="54" t="n">
        <f aca="true">RAND()</f>
        <v>0.385022687445485</v>
      </c>
      <c r="Q978" s="54" t="n">
        <f aca="true">RAND()</f>
        <v>0.803746557479963</v>
      </c>
      <c r="R978" s="54" t="n">
        <f aca="true">RAND()</f>
        <v>0.769129330315539</v>
      </c>
      <c r="S978" s="54" t="n">
        <f aca="true">RAND()</f>
        <v>0.838716974921829</v>
      </c>
      <c r="T978" s="54" t="n">
        <f aca="true">RAND()</f>
        <v>0.0779789720297401</v>
      </c>
      <c r="U978" s="54" t="n">
        <f aca="true">RAND()</f>
        <v>0.502636155614742</v>
      </c>
    </row>
    <row r="979" customFormat="false" ht="15" hidden="false" customHeight="false" outlineLevel="0" collapsed="false">
      <c r="A979" s="50" t="n">
        <v>899</v>
      </c>
      <c r="B979" s="51" t="n">
        <f aca="false">1+IF($G$6=$E$6,$F$6,IF(P979&lt;($F$6-$E$6)/($G$6-$E$6),$E$6+SQRT(P979*($G$6-$E$6)*($F$6-$E$6)),$G$6-SQRT((1-P979)*($G$6-$E$6)*($G$6-$F$6))))</f>
        <v>0.984394999946862</v>
      </c>
      <c r="C979" s="51" t="n">
        <f aca="false">1+IF($G$7=$E$7,$F$7,IF(Q979&lt;($F$7-$E$7)/($G$7-$E$7),$E$7+SQRT(Q979*($G$7-$E$7)*($F$7-$E$7)),$G$7-SQRT((1-Q979)*($G$7-$E$7)*($G$7-$F$7))))</f>
        <v>1.05216680332502</v>
      </c>
      <c r="D979" s="51" t="n">
        <f aca="false">1+IF($G$8=$E$8,$F$8,IF(R979&lt;($F$8-$E$8)/($G$8-$E$8),$E$8+SQRT(R979*($G$8-$E$8)*($F$8-$E$8)),$G$8-SQRT((1-R979)*($G$8-$E$8)*($G$8-$F$8))))</f>
        <v>1.01388346986694</v>
      </c>
      <c r="E979" s="51" t="n">
        <f aca="false">1+IF($G$9=$E$9,$F$9,IF(S979&lt;($F$9-$E$9)/($G$9-$E$9),$E$9+SQRT(S979*($G$9-$E$9)*($F$9-$E$9)),$G$9-SQRT((1-S979)*($G$9-$E$9)*($G$9-$F$9))))</f>
        <v>0.99247065482759</v>
      </c>
      <c r="F979" s="51" t="n">
        <f aca="false">1+IF($G$10=$E$10,$F$10,IF(T979&lt;($F$10-$E$10)/($G$10-$E$10),$E$10+SQRT(T979*($G$10-$E$10)*($F$10-$E$10)),$G$10-SQRT((1-T979)*($G$10-$E$10)*($G$10-$F$10))))</f>
        <v>0.982742338542625</v>
      </c>
      <c r="G979" s="52" t="n">
        <f aca="false">IF($G$11=$E$11,$F$11,IF(U979&lt;($F$11-$E$11)/($G$11-$E$11),$E$11+SQRT(U979*($G$11-$E$11)*($F$11-$E$11)),$G$11-SQRT((1-U979)*($G$11-$E$11)*($G$11-$F$11))))</f>
        <v>0.0926874321568632</v>
      </c>
      <c r="H979" s="53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-1965484677.08525</v>
      </c>
      <c r="I979" s="53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9152032.20973714</v>
      </c>
      <c r="J979" s="53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311400788.247539</v>
      </c>
      <c r="K979" s="53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662786661.212472</v>
      </c>
      <c r="L979" s="53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799331688.463286</v>
      </c>
      <c r="M979" s="53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996206618.940122</v>
      </c>
      <c r="N979" s="53" t="n">
        <f aca="false">IF(COUNT('Business Case'!B11:G11)=0,"",H979+NPV(G979,I979:M979))</f>
        <v>11988425.780443</v>
      </c>
      <c r="P979" s="54" t="n">
        <f aca="true">RAND()</f>
        <v>0.474834401068717</v>
      </c>
      <c r="Q979" s="54" t="n">
        <f aca="true">RAND()</f>
        <v>0.858202453753404</v>
      </c>
      <c r="R979" s="54" t="n">
        <f aca="true">RAND()</f>
        <v>0.505596215856063</v>
      </c>
      <c r="S979" s="54" t="n">
        <f aca="true">RAND()</f>
        <v>0.342032880169732</v>
      </c>
      <c r="T979" s="54" t="n">
        <f aca="true">RAND()</f>
        <v>0.071470715549324</v>
      </c>
      <c r="U979" s="54" t="n">
        <f aca="true">RAND()</f>
        <v>0.160970934735006</v>
      </c>
    </row>
    <row r="980" customFormat="false" ht="15" hidden="false" customHeight="false" outlineLevel="0" collapsed="false">
      <c r="A980" s="50" t="n">
        <v>900</v>
      </c>
      <c r="B980" s="51" t="n">
        <f aca="false">1+IF($G$6=$E$6,$F$6,IF(P980&lt;($F$6-$E$6)/($G$6-$E$6),$E$6+SQRT(P980*($G$6-$E$6)*($F$6-$E$6)),$G$6-SQRT((1-P980)*($G$6-$E$6)*($G$6-$F$6))))</f>
        <v>0.950370784438259</v>
      </c>
      <c r="C980" s="51" t="n">
        <f aca="false">1+IF($G$7=$E$7,$F$7,IF(Q980&lt;($F$7-$E$7)/($G$7-$E$7),$E$7+SQRT(Q980*($G$7-$E$7)*($F$7-$E$7)),$G$7-SQRT((1-Q980)*($G$7-$E$7)*($G$7-$F$7))))</f>
        <v>0.924088850943754</v>
      </c>
      <c r="D980" s="51" t="n">
        <f aca="false">1+IF($G$8=$E$8,$F$8,IF(R980&lt;($F$8-$E$8)/($G$8-$E$8),$E$8+SQRT(R980*($G$8-$E$8)*($F$8-$E$8)),$G$8-SQRT((1-R980)*($G$8-$E$8)*($G$8-$F$8))))</f>
        <v>1.05036012189953</v>
      </c>
      <c r="E980" s="51" t="n">
        <f aca="false">1+IF($G$9=$E$9,$F$9,IF(S980&lt;($F$9-$E$9)/($G$9-$E$9),$E$9+SQRT(S980*($G$9-$E$9)*($F$9-$E$9)),$G$9-SQRT((1-S980)*($G$9-$E$9)*($G$9-$F$9))))</f>
        <v>1.040716993892</v>
      </c>
      <c r="F980" s="51" t="n">
        <f aca="false">1+IF($G$10=$E$10,$F$10,IF(T980&lt;($F$10-$E$10)/($G$10-$E$10),$E$10+SQRT(T980*($G$10-$E$10)*($F$10-$E$10)),$G$10-SQRT((1-T980)*($G$10-$E$10)*($G$10-$F$10))))</f>
        <v>1.02987267274503</v>
      </c>
      <c r="G980" s="52" t="n">
        <f aca="false">IF($G$11=$E$11,$F$11,IF(U980&lt;($F$11-$E$11)/($G$11-$E$11),$E$11+SQRT(U980*($G$11-$E$11)*($F$11-$E$11)),$G$11-SQRT((1-U980)*($G$11-$E$11)*($G$11-$F$11))))</f>
        <v>0.100608192424119</v>
      </c>
      <c r="H980" s="53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-2059745345.49006</v>
      </c>
      <c r="I980" s="53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-74056232.6378022</v>
      </c>
      <c r="J980" s="53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148392048.603383</v>
      </c>
      <c r="K980" s="53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422333963.481819</v>
      </c>
      <c r="L980" s="53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526834917.277575</v>
      </c>
      <c r="M980" s="53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693768314.21206</v>
      </c>
      <c r="N980" s="53" t="n">
        <f aca="false">IF(COUNT('Business Case'!B11:G11)=0,"",H980+NPV(G980,I980:M980))</f>
        <v>-899122163.359053</v>
      </c>
      <c r="P980" s="54" t="n">
        <f aca="true">RAND()</f>
        <v>0.169147728328373</v>
      </c>
      <c r="Q980" s="54" t="n">
        <f aca="true">RAND()</f>
        <v>0.371968986054014</v>
      </c>
      <c r="R980" s="54" t="n">
        <f aca="true">RAND()</f>
        <v>0.835725500144724</v>
      </c>
      <c r="S980" s="54" t="n">
        <f aca="true">RAND()</f>
        <v>0.681525988693319</v>
      </c>
      <c r="T980" s="54" t="n">
        <f aca="true">RAND()</f>
        <v>0.353919463941098</v>
      </c>
      <c r="U980" s="54" t="n">
        <f aca="true">RAND()</f>
        <v>0.424081098281572</v>
      </c>
    </row>
    <row r="981" customFormat="false" ht="15" hidden="false" customHeight="false" outlineLevel="0" collapsed="false">
      <c r="A981" s="50" t="n">
        <v>901</v>
      </c>
      <c r="B981" s="51" t="n">
        <f aca="false">1+IF($G$6=$E$6,$F$6,IF(P981&lt;($F$6-$E$6)/($G$6-$E$6),$E$6+SQRT(P981*($G$6-$E$6)*($F$6-$E$6)),$G$6-SQRT((1-P981)*($G$6-$E$6)*($G$6-$F$6))))</f>
        <v>0.980630772116137</v>
      </c>
      <c r="C981" s="51" t="n">
        <f aca="false">1+IF($G$7=$E$7,$F$7,IF(Q981&lt;($F$7-$E$7)/($G$7-$E$7),$E$7+SQRT(Q981*($G$7-$E$7)*($F$7-$E$7)),$G$7-SQRT((1-Q981)*($G$7-$E$7)*($G$7-$F$7))))</f>
        <v>0.883513115478807</v>
      </c>
      <c r="D981" s="51" t="n">
        <f aca="false">1+IF($G$8=$E$8,$F$8,IF(R981&lt;($F$8-$E$8)/($G$8-$E$8),$E$8+SQRT(R981*($G$8-$E$8)*($F$8-$E$8)),$G$8-SQRT((1-R981)*($G$8-$E$8)*($G$8-$F$8))))</f>
        <v>1.05338840895384</v>
      </c>
      <c r="E981" s="51" t="n">
        <f aca="false">1+IF($G$9=$E$9,$F$9,IF(S981&lt;($F$9-$E$9)/($G$9-$E$9),$E$9+SQRT(S981*($G$9-$E$9)*($F$9-$E$9)),$G$9-SQRT((1-S981)*($G$9-$E$9)*($G$9-$F$9))))</f>
        <v>0.928588688118713</v>
      </c>
      <c r="F981" s="51" t="n">
        <f aca="false">1+IF($G$10=$E$10,$F$10,IF(T981&lt;($F$10-$E$10)/($G$10-$E$10),$E$10+SQRT(T981*($G$10-$E$10)*($F$10-$E$10)),$G$10-SQRT((1-T981)*($G$10-$E$10)*($G$10-$F$10))))</f>
        <v>1.13679415560713</v>
      </c>
      <c r="G981" s="52" t="n">
        <f aca="false">IF($G$11=$E$11,$F$11,IF(U981&lt;($F$11-$E$11)/($G$11-$E$11),$E$11+SQRT(U981*($G$11-$E$11)*($F$11-$E$11)),$G$11-SQRT((1-U981)*($G$11-$E$11)*($G$11-$F$11))))</f>
        <v>0.094425131461517</v>
      </c>
      <c r="H981" s="53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-2273588311.21426</v>
      </c>
      <c r="I981" s="53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-57429780.7994508</v>
      </c>
      <c r="J981" s="53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175779349.116064</v>
      </c>
      <c r="K981" s="53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465828186.811936</v>
      </c>
      <c r="L981" s="53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573507352.586289</v>
      </c>
      <c r="M981" s="53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738192692.833454</v>
      </c>
      <c r="N981" s="53" t="n">
        <f aca="false">IF(COUNT('Business Case'!B11:G11)=0,"",H981+NPV(G981,I981:M981))</f>
        <v>-954038916.232803</v>
      </c>
      <c r="P981" s="54" t="n">
        <f aca="true">RAND()</f>
        <v>0.433421427469626</v>
      </c>
      <c r="Q981" s="54" t="n">
        <f aca="true">RAND()</f>
        <v>0.249459730020282</v>
      </c>
      <c r="R981" s="54" t="n">
        <f aca="true">RAND()</f>
        <v>0.855157305343053</v>
      </c>
      <c r="S981" s="54" t="n">
        <f aca="true">RAND()</f>
        <v>0.0326925235339623</v>
      </c>
      <c r="T981" s="54" t="n">
        <f aca="true">RAND()</f>
        <v>0.82912582393729</v>
      </c>
      <c r="U981" s="54" t="n">
        <f aca="true">RAND()</f>
        <v>0.208084417682048</v>
      </c>
    </row>
    <row r="982" customFormat="false" ht="15" hidden="false" customHeight="false" outlineLevel="0" collapsed="false">
      <c r="A982" s="50" t="n">
        <v>902</v>
      </c>
      <c r="B982" s="51" t="n">
        <f aca="false">1+IF($G$6=$E$6,$F$6,IF(P982&lt;($F$6-$E$6)/($G$6-$E$6),$E$6+SQRT(P982*($G$6-$E$6)*($F$6-$E$6)),$G$6-SQRT((1-P982)*($G$6-$E$6)*($G$6-$F$6))))</f>
        <v>0.947649842919213</v>
      </c>
      <c r="C982" s="51" t="n">
        <f aca="false">1+IF($G$7=$E$7,$F$7,IF(Q982&lt;($F$7-$E$7)/($G$7-$E$7),$E$7+SQRT(Q982*($G$7-$E$7)*($F$7-$E$7)),$G$7-SQRT((1-Q982)*($G$7-$E$7)*($G$7-$F$7))))</f>
        <v>1.07674813551256</v>
      </c>
      <c r="D982" s="51" t="n">
        <f aca="false">1+IF($G$8=$E$8,$F$8,IF(R982&lt;($F$8-$E$8)/($G$8-$E$8),$E$8+SQRT(R982*($G$8-$E$8)*($F$8-$E$8)),$G$8-SQRT((1-R982)*($G$8-$E$8)*($G$8-$F$8))))</f>
        <v>0.99609126282227</v>
      </c>
      <c r="E982" s="51" t="n">
        <f aca="false">1+IF($G$9=$E$9,$F$9,IF(S982&lt;($F$9-$E$9)/($G$9-$E$9),$E$9+SQRT(S982*($G$9-$E$9)*($F$9-$E$9)),$G$9-SQRT((1-S982)*($G$9-$E$9)*($G$9-$F$9))))</f>
        <v>1.00493937072419</v>
      </c>
      <c r="F982" s="51" t="n">
        <f aca="false">1+IF($G$10=$E$10,$F$10,IF(T982&lt;($F$10-$E$10)/($G$10-$E$10),$E$10+SQRT(T982*($G$10-$E$10)*($F$10-$E$10)),$G$10-SQRT((1-T982)*($G$10-$E$10)*($G$10-$F$10))))</f>
        <v>1.02694570271339</v>
      </c>
      <c r="G982" s="52" t="n">
        <f aca="false">IF($G$11=$E$11,$F$11,IF(U982&lt;($F$11-$E$11)/($G$11-$E$11),$E$11+SQRT(U982*($G$11-$E$11)*($F$11-$E$11)),$G$11-SQRT((1-U982)*($G$11-$E$11)*($G$11-$F$11))))</f>
        <v>0.109423577218474</v>
      </c>
      <c r="H982" s="53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-2053891405.42677</v>
      </c>
      <c r="I982" s="53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-11782980.8346975</v>
      </c>
      <c r="J982" s="53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274927496.763752</v>
      </c>
      <c r="K982" s="53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612985259.497871</v>
      </c>
      <c r="L982" s="53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743819758.460574</v>
      </c>
      <c r="M982" s="53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937773627.158279</v>
      </c>
      <c r="N982" s="53" t="n">
        <f aca="false">IF(COUNT('Business Case'!B11:G11)=0,"",H982+NPV(G982,I982:M982))</f>
        <v>-343267947.495857</v>
      </c>
      <c r="P982" s="54" t="n">
        <f aca="true">RAND()</f>
        <v>0.151367168681709</v>
      </c>
      <c r="Q982" s="54" t="n">
        <f aca="true">RAND()</f>
        <v>0.920506138505394</v>
      </c>
      <c r="R982" s="54" t="n">
        <f aca="true">RAND()</f>
        <v>0.283253934473542</v>
      </c>
      <c r="S982" s="54" t="n">
        <f aca="true">RAND()</f>
        <v>0.438864368909492</v>
      </c>
      <c r="T982" s="54" t="n">
        <f aca="true">RAND()</f>
        <v>0.336623739492997</v>
      </c>
      <c r="U982" s="54" t="n">
        <f aca="true">RAND()</f>
        <v>0.717740550343929</v>
      </c>
    </row>
    <row r="983" customFormat="false" ht="15" hidden="false" customHeight="false" outlineLevel="0" collapsed="false">
      <c r="A983" s="50" t="n">
        <v>903</v>
      </c>
      <c r="B983" s="51" t="n">
        <f aca="false">1+IF($G$6=$E$6,$F$6,IF(P983&lt;($F$6-$E$6)/($G$6-$E$6),$E$6+SQRT(P983*($G$6-$E$6)*($F$6-$E$6)),$G$6-SQRT((1-P983)*($G$6-$E$6)*($G$6-$F$6))))</f>
        <v>0.988646841122468</v>
      </c>
      <c r="C983" s="51" t="n">
        <f aca="false">1+IF($G$7=$E$7,$F$7,IF(Q983&lt;($F$7-$E$7)/($G$7-$E$7),$E$7+SQRT(Q983*($G$7-$E$7)*($F$7-$E$7)),$G$7-SQRT((1-Q983)*($G$7-$E$7)*($G$7-$F$7))))</f>
        <v>1.01262233023161</v>
      </c>
      <c r="D983" s="51" t="n">
        <f aca="false">1+IF($G$8=$E$8,$F$8,IF(R983&lt;($F$8-$E$8)/($G$8-$E$8),$E$8+SQRT(R983*($G$8-$E$8)*($F$8-$E$8)),$G$8-SQRT((1-R983)*($G$8-$E$8)*($G$8-$F$8))))</f>
        <v>1.09331517174807</v>
      </c>
      <c r="E983" s="51" t="n">
        <f aca="false">1+IF($G$9=$E$9,$F$9,IF(S983&lt;($F$9-$E$9)/($G$9-$E$9),$E$9+SQRT(S983*($G$9-$E$9)*($F$9-$E$9)),$G$9-SQRT((1-S983)*($G$9-$E$9)*($G$9-$F$9))))</f>
        <v>0.997866037525758</v>
      </c>
      <c r="F983" s="51" t="n">
        <f aca="false">1+IF($G$10=$E$10,$F$10,IF(T983&lt;($F$10-$E$10)/($G$10-$E$10),$E$10+SQRT(T983*($G$10-$E$10)*($F$10-$E$10)),$G$10-SQRT((1-T983)*($G$10-$E$10)*($G$10-$F$10))))</f>
        <v>1.03224399580598</v>
      </c>
      <c r="G983" s="52" t="n">
        <f aca="false">IF($G$11=$E$11,$F$11,IF(U983&lt;($F$11-$E$11)/($G$11-$E$11),$E$11+SQRT(U983*($G$11-$E$11)*($F$11-$E$11)),$G$11-SQRT((1-U983)*($G$11-$E$11)*($G$11-$F$11))))</f>
        <v>0.111520350036308</v>
      </c>
      <c r="H983" s="53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-2064487991.61196</v>
      </c>
      <c r="I983" s="53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-43779641.6343602</v>
      </c>
      <c r="J983" s="53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209460031.8469</v>
      </c>
      <c r="K983" s="53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514311905.118459</v>
      </c>
      <c r="L983" s="53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633324039.611452</v>
      </c>
      <c r="M983" s="53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823618044.60727</v>
      </c>
      <c r="N983" s="53" t="n">
        <f aca="false">IF(COUNT('Business Case'!B11:G11)=0,"",H983+NPV(G983,I983:M983))</f>
        <v>-659462172.55747</v>
      </c>
      <c r="P983" s="54" t="n">
        <f aca="true">RAND()</f>
        <v>0.523884162732808</v>
      </c>
      <c r="Q983" s="54" t="n">
        <f aca="true">RAND()</f>
        <v>0.720405568133439</v>
      </c>
      <c r="R983" s="54" t="n">
        <f aca="true">RAND()</f>
        <v>0.997020871416149</v>
      </c>
      <c r="S983" s="54" t="n">
        <f aca="true">RAND()</f>
        <v>0.383110452039723</v>
      </c>
      <c r="T983" s="54" t="n">
        <f aca="true">RAND()</f>
        <v>0.367764301832728</v>
      </c>
      <c r="U983" s="54" t="n">
        <f aca="true">RAND()</f>
        <v>0.772335024812945</v>
      </c>
    </row>
    <row r="984" customFormat="false" ht="15" hidden="false" customHeight="false" outlineLevel="0" collapsed="false">
      <c r="A984" s="50" t="n">
        <v>904</v>
      </c>
      <c r="B984" s="51" t="n">
        <f aca="false">1+IF($G$6=$E$6,$F$6,IF(P984&lt;($F$6-$E$6)/($G$6-$E$6),$E$6+SQRT(P984*($G$6-$E$6)*($F$6-$E$6)),$G$6-SQRT((1-P984)*($G$6-$E$6)*($G$6-$F$6))))</f>
        <v>0.980214784645568</v>
      </c>
      <c r="C984" s="51" t="n">
        <f aca="false">1+IF($G$7=$E$7,$F$7,IF(Q984&lt;($F$7-$E$7)/($G$7-$E$7),$E$7+SQRT(Q984*($G$7-$E$7)*($F$7-$E$7)),$G$7-SQRT((1-Q984)*($G$7-$E$7)*($G$7-$F$7))))</f>
        <v>0.990976657755421</v>
      </c>
      <c r="D984" s="51" t="n">
        <f aca="false">1+IF($G$8=$E$8,$F$8,IF(R984&lt;($F$8-$E$8)/($G$8-$E$8),$E$8+SQRT(R984*($G$8-$E$8)*($F$8-$E$8)),$G$8-SQRT((1-R984)*($G$8-$E$8)*($G$8-$F$8))))</f>
        <v>1.02572918734514</v>
      </c>
      <c r="E984" s="51" t="n">
        <f aca="false">1+IF($G$9=$E$9,$F$9,IF(S984&lt;($F$9-$E$9)/($G$9-$E$9),$E$9+SQRT(S984*($G$9-$E$9)*($F$9-$E$9)),$G$9-SQRT((1-S984)*($G$9-$E$9)*($G$9-$F$9))))</f>
        <v>1.02409138012372</v>
      </c>
      <c r="F984" s="51" t="n">
        <f aca="false">1+IF($G$10=$E$10,$F$10,IF(T984&lt;($F$10-$E$10)/($G$10-$E$10),$E$10+SQRT(T984*($G$10-$E$10)*($F$10-$E$10)),$G$10-SQRT((1-T984)*($G$10-$E$10)*($G$10-$F$10))))</f>
        <v>1.12080742176283</v>
      </c>
      <c r="G984" s="52" t="n">
        <f aca="false">IF($G$11=$E$11,$F$11,IF(U984&lt;($F$11-$E$11)/($G$11-$E$11),$E$11+SQRT(U984*($G$11-$E$11)*($F$11-$E$11)),$G$11-SQRT((1-U984)*($G$11-$E$11)*($G$11-$F$11))))</f>
        <v>0.0870070004548498</v>
      </c>
      <c r="H984" s="53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-2241614843.52565</v>
      </c>
      <c r="I984" s="53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-32793617.9150158</v>
      </c>
      <c r="J984" s="53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242475119.905324</v>
      </c>
      <c r="K984" s="53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573784228.813805</v>
      </c>
      <c r="L984" s="53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699111020.957571</v>
      </c>
      <c r="M984" s="53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883749025.077663</v>
      </c>
      <c r="N984" s="53" t="n">
        <f aca="false">IF(COUNT('Business Case'!B11:G11)=0,"",H984+NPV(G984,I984:M984))</f>
        <v>-536762428.103001</v>
      </c>
      <c r="P984" s="54" t="n">
        <f aca="true">RAND()</f>
        <v>0.428960778382323</v>
      </c>
      <c r="Q984" s="54" t="n">
        <f aca="true">RAND()</f>
        <v>0.627166039692706</v>
      </c>
      <c r="R984" s="54" t="n">
        <f aca="true">RAND()</f>
        <v>0.63225642583907</v>
      </c>
      <c r="S984" s="54" t="n">
        <f aca="true">RAND()</f>
        <v>0.57725385175604</v>
      </c>
      <c r="T984" s="54" t="n">
        <f aca="true">RAND()</f>
        <v>0.777457036379089</v>
      </c>
      <c r="U984" s="54" t="n">
        <f aca="true">RAND()</f>
        <v>0.0490980553742651</v>
      </c>
    </row>
    <row r="985" customFormat="false" ht="15" hidden="false" customHeight="false" outlineLevel="0" collapsed="false">
      <c r="A985" s="50" t="n">
        <v>905</v>
      </c>
      <c r="B985" s="51" t="n">
        <f aca="false">1+IF($G$6=$E$6,$F$6,IF(P985&lt;($F$6-$E$6)/($G$6-$E$6),$E$6+SQRT(P985*($G$6-$E$6)*($F$6-$E$6)),$G$6-SQRT((1-P985)*($G$6-$E$6)*($G$6-$F$6))))</f>
        <v>0.973755869373242</v>
      </c>
      <c r="C985" s="51" t="n">
        <f aca="false">1+IF($G$7=$E$7,$F$7,IF(Q985&lt;($F$7-$E$7)/($G$7-$E$7),$E$7+SQRT(Q985*($G$7-$E$7)*($F$7-$E$7)),$G$7-SQRT((1-Q985)*($G$7-$E$7)*($G$7-$F$7))))</f>
        <v>0.959240443863078</v>
      </c>
      <c r="D985" s="51" t="n">
        <f aca="false">1+IF($G$8=$E$8,$F$8,IF(R985&lt;($F$8-$E$8)/($G$8-$E$8),$E$8+SQRT(R985*($G$8-$E$8)*($F$8-$E$8)),$G$8-SQRT((1-R985)*($G$8-$E$8)*($G$8-$F$8))))</f>
        <v>1.01969714151055</v>
      </c>
      <c r="E985" s="51" t="n">
        <f aca="false">1+IF($G$9=$E$9,$F$9,IF(S985&lt;($F$9-$E$9)/($G$9-$E$9),$E$9+SQRT(S985*($G$9-$E$9)*($F$9-$E$9)),$G$9-SQRT((1-S985)*($G$9-$E$9)*($G$9-$F$9))))</f>
        <v>0.955948237071483</v>
      </c>
      <c r="F985" s="51" t="n">
        <f aca="false">1+IF($G$10=$E$10,$F$10,IF(T985&lt;($F$10-$E$10)/($G$10-$E$10),$E$10+SQRT(T985*($G$10-$E$10)*($F$10-$E$10)),$G$10-SQRT((1-T985)*($G$10-$E$10)*($G$10-$F$10))))</f>
        <v>1.10304655204492</v>
      </c>
      <c r="G985" s="52" t="n">
        <f aca="false">IF($G$11=$E$11,$F$11,IF(U985&lt;($F$11-$E$11)/($G$11-$E$11),$E$11+SQRT(U985*($G$11-$E$11)*($F$11-$E$11)),$G$11-SQRT((1-U985)*($G$11-$E$11)*($G$11-$F$11))))</f>
        <v>0.0835638941629942</v>
      </c>
      <c r="H985" s="53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-2206093104.08985</v>
      </c>
      <c r="I985" s="53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-30321895.1260088</v>
      </c>
      <c r="J985" s="53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234018686.34436</v>
      </c>
      <c r="K985" s="53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553511595.416976</v>
      </c>
      <c r="L985" s="53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673906443.960646</v>
      </c>
      <c r="M985" s="53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851453711.588489</v>
      </c>
      <c r="N985" s="53" t="n">
        <f aca="false">IF(COUNT('Business Case'!B11:G11)=0,"",H985+NPV(G985,I985:M985))</f>
        <v>-540812457.381957</v>
      </c>
      <c r="P985" s="54" t="n">
        <f aca="true">RAND()</f>
        <v>0.362661884466845</v>
      </c>
      <c r="Q985" s="54" t="n">
        <f aca="true">RAND()</f>
        <v>0.49781931655056</v>
      </c>
      <c r="R985" s="54" t="n">
        <f aca="true">RAND()</f>
        <v>0.570096727894903</v>
      </c>
      <c r="S985" s="54" t="n">
        <f aca="true">RAND()</f>
        <v>0.125208209256274</v>
      </c>
      <c r="T985" s="54" t="n">
        <f aca="true">RAND()</f>
        <v>0.712062455121532</v>
      </c>
      <c r="U985" s="54" t="n">
        <f aca="true">RAND()</f>
        <v>0.0127013416050244</v>
      </c>
    </row>
    <row r="986" customFormat="false" ht="15" hidden="false" customHeight="false" outlineLevel="0" collapsed="false">
      <c r="A986" s="50" t="n">
        <v>906</v>
      </c>
      <c r="B986" s="51" t="n">
        <f aca="false">1+IF($G$6=$E$6,$F$6,IF(P986&lt;($F$6-$E$6)/($G$6-$E$6),$E$6+SQRT(P986*($G$6-$E$6)*($F$6-$E$6)),$G$6-SQRT((1-P986)*($G$6-$E$6)*($G$6-$F$6))))</f>
        <v>0.96169076322777</v>
      </c>
      <c r="C986" s="51" t="n">
        <f aca="false">1+IF($G$7=$E$7,$F$7,IF(Q986&lt;($F$7-$E$7)/($G$7-$E$7),$E$7+SQRT(Q986*($G$7-$E$7)*($F$7-$E$7)),$G$7-SQRT((1-Q986)*($G$7-$E$7)*($G$7-$F$7))))</f>
        <v>1.07977185920744</v>
      </c>
      <c r="D986" s="51" t="n">
        <f aca="false">1+IF($G$8=$E$8,$F$8,IF(R986&lt;($F$8-$E$8)/($G$8-$E$8),$E$8+SQRT(R986*($G$8-$E$8)*($F$8-$E$8)),$G$8-SQRT((1-R986)*($G$8-$E$8)*($G$8-$F$8))))</f>
        <v>1.00119285795386</v>
      </c>
      <c r="E986" s="51" t="n">
        <f aca="false">1+IF($G$9=$E$9,$F$9,IF(S986&lt;($F$9-$E$9)/($G$9-$E$9),$E$9+SQRT(S986*($G$9-$E$9)*($F$9-$E$9)),$G$9-SQRT((1-S986)*($G$9-$E$9)*($G$9-$F$9))))</f>
        <v>1.05662796301139</v>
      </c>
      <c r="F986" s="51" t="n">
        <f aca="false">1+IF($G$10=$E$10,$F$10,IF(T986&lt;($F$10-$E$10)/($G$10-$E$10),$E$10+SQRT(T986*($G$10-$E$10)*($F$10-$E$10)),$G$10-SQRT((1-T986)*($G$10-$E$10)*($G$10-$F$10))))</f>
        <v>1.04344477734784</v>
      </c>
      <c r="G986" s="52" t="n">
        <f aca="false">IF($G$11=$E$11,$F$11,IF(U986&lt;($F$11-$E$11)/($G$11-$E$11),$E$11+SQRT(U986*($G$11-$E$11)*($F$11-$E$11)),$G$11-SQRT((1-U986)*($G$11-$E$11)*($G$11-$F$11))))</f>
        <v>0.106658454627257</v>
      </c>
      <c r="H986" s="53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-2086889554.69568</v>
      </c>
      <c r="I986" s="53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-11314354.1189224</v>
      </c>
      <c r="J986" s="53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285799265.193856</v>
      </c>
      <c r="K986" s="53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635085123.374026</v>
      </c>
      <c r="L986" s="53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770010329.38275</v>
      </c>
      <c r="M986" s="53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967390660.357304</v>
      </c>
      <c r="N986" s="53" t="n">
        <f aca="false">IF(COUNT('Business Case'!B11:G11)=0,"",H986+NPV(G986,I986:M986))</f>
        <v>-298958500.105446</v>
      </c>
      <c r="P986" s="54" t="n">
        <f aca="true">RAND()</f>
        <v>0.253716684508316</v>
      </c>
      <c r="Q986" s="54" t="n">
        <f aca="true">RAND()</f>
        <v>0.926933455419551</v>
      </c>
      <c r="R986" s="54" t="n">
        <f aca="true">RAND()</f>
        <v>0.349143245378281</v>
      </c>
      <c r="S986" s="54" t="n">
        <f aca="true">RAND()</f>
        <v>0.767511005562624</v>
      </c>
      <c r="T986" s="54" t="n">
        <f aca="true">RAND()</f>
        <v>0.431132533268222</v>
      </c>
      <c r="U986" s="54" t="n">
        <f aca="true">RAND()</f>
        <v>0.636781506408128</v>
      </c>
    </row>
    <row r="987" customFormat="false" ht="15" hidden="false" customHeight="false" outlineLevel="0" collapsed="false">
      <c r="A987" s="50" t="n">
        <v>907</v>
      </c>
      <c r="B987" s="51" t="n">
        <f aca="false">1+IF($G$6=$E$6,$F$6,IF(P987&lt;($F$6-$E$6)/($G$6-$E$6),$E$6+SQRT(P987*($G$6-$E$6)*($F$6-$E$6)),$G$6-SQRT((1-P987)*($G$6-$E$6)*($G$6-$F$6))))</f>
        <v>0.930174036789242</v>
      </c>
      <c r="C987" s="51" t="n">
        <f aca="false">1+IF($G$7=$E$7,$F$7,IF(Q987&lt;($F$7-$E$7)/($G$7-$E$7),$E$7+SQRT(Q987*($G$7-$E$7)*($F$7-$E$7)),$G$7-SQRT((1-Q987)*($G$7-$E$7)*($G$7-$F$7))))</f>
        <v>0.786907224778546</v>
      </c>
      <c r="D987" s="51" t="n">
        <f aca="false">1+IF($G$8=$E$8,$F$8,IF(R987&lt;($F$8-$E$8)/($G$8-$E$8),$E$8+SQRT(R987*($G$8-$E$8)*($F$8-$E$8)),$G$8-SQRT((1-R987)*($G$8-$E$8)*($G$8-$F$8))))</f>
        <v>1.00603447674506</v>
      </c>
      <c r="E987" s="51" t="n">
        <f aca="false">1+IF($G$9=$E$9,$F$9,IF(S987&lt;($F$9-$E$9)/($G$9-$E$9),$E$9+SQRT(S987*($G$9-$E$9)*($F$9-$E$9)),$G$9-SQRT((1-S987)*($G$9-$E$9)*($G$9-$F$9))))</f>
        <v>1.03686762381971</v>
      </c>
      <c r="F987" s="51" t="n">
        <f aca="false">1+IF($G$10=$E$10,$F$10,IF(T987&lt;($F$10-$E$10)/($G$10-$E$10),$E$10+SQRT(T987*($G$10-$E$10)*($F$10-$E$10)),$G$10-SQRT((1-T987)*($G$10-$E$10)*($G$10-$F$10))))</f>
        <v>1.00895278743525</v>
      </c>
      <c r="G987" s="52" t="n">
        <f aca="false">IF($G$11=$E$11,$F$11,IF(U987&lt;($F$11-$E$11)/($G$11-$E$11),$E$11+SQRT(U987*($G$11-$E$11)*($F$11-$E$11)),$G$11-SQRT((1-U987)*($G$11-$E$11)*($G$11-$F$11))))</f>
        <v>0.109848285777665</v>
      </c>
      <c r="H987" s="53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-2017905574.87051</v>
      </c>
      <c r="I987" s="53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-92018642.3768283</v>
      </c>
      <c r="J987" s="53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102245411.222101</v>
      </c>
      <c r="K987" s="53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346957104.192794</v>
      </c>
      <c r="L987" s="53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437008349.475817</v>
      </c>
      <c r="M987" s="53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576139433.601072</v>
      </c>
      <c r="N987" s="53" t="n">
        <f aca="false">IF(COUNT('Business Case'!B11:G11)=0,"",H987+NPV(G987,I987:M987))</f>
        <v>-1133840287.52366</v>
      </c>
      <c r="P987" s="54" t="n">
        <f aca="true">RAND()</f>
        <v>0.0606981664105667</v>
      </c>
      <c r="Q987" s="54" t="n">
        <f aca="true">RAND()</f>
        <v>0.0559471534719158</v>
      </c>
      <c r="R987" s="54" t="n">
        <f aca="true">RAND()</f>
        <v>0.411365362628347</v>
      </c>
      <c r="S987" s="54" t="n">
        <f aca="true">RAND()</f>
        <v>0.658695078928049</v>
      </c>
      <c r="T987" s="54" t="n">
        <f aca="true">RAND()</f>
        <v>0.225283217530217</v>
      </c>
      <c r="U987" s="54" t="n">
        <f aca="true">RAND()</f>
        <v>0.729272275934232</v>
      </c>
    </row>
    <row r="988" customFormat="false" ht="15" hidden="false" customHeight="false" outlineLevel="0" collapsed="false">
      <c r="A988" s="50" t="n">
        <v>908</v>
      </c>
      <c r="B988" s="51" t="n">
        <f aca="false">1+IF($G$6=$E$6,$F$6,IF(P988&lt;($F$6-$E$6)/($G$6-$E$6),$E$6+SQRT(P988*($G$6-$E$6)*($F$6-$E$6)),$G$6-SQRT((1-P988)*($G$6-$E$6)*($G$6-$F$6))))</f>
        <v>0.991720696121873</v>
      </c>
      <c r="C988" s="51" t="n">
        <f aca="false">1+IF($G$7=$E$7,$F$7,IF(Q988&lt;($F$7-$E$7)/($G$7-$E$7),$E$7+SQRT(Q988*($G$7-$E$7)*($F$7-$E$7)),$G$7-SQRT((1-Q988)*($G$7-$E$7)*($G$7-$F$7))))</f>
        <v>0.943912966554353</v>
      </c>
      <c r="D988" s="51" t="n">
        <f aca="false">1+IF($G$8=$E$8,$F$8,IF(R988&lt;($F$8-$E$8)/($G$8-$E$8),$E$8+SQRT(R988*($G$8-$E$8)*($F$8-$E$8)),$G$8-SQRT((1-R988)*($G$8-$E$8)*($G$8-$F$8))))</f>
        <v>1.03991401269905</v>
      </c>
      <c r="E988" s="51" t="n">
        <f aca="false">1+IF($G$9=$E$9,$F$9,IF(S988&lt;($F$9-$E$9)/($G$9-$E$9),$E$9+SQRT(S988*($G$9-$E$9)*($F$9-$E$9)),$G$9-SQRT((1-S988)*($G$9-$E$9)*($G$9-$F$9))))</f>
        <v>1.02043978227377</v>
      </c>
      <c r="F988" s="51" t="n">
        <f aca="false">1+IF($G$10=$E$10,$F$10,IF(T988&lt;($F$10-$E$10)/($G$10-$E$10),$E$10+SQRT(T988*($G$10-$E$10)*($F$10-$E$10)),$G$10-SQRT((1-T988)*($G$10-$E$10)*($G$10-$F$10))))</f>
        <v>0.993674295922337</v>
      </c>
      <c r="G988" s="52" t="n">
        <f aca="false">IF($G$11=$E$11,$F$11,IF(U988&lt;($F$11-$E$11)/($G$11-$E$11),$E$11+SQRT(U988*($G$11-$E$11)*($F$11-$E$11)),$G$11-SQRT((1-U988)*($G$11-$E$11)*($G$11-$F$11))))</f>
        <v>0.104390163204749</v>
      </c>
      <c r="H988" s="53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-1987348591.84467</v>
      </c>
      <c r="I988" s="53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-28764300.4017445</v>
      </c>
      <c r="J988" s="53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235472687.406219</v>
      </c>
      <c r="K988" s="53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549393390.010299</v>
      </c>
      <c r="L988" s="53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669823933.665049</v>
      </c>
      <c r="M988" s="53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847757446.118242</v>
      </c>
      <c r="N988" s="53" t="n">
        <f aca="false">IF(COUNT('Business Case'!B11:G11)=0,"",H988+NPV(G988,I988:M988))</f>
        <v>-446189710.856568</v>
      </c>
      <c r="P988" s="54" t="n">
        <f aca="true">RAND()</f>
        <v>0.560845739805394</v>
      </c>
      <c r="Q988" s="54" t="n">
        <f aca="true">RAND()</f>
        <v>0.440692853728482</v>
      </c>
      <c r="R988" s="54" t="n">
        <f aca="true">RAND()</f>
        <v>0.75931160867136</v>
      </c>
      <c r="S988" s="54" t="n">
        <f aca="true">RAND()</f>
        <v>0.552377332872859</v>
      </c>
      <c r="T988" s="54" t="n">
        <f aca="true">RAND()</f>
        <v>0.127162941620792</v>
      </c>
      <c r="U988" s="54" t="n">
        <f aca="true">RAND()</f>
        <v>0.562757506213746</v>
      </c>
    </row>
    <row r="989" customFormat="false" ht="15" hidden="false" customHeight="false" outlineLevel="0" collapsed="false">
      <c r="A989" s="50" t="n">
        <v>909</v>
      </c>
      <c r="B989" s="51" t="n">
        <f aca="false">1+IF($G$6=$E$6,$F$6,IF(P989&lt;($F$6-$E$6)/($G$6-$E$6),$E$6+SQRT(P989*($G$6-$E$6)*($F$6-$E$6)),$G$6-SQRT((1-P989)*($G$6-$E$6)*($G$6-$F$6))))</f>
        <v>1.03038811981465</v>
      </c>
      <c r="C989" s="51" t="n">
        <f aca="false">1+IF($G$7=$E$7,$F$7,IF(Q989&lt;($F$7-$E$7)/($G$7-$E$7),$E$7+SQRT(Q989*($G$7-$E$7)*($F$7-$E$7)),$G$7-SQRT((1-Q989)*($G$7-$E$7)*($G$7-$F$7))))</f>
        <v>0.949010285396621</v>
      </c>
      <c r="D989" s="51" t="n">
        <f aca="false">1+IF($G$8=$E$8,$F$8,IF(R989&lt;($F$8-$E$8)/($G$8-$E$8),$E$8+SQRT(R989*($G$8-$E$8)*($F$8-$E$8)),$G$8-SQRT((1-R989)*($G$8-$E$8)*($G$8-$F$8))))</f>
        <v>0.976338050219229</v>
      </c>
      <c r="E989" s="51" t="n">
        <f aca="false">1+IF($G$9=$E$9,$F$9,IF(S989&lt;($F$9-$E$9)/($G$9-$E$9),$E$9+SQRT(S989*($G$9-$E$9)*($F$9-$E$9)),$G$9-SQRT((1-S989)*($G$9-$E$9)*($G$9-$F$9))))</f>
        <v>0.991946061202655</v>
      </c>
      <c r="F989" s="51" t="n">
        <f aca="false">1+IF($G$10=$E$10,$F$10,IF(T989&lt;($F$10-$E$10)/($G$10-$E$10),$E$10+SQRT(T989*($G$10-$E$10)*($F$10-$E$10)),$G$10-SQRT((1-T989)*($G$10-$E$10)*($G$10-$F$10))))</f>
        <v>1.11047772532267</v>
      </c>
      <c r="G989" s="52" t="n">
        <f aca="false">IF($G$11=$E$11,$F$11,IF(U989&lt;($F$11-$E$11)/($G$11-$E$11),$E$11+SQRT(U989*($G$11-$E$11)*($F$11-$E$11)),$G$11-SQRT((1-U989)*($G$11-$E$11)*($G$11-$F$11))))</f>
        <v>0.0975605263305616</v>
      </c>
      <c r="H989" s="53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-2220955450.64535</v>
      </c>
      <c r="I989" s="53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23812523.2849555</v>
      </c>
      <c r="J989" s="53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350419237.20745</v>
      </c>
      <c r="K989" s="53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732549837.396077</v>
      </c>
      <c r="L989" s="53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875213200.838411</v>
      </c>
      <c r="M989" s="53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1061082724.24668</v>
      </c>
      <c r="N989" s="53" t="n">
        <f aca="false">IF(COUNT('Business Case'!B11:G11)=0,"",H989+NPV(G989,I989:M989))</f>
        <v>-84996431.4517396</v>
      </c>
      <c r="P989" s="54" t="n">
        <f aca="true">RAND()</f>
        <v>0.948716554079395</v>
      </c>
      <c r="Q989" s="54" t="n">
        <f aca="true">RAND()</f>
        <v>0.459304609135603</v>
      </c>
      <c r="R989" s="54" t="n">
        <f aca="true">RAND()</f>
        <v>0.0924923852467527</v>
      </c>
      <c r="S989" s="54" t="n">
        <f aca="true">RAND()</f>
        <v>0.338163126827295</v>
      </c>
      <c r="T989" s="54" t="n">
        <f aca="true">RAND()</f>
        <v>0.740447131584859</v>
      </c>
      <c r="U989" s="54" t="n">
        <f aca="true">RAND()</f>
        <v>0.308372085006348</v>
      </c>
    </row>
    <row r="990" customFormat="false" ht="15" hidden="false" customHeight="false" outlineLevel="0" collapsed="false">
      <c r="A990" s="50" t="n">
        <v>910</v>
      </c>
      <c r="B990" s="51" t="n">
        <f aca="false">1+IF($G$6=$E$6,$F$6,IF(P990&lt;($F$6-$E$6)/($G$6-$E$6),$E$6+SQRT(P990*($G$6-$E$6)*($F$6-$E$6)),$G$6-SQRT((1-P990)*($G$6-$E$6)*($G$6-$F$6))))</f>
        <v>1.00436139351879</v>
      </c>
      <c r="C990" s="51" t="n">
        <f aca="false">1+IF($G$7=$E$7,$F$7,IF(Q990&lt;($F$7-$E$7)/($G$7-$E$7),$E$7+SQRT(Q990*($G$7-$E$7)*($F$7-$E$7)),$G$7-SQRT((1-Q990)*($G$7-$E$7)*($G$7-$F$7))))</f>
        <v>0.994734650539347</v>
      </c>
      <c r="D990" s="51" t="n">
        <f aca="false">1+IF($G$8=$E$8,$F$8,IF(R990&lt;($F$8-$E$8)/($G$8-$E$8),$E$8+SQRT(R990*($G$8-$E$8)*($F$8-$E$8)),$G$8-SQRT((1-R990)*($G$8-$E$8)*($G$8-$F$8))))</f>
        <v>0.999305581429648</v>
      </c>
      <c r="E990" s="51" t="n">
        <f aca="false">1+IF($G$9=$E$9,$F$9,IF(S990&lt;($F$9-$E$9)/($G$9-$E$9),$E$9+SQRT(S990*($G$9-$E$9)*($F$9-$E$9)),$G$9-SQRT((1-S990)*($G$9-$E$9)*($G$9-$F$9))))</f>
        <v>0.953457933480997</v>
      </c>
      <c r="F990" s="51" t="n">
        <f aca="false">1+IF($G$10=$E$10,$F$10,IF(T990&lt;($F$10-$E$10)/($G$10-$E$10),$E$10+SQRT(T990*($G$10-$E$10)*($F$10-$E$10)),$G$10-SQRT((1-T990)*($G$10-$E$10)*($G$10-$F$10))))</f>
        <v>1.06712931522937</v>
      </c>
      <c r="G990" s="52" t="n">
        <f aca="false">IF($G$11=$E$11,$F$11,IF(U990&lt;($F$11-$E$11)/($G$11-$E$11),$E$11+SQRT(U990*($G$11-$E$11)*($F$11-$E$11)),$G$11-SQRT((1-U990)*($G$11-$E$11)*($G$11-$F$11))))</f>
        <v>0.103551872370654</v>
      </c>
      <c r="H990" s="53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-2134258630.45874</v>
      </c>
      <c r="I990" s="53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15355240.1834158</v>
      </c>
      <c r="J990" s="53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324797078.487449</v>
      </c>
      <c r="K990" s="53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687595382.552952</v>
      </c>
      <c r="L990" s="53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825270627.625418</v>
      </c>
      <c r="M990" s="53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1015174438.63326</v>
      </c>
      <c r="N990" s="53" t="n">
        <f aca="false">IF(COUNT('Business Case'!B11:G11)=0,"",H990+NPV(G990,I990:M990))</f>
        <v>-165300079.79452</v>
      </c>
      <c r="P990" s="54" t="n">
        <f aca="true">RAND()</f>
        <v>0.722282346460462</v>
      </c>
      <c r="Q990" s="54" t="n">
        <f aca="true">RAND()</f>
        <v>0.643470475767044</v>
      </c>
      <c r="R990" s="54" t="n">
        <f aca="true">RAND()</f>
        <v>0.324138714682084</v>
      </c>
      <c r="S990" s="54" t="n">
        <f aca="true">RAND()</f>
        <v>0.114310026082349</v>
      </c>
      <c r="T990" s="54" t="n">
        <f aca="true">RAND()</f>
        <v>0.554110835353609</v>
      </c>
      <c r="U990" s="54" t="n">
        <f aca="true">RAND()</f>
        <v>0.533664363267878</v>
      </c>
    </row>
    <row r="991" customFormat="false" ht="15" hidden="false" customHeight="false" outlineLevel="0" collapsed="false">
      <c r="A991" s="50" t="n">
        <v>911</v>
      </c>
      <c r="B991" s="51" t="n">
        <f aca="false">1+IF($G$6=$E$6,$F$6,IF(P991&lt;($F$6-$E$6)/($G$6-$E$6),$E$6+SQRT(P991*($G$6-$E$6)*($F$6-$E$6)),$G$6-SQRT((1-P991)*($G$6-$E$6)*($G$6-$F$6))))</f>
        <v>0.954710336982949</v>
      </c>
      <c r="C991" s="51" t="n">
        <f aca="false">1+IF($G$7=$E$7,$F$7,IF(Q991&lt;($F$7-$E$7)/($G$7-$E$7),$E$7+SQRT(Q991*($G$7-$E$7)*($F$7-$E$7)),$G$7-SQRT((1-Q991)*($G$7-$E$7)*($G$7-$F$7))))</f>
        <v>0.906101689261193</v>
      </c>
      <c r="D991" s="51" t="n">
        <f aca="false">1+IF($G$8=$E$8,$F$8,IF(R991&lt;($F$8-$E$8)/($G$8-$E$8),$E$8+SQRT(R991*($G$8-$E$8)*($F$8-$E$8)),$G$8-SQRT((1-R991)*($G$8-$E$8)*($G$8-$F$8))))</f>
        <v>1.04039947114741</v>
      </c>
      <c r="E991" s="51" t="n">
        <f aca="false">1+IF($G$9=$E$9,$F$9,IF(S991&lt;($F$9-$E$9)/($G$9-$E$9),$E$9+SQRT(S991*($G$9-$E$9)*($F$9-$E$9)),$G$9-SQRT((1-S991)*($G$9-$E$9)*($G$9-$F$9))))</f>
        <v>1.11502960686397</v>
      </c>
      <c r="F991" s="51" t="n">
        <f aca="false">1+IF($G$10=$E$10,$F$10,IF(T991&lt;($F$10-$E$10)/($G$10-$E$10),$E$10+SQRT(T991*($G$10-$E$10)*($F$10-$E$10)),$G$10-SQRT((1-T991)*($G$10-$E$10)*($G$10-$F$10))))</f>
        <v>1.20260899562835</v>
      </c>
      <c r="G991" s="52" t="n">
        <f aca="false">IF($G$11=$E$11,$F$11,IF(U991&lt;($F$11-$E$11)/($G$11-$E$11),$E$11+SQRT(U991*($G$11-$E$11)*($F$11-$E$11)),$G$11-SQRT((1-U991)*($G$11-$E$11)*($G$11-$F$11))))</f>
        <v>0.0947907458432206</v>
      </c>
      <c r="H991" s="53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-2405217991.25671</v>
      </c>
      <c r="I991" s="53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-97703763.9630039</v>
      </c>
      <c r="J991" s="53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128255533.141988</v>
      </c>
      <c r="K991" s="53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414345280.028398</v>
      </c>
      <c r="L991" s="53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519561680.002799</v>
      </c>
      <c r="M991" s="53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683993168.502847</v>
      </c>
      <c r="N991" s="53" t="n">
        <f aca="false">IF(COUNT('Business Case'!B11:G11)=0,"",H991+NPV(G991,I991:M991))</f>
        <v>-1275109231.48175</v>
      </c>
      <c r="P991" s="54" t="n">
        <f aca="true">RAND()</f>
        <v>0.199548064852525</v>
      </c>
      <c r="Q991" s="54" t="n">
        <f aca="true">RAND()</f>
        <v>0.314651157898646</v>
      </c>
      <c r="R991" s="54" t="n">
        <f aca="true">RAND()</f>
        <v>0.763185130699451</v>
      </c>
      <c r="S991" s="54" t="n">
        <f aca="true">RAND()</f>
        <v>0.96738857610431</v>
      </c>
      <c r="T991" s="54" t="n">
        <f aca="true">RAND()</f>
        <v>0.970054569395288</v>
      </c>
      <c r="U991" s="54" t="n">
        <f aca="true">RAND()</f>
        <v>0.218766162598748</v>
      </c>
    </row>
    <row r="992" customFormat="false" ht="15" hidden="false" customHeight="false" outlineLevel="0" collapsed="false">
      <c r="A992" s="50" t="n">
        <v>912</v>
      </c>
      <c r="B992" s="51" t="n">
        <f aca="false">1+IF($G$6=$E$6,$F$6,IF(P992&lt;($F$6-$E$6)/($G$6-$E$6),$E$6+SQRT(P992*($G$6-$E$6)*($F$6-$E$6)),$G$6-SQRT((1-P992)*($G$6-$E$6)*($G$6-$F$6))))</f>
        <v>0.997586149730419</v>
      </c>
      <c r="C992" s="51" t="n">
        <f aca="false">1+IF($G$7=$E$7,$F$7,IF(Q992&lt;($F$7-$E$7)/($G$7-$E$7),$E$7+SQRT(Q992*($G$7-$E$7)*($F$7-$E$7)),$G$7-SQRT((1-Q992)*($G$7-$E$7)*($G$7-$F$7))))</f>
        <v>1.01525672873473</v>
      </c>
      <c r="D992" s="51" t="n">
        <f aca="false">1+IF($G$8=$E$8,$F$8,IF(R992&lt;($F$8-$E$8)/($G$8-$E$8),$E$8+SQRT(R992*($G$8-$E$8)*($F$8-$E$8)),$G$8-SQRT((1-R992)*($G$8-$E$8)*($G$8-$F$8))))</f>
        <v>0.989306997693939</v>
      </c>
      <c r="E992" s="51" t="n">
        <f aca="false">1+IF($G$9=$E$9,$F$9,IF(S992&lt;($F$9-$E$9)/($G$9-$E$9),$E$9+SQRT(S992*($G$9-$E$9)*($F$9-$E$9)),$G$9-SQRT((1-S992)*($G$9-$E$9)*($G$9-$F$9))))</f>
        <v>1.07978681362152</v>
      </c>
      <c r="F992" s="51" t="n">
        <f aca="false">1+IF($G$10=$E$10,$F$10,IF(T992&lt;($F$10-$E$10)/($G$10-$E$10),$E$10+SQRT(T992*($G$10-$E$10)*($F$10-$E$10)),$G$10-SQRT((1-T992)*($G$10-$E$10)*($G$10-$F$10))))</f>
        <v>1.1689836817685</v>
      </c>
      <c r="G992" s="52" t="n">
        <f aca="false">IF($G$11=$E$11,$F$11,IF(U992&lt;($F$11-$E$11)/($G$11-$E$11),$E$11+SQRT(U992*($G$11-$E$11)*($F$11-$E$11)),$G$11-SQRT((1-U992)*($G$11-$E$11)*($G$11-$F$11))))</f>
        <v>0.105668477999391</v>
      </c>
      <c r="H992" s="53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-2337967363.53699</v>
      </c>
      <c r="I992" s="53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-7559589.03208797</v>
      </c>
      <c r="J992" s="53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307828740.693825</v>
      </c>
      <c r="K992" s="53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681666254.508163</v>
      </c>
      <c r="L992" s="53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821798274.872914</v>
      </c>
      <c r="M992" s="53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1014312449.04821</v>
      </c>
      <c r="N992" s="53" t="n">
        <f aca="false">IF(COUNT('Business Case'!B11:G11)=0,"",H992+NPV(G992,I992:M992))</f>
        <v>-424987529.332903</v>
      </c>
      <c r="P992" s="54" t="n">
        <f aca="true">RAND()</f>
        <v>0.634870441280516</v>
      </c>
      <c r="Q992" s="54" t="n">
        <f aca="true">RAND()</f>
        <v>0.731025938499765</v>
      </c>
      <c r="R992" s="54" t="n">
        <f aca="true">RAND()</f>
        <v>0.20600534236151</v>
      </c>
      <c r="S992" s="54" t="n">
        <f aca="true">RAND()</f>
        <v>0.868536225562166</v>
      </c>
      <c r="T992" s="54" t="n">
        <f aca="true">RAND()</f>
        <v>0.912484749069489</v>
      </c>
      <c r="U992" s="54" t="n">
        <f aca="true">RAND()</f>
        <v>0.605318024755919</v>
      </c>
    </row>
    <row r="993" customFormat="false" ht="15" hidden="false" customHeight="false" outlineLevel="0" collapsed="false">
      <c r="A993" s="50" t="n">
        <v>913</v>
      </c>
      <c r="B993" s="51" t="n">
        <f aca="false">1+IF($G$6=$E$6,$F$6,IF(P993&lt;($F$6-$E$6)/($G$6-$E$6),$E$6+SQRT(P993*($G$6-$E$6)*($F$6-$E$6)),$G$6-SQRT((1-P993)*($G$6-$E$6)*($G$6-$F$6))))</f>
        <v>0.997449375897906</v>
      </c>
      <c r="C993" s="51" t="n">
        <f aca="false">1+IF($G$7=$E$7,$F$7,IF(Q993&lt;($F$7-$E$7)/($G$7-$E$7),$E$7+SQRT(Q993*($G$7-$E$7)*($F$7-$E$7)),$G$7-SQRT((1-Q993)*($G$7-$E$7)*($G$7-$F$7))))</f>
        <v>0.988699177050586</v>
      </c>
      <c r="D993" s="51" t="n">
        <f aca="false">1+IF($G$8=$E$8,$F$8,IF(R993&lt;($F$8-$E$8)/($G$8-$E$8),$E$8+SQRT(R993*($G$8-$E$8)*($F$8-$E$8)),$G$8-SQRT((1-R993)*($G$8-$E$8)*($G$8-$F$8))))</f>
        <v>1.08692194423367</v>
      </c>
      <c r="E993" s="51" t="n">
        <f aca="false">1+IF($G$9=$E$9,$F$9,IF(S993&lt;($F$9-$E$9)/($G$9-$E$9),$E$9+SQRT(S993*($G$9-$E$9)*($F$9-$E$9)),$G$9-SQRT((1-S993)*($G$9-$E$9)*($G$9-$F$9))))</f>
        <v>0.974652936725001</v>
      </c>
      <c r="F993" s="51" t="n">
        <f aca="false">1+IF($G$10=$E$10,$F$10,IF(T993&lt;($F$10-$E$10)/($G$10-$E$10),$E$10+SQRT(T993*($G$10-$E$10)*($F$10-$E$10)),$G$10-SQRT((1-T993)*($G$10-$E$10)*($G$10-$F$10))))</f>
        <v>1.03368027257326</v>
      </c>
      <c r="G993" s="52" t="n">
        <f aca="false">IF($G$11=$E$11,$F$11,IF(U993&lt;($F$11-$E$11)/($G$11-$E$11),$E$11+SQRT(U993*($G$11-$E$11)*($F$11-$E$11)),$G$11-SQRT((1-U993)*($G$11-$E$11)*($G$11-$F$11))))</f>
        <v>0.0893523302906367</v>
      </c>
      <c r="H993" s="53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-2067360545.14653</v>
      </c>
      <c r="I993" s="53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-35465944.2383932</v>
      </c>
      <c r="J993" s="53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222155221.611693</v>
      </c>
      <c r="K993" s="53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531460401.090442</v>
      </c>
      <c r="L993" s="53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651416413.193042</v>
      </c>
      <c r="M993" s="53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838869009.032188</v>
      </c>
      <c r="N993" s="53" t="n">
        <f aca="false">IF(COUNT('Business Case'!B11:G11)=0,"",H993+NPV(G993,I993:M993))</f>
        <v>-492185834.586201</v>
      </c>
      <c r="P993" s="54" t="n">
        <f aca="true">RAND()</f>
        <v>0.633092057526087</v>
      </c>
      <c r="Q993" s="54" t="n">
        <f aca="true">RAND()</f>
        <v>0.617386776516191</v>
      </c>
      <c r="R993" s="54" t="n">
        <f aca="true">RAND()</f>
        <v>0.988597630491513</v>
      </c>
      <c r="S993" s="54" t="n">
        <f aca="true">RAND()</f>
        <v>0.22292243846668</v>
      </c>
      <c r="T993" s="54" t="n">
        <f aca="true">RAND()</f>
        <v>0.376077007013628</v>
      </c>
      <c r="U993" s="54" t="n">
        <f aca="true">RAND()</f>
        <v>0.0874660818651597</v>
      </c>
    </row>
    <row r="994" customFormat="false" ht="15" hidden="false" customHeight="false" outlineLevel="0" collapsed="false">
      <c r="A994" s="50" t="n">
        <v>914</v>
      </c>
      <c r="B994" s="51" t="n">
        <f aca="false">1+IF($G$6=$E$6,$F$6,IF(P994&lt;($F$6-$E$6)/($G$6-$E$6),$E$6+SQRT(P994*($G$6-$E$6)*($F$6-$E$6)),$G$6-SQRT((1-P994)*($G$6-$E$6)*($G$6-$F$6))))</f>
        <v>1.01228350658656</v>
      </c>
      <c r="C994" s="51" t="n">
        <f aca="false">1+IF($G$7=$E$7,$F$7,IF(Q994&lt;($F$7-$E$7)/($G$7-$E$7),$E$7+SQRT(Q994*($G$7-$E$7)*($F$7-$E$7)),$G$7-SQRT((1-Q994)*($G$7-$E$7)*($G$7-$F$7))))</f>
        <v>1.04348966659274</v>
      </c>
      <c r="D994" s="51" t="n">
        <f aca="false">1+IF($G$8=$E$8,$F$8,IF(R994&lt;($F$8-$E$8)/($G$8-$E$8),$E$8+SQRT(R994*($G$8-$E$8)*($F$8-$E$8)),$G$8-SQRT((1-R994)*($G$8-$E$8)*($G$8-$F$8))))</f>
        <v>1.05957820062144</v>
      </c>
      <c r="E994" s="51" t="n">
        <f aca="false">1+IF($G$9=$E$9,$F$9,IF(S994&lt;($F$9-$E$9)/($G$9-$E$9),$E$9+SQRT(S994*($G$9-$E$9)*($F$9-$E$9)),$G$9-SQRT((1-S994)*($G$9-$E$9)*($G$9-$F$9))))</f>
        <v>1.08810484522847</v>
      </c>
      <c r="F994" s="51" t="n">
        <f aca="false">1+IF($G$10=$E$10,$F$10,IF(T994&lt;($F$10-$E$10)/($G$10-$E$10),$E$10+SQRT(T994*($G$10-$E$10)*($F$10-$E$10)),$G$10-SQRT((1-T994)*($G$10-$E$10)*($G$10-$F$10))))</f>
        <v>1.19559299617316</v>
      </c>
      <c r="G994" s="52" t="n">
        <f aca="false">IF($G$11=$E$11,$F$11,IF(U994&lt;($F$11-$E$11)/($G$11-$E$11),$E$11+SQRT(U994*($G$11-$E$11)*($F$11-$E$11)),$G$11-SQRT((1-U994)*($G$11-$E$11)*($G$11-$F$11))))</f>
        <v>0.0975974495645163</v>
      </c>
      <c r="H994" s="53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-2391185992.34631</v>
      </c>
      <c r="I994" s="53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-29863891.5435553</v>
      </c>
      <c r="J994" s="53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269319000.037925</v>
      </c>
      <c r="K994" s="53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628281541.428064</v>
      </c>
      <c r="L994" s="53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764515154.966046</v>
      </c>
      <c r="M994" s="53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965298061.525563</v>
      </c>
      <c r="N994" s="53" t="n">
        <f aca="false">IF(COUNT('Business Case'!B11:G11)=0,"",H994+NPV(G994,I994:M994))</f>
        <v>-586973497.801979</v>
      </c>
      <c r="P994" s="54" t="n">
        <f aca="true">RAND()</f>
        <v>0.810328816612508</v>
      </c>
      <c r="Q994" s="54" t="n">
        <f aca="true">RAND()</f>
        <v>0.831934057444063</v>
      </c>
      <c r="R994" s="54" t="n">
        <f aca="true">RAND()</f>
        <v>0.891071875666641</v>
      </c>
      <c r="S994" s="54" t="n">
        <f aca="true">RAND()</f>
        <v>0.897839728421558</v>
      </c>
      <c r="T994" s="54" t="n">
        <f aca="true">RAND()</f>
        <v>0.960531705794477</v>
      </c>
      <c r="U994" s="54" t="n">
        <f aca="true">RAND()</f>
        <v>0.309670231175695</v>
      </c>
    </row>
    <row r="995" customFormat="false" ht="15" hidden="false" customHeight="false" outlineLevel="0" collapsed="false">
      <c r="A995" s="50" t="n">
        <v>915</v>
      </c>
      <c r="B995" s="51" t="n">
        <f aca="false">1+IF($G$6=$E$6,$F$6,IF(P995&lt;($F$6-$E$6)/($G$6-$E$6),$E$6+SQRT(P995*($G$6-$E$6)*($F$6-$E$6)),$G$6-SQRT((1-P995)*($G$6-$E$6)*($G$6-$F$6))))</f>
        <v>0.974072686723736</v>
      </c>
      <c r="C995" s="51" t="n">
        <f aca="false">1+IF($G$7=$E$7,$F$7,IF(Q995&lt;($F$7-$E$7)/($G$7-$E$7),$E$7+SQRT(Q995*($G$7-$E$7)*($F$7-$E$7)),$G$7-SQRT((1-Q995)*($G$7-$E$7)*($G$7-$F$7))))</f>
        <v>1.03955054503113</v>
      </c>
      <c r="D995" s="51" t="n">
        <f aca="false">1+IF($G$8=$E$8,$F$8,IF(R995&lt;($F$8-$E$8)/($G$8-$E$8),$E$8+SQRT(R995*($G$8-$E$8)*($F$8-$E$8)),$G$8-SQRT((1-R995)*($G$8-$E$8)*($G$8-$F$8))))</f>
        <v>0.985785538763838</v>
      </c>
      <c r="E995" s="51" t="n">
        <f aca="false">1+IF($G$9=$E$9,$F$9,IF(S995&lt;($F$9-$E$9)/($G$9-$E$9),$E$9+SQRT(S995*($G$9-$E$9)*($F$9-$E$9)),$G$9-SQRT((1-S995)*($G$9-$E$9)*($G$9-$F$9))))</f>
        <v>1.06934659182958</v>
      </c>
      <c r="F995" s="51" t="n">
        <f aca="false">1+IF($G$10=$E$10,$F$10,IF(T995&lt;($F$10-$E$10)/($G$10-$E$10),$E$10+SQRT(T995*($G$10-$E$10)*($F$10-$E$10)),$G$10-SQRT((1-T995)*($G$10-$E$10)*($G$10-$F$10))))</f>
        <v>1.17016059747911</v>
      </c>
      <c r="G995" s="52" t="n">
        <f aca="false">IF($G$11=$E$11,$F$11,IF(U995&lt;($F$11-$E$11)/($G$11-$E$11),$E$11+SQRT(U995*($G$11-$E$11)*($F$11-$E$11)),$G$11-SQRT((1-U995)*($G$11-$E$11)*($G$11-$F$11))))</f>
        <v>0.100489947273938</v>
      </c>
      <c r="H995" s="53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-2340321194.95822</v>
      </c>
      <c r="I995" s="53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-16781967.5306439</v>
      </c>
      <c r="J995" s="53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288006279.601956</v>
      </c>
      <c r="K995" s="53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651302556.60851</v>
      </c>
      <c r="L995" s="53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787894018.69082</v>
      </c>
      <c r="M995" s="53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980368607.067094</v>
      </c>
      <c r="N995" s="53" t="n">
        <f aca="false">IF(COUNT('Business Case'!B11:G11)=0,"",H995+NPV(G995,I995:M995))</f>
        <v>-484518502.785162</v>
      </c>
      <c r="P995" s="54" t="n">
        <f aca="true">RAND()</f>
        <v>0.36578419456485</v>
      </c>
      <c r="Q995" s="54" t="n">
        <f aca="true">RAND()</f>
        <v>0.819272857734503</v>
      </c>
      <c r="R995" s="54" t="n">
        <f aca="true">RAND()</f>
        <v>0.17074730461575</v>
      </c>
      <c r="S995" s="54" t="n">
        <f aca="true">RAND()</f>
        <v>0.826534073346569</v>
      </c>
      <c r="T995" s="54" t="n">
        <f aca="true">RAND()</f>
        <v>0.915008930734764</v>
      </c>
      <c r="U995" s="54" t="n">
        <f aca="true">RAND()</f>
        <v>0.419437858736708</v>
      </c>
    </row>
    <row r="996" customFormat="false" ht="15" hidden="false" customHeight="false" outlineLevel="0" collapsed="false">
      <c r="A996" s="50" t="n">
        <v>916</v>
      </c>
      <c r="B996" s="51" t="n">
        <f aca="false">1+IF($G$6=$E$6,$F$6,IF(P996&lt;($F$6-$E$6)/($G$6-$E$6),$E$6+SQRT(P996*($G$6-$E$6)*($F$6-$E$6)),$G$6-SQRT((1-P996)*($G$6-$E$6)*($G$6-$F$6))))</f>
        <v>0.975398978197442</v>
      </c>
      <c r="C996" s="51" t="n">
        <f aca="false">1+IF($G$7=$E$7,$F$7,IF(Q996&lt;($F$7-$E$7)/($G$7-$E$7),$E$7+SQRT(Q996*($G$7-$E$7)*($F$7-$E$7)),$G$7-SQRT((1-Q996)*($G$7-$E$7)*($G$7-$F$7))))</f>
        <v>1.08566174826707</v>
      </c>
      <c r="D996" s="51" t="n">
        <f aca="false">1+IF($G$8=$E$8,$F$8,IF(R996&lt;($F$8-$E$8)/($G$8-$E$8),$E$8+SQRT(R996*($G$8-$E$8)*($F$8-$E$8)),$G$8-SQRT((1-R996)*($G$8-$E$8)*($G$8-$F$8))))</f>
        <v>1.05628815347481</v>
      </c>
      <c r="E996" s="51" t="n">
        <f aca="false">1+IF($G$9=$E$9,$F$9,IF(S996&lt;($F$9-$E$9)/($G$9-$E$9),$E$9+SQRT(S996*($G$9-$E$9)*($F$9-$E$9)),$G$9-SQRT((1-S996)*($G$9-$E$9)*($G$9-$F$9))))</f>
        <v>1.00040934729097</v>
      </c>
      <c r="F996" s="51" t="n">
        <f aca="false">1+IF($G$10=$E$10,$F$10,IF(T996&lt;($F$10-$E$10)/($G$10-$E$10),$E$10+SQRT(T996*($G$10-$E$10)*($F$10-$E$10)),$G$10-SQRT((1-T996)*($G$10-$E$10)*($G$10-$F$10))))</f>
        <v>1.1419947334884</v>
      </c>
      <c r="G996" s="52" t="n">
        <f aca="false">IF($G$11=$E$11,$F$11,IF(U996&lt;($F$11-$E$11)/($G$11-$E$11),$E$11+SQRT(U996*($G$11-$E$11)*($F$11-$E$11)),$G$11-SQRT((1-U996)*($G$11-$E$11)*($G$11-$F$11))))</f>
        <v>0.115215869875541</v>
      </c>
      <c r="H996" s="53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-2283989466.97679</v>
      </c>
      <c r="I996" s="53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-31050117.9661931</v>
      </c>
      <c r="J996" s="53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249253588.779884</v>
      </c>
      <c r="K996" s="53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586657032.200381</v>
      </c>
      <c r="L996" s="53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716689029.234843</v>
      </c>
      <c r="M996" s="53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917974883.88991</v>
      </c>
      <c r="N996" s="53" t="n">
        <f aca="false">IF(COUNT('Business Case'!B11:G11)=0,"",H996+NPV(G996,I996:M996))</f>
        <v>-692964491.232915</v>
      </c>
      <c r="P996" s="54" t="n">
        <f aca="true">RAND()</f>
        <v>0.379000394214558</v>
      </c>
      <c r="Q996" s="54" t="n">
        <f aca="true">RAND()</f>
        <v>0.938675397984444</v>
      </c>
      <c r="R996" s="54" t="n">
        <f aca="true">RAND()</f>
        <v>0.872618298223903</v>
      </c>
      <c r="S996" s="54" t="n">
        <f aca="true">RAND()</f>
        <v>0.403270309922319</v>
      </c>
      <c r="T996" s="54" t="n">
        <f aca="true">RAND()</f>
        <v>0.844464832076765</v>
      </c>
      <c r="U996" s="54" t="n">
        <f aca="true">RAND()</f>
        <v>0.854286330975381</v>
      </c>
    </row>
    <row r="997" customFormat="false" ht="15" hidden="false" customHeight="false" outlineLevel="0" collapsed="false">
      <c r="A997" s="50" t="n">
        <v>917</v>
      </c>
      <c r="B997" s="51" t="n">
        <f aca="false">1+IF($G$6=$E$6,$F$6,IF(P997&lt;($F$6-$E$6)/($G$6-$E$6),$E$6+SQRT(P997*($G$6-$E$6)*($F$6-$E$6)),$G$6-SQRT((1-P997)*($G$6-$E$6)*($G$6-$F$6))))</f>
        <v>0.929758614791013</v>
      </c>
      <c r="C997" s="51" t="n">
        <f aca="false">1+IF($G$7=$E$7,$F$7,IF(Q997&lt;($F$7-$E$7)/($G$7-$E$7),$E$7+SQRT(Q997*($G$7-$E$7)*($F$7-$E$7)),$G$7-SQRT((1-Q997)*($G$7-$E$7)*($G$7-$F$7))))</f>
        <v>1.02779554529147</v>
      </c>
      <c r="D997" s="51" t="n">
        <f aca="false">1+IF($G$8=$E$8,$F$8,IF(R997&lt;($F$8-$E$8)/($G$8-$E$8),$E$8+SQRT(R997*($G$8-$E$8)*($F$8-$E$8)),$G$8-SQRT((1-R997)*($G$8-$E$8)*($G$8-$F$8))))</f>
        <v>1.01463725544148</v>
      </c>
      <c r="E997" s="51" t="n">
        <f aca="false">1+IF($G$9=$E$9,$F$9,IF(S997&lt;($F$9-$E$9)/($G$9-$E$9),$E$9+SQRT(S997*($G$9-$E$9)*($F$9-$E$9)),$G$9-SQRT((1-S997)*($G$9-$E$9)*($G$9-$F$9))))</f>
        <v>1.04509937460283</v>
      </c>
      <c r="F997" s="51" t="n">
        <f aca="false">1+IF($G$10=$E$10,$F$10,IF(T997&lt;($F$10-$E$10)/($G$10-$E$10),$E$10+SQRT(T997*($G$10-$E$10)*($F$10-$E$10)),$G$10-SQRT((1-T997)*($G$10-$E$10)*($G$10-$F$10))))</f>
        <v>1.20218428757391</v>
      </c>
      <c r="G997" s="52" t="n">
        <f aca="false">IF($G$11=$E$11,$F$11,IF(U997&lt;($F$11-$E$11)/($G$11-$E$11),$E$11+SQRT(U997*($G$11-$E$11)*($F$11-$E$11)),$G$11-SQRT((1-U997)*($G$11-$E$11)*($G$11-$F$11))))</f>
        <v>0.0991923842723877</v>
      </c>
      <c r="H997" s="53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-2404368575.14783</v>
      </c>
      <c r="I997" s="53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-69513782.6533681</v>
      </c>
      <c r="J997" s="53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179342389.886066</v>
      </c>
      <c r="K997" s="53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488307776.804196</v>
      </c>
      <c r="L997" s="53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604285431.2286</v>
      </c>
      <c r="M997" s="53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785926214.240527</v>
      </c>
      <c r="N997" s="53" t="n">
        <f aca="false">IF(COUNT('Business Case'!B11:G11)=0,"",H997+NPV(G997,I997:M997))</f>
        <v>-1047749352.34277</v>
      </c>
      <c r="P997" s="54" t="n">
        <f aca="true">RAND()</f>
        <v>0.0590383436186581</v>
      </c>
      <c r="Q997" s="54" t="n">
        <f aca="true">RAND()</f>
        <v>0.778756611102075</v>
      </c>
      <c r="R997" s="54" t="n">
        <f aca="true">RAND()</f>
        <v>0.514213456095761</v>
      </c>
      <c r="S997" s="54" t="n">
        <f aca="true">RAND()</f>
        <v>0.706556234434192</v>
      </c>
      <c r="T997" s="54" t="n">
        <f aca="true">RAND()</f>
        <v>0.969515435269144</v>
      </c>
      <c r="U997" s="54" t="n">
        <f aca="true">RAND()</f>
        <v>0.368347614058993</v>
      </c>
    </row>
    <row r="998" customFormat="false" ht="15" hidden="false" customHeight="false" outlineLevel="0" collapsed="false">
      <c r="A998" s="50" t="n">
        <v>918</v>
      </c>
      <c r="B998" s="51" t="n">
        <f aca="false">1+IF($G$6=$E$6,$F$6,IF(P998&lt;($F$6-$E$6)/($G$6-$E$6),$E$6+SQRT(P998*($G$6-$E$6)*($F$6-$E$6)),$G$6-SQRT((1-P998)*($G$6-$E$6)*($G$6-$F$6))))</f>
        <v>1.00564007533202</v>
      </c>
      <c r="C998" s="51" t="n">
        <f aca="false">1+IF($G$7=$E$7,$F$7,IF(Q998&lt;($F$7-$E$7)/($G$7-$E$7),$E$7+SQRT(Q998*($G$7-$E$7)*($F$7-$E$7)),$G$7-SQRT((1-Q998)*($G$7-$E$7)*($G$7-$F$7))))</f>
        <v>0.931257710772796</v>
      </c>
      <c r="D998" s="51" t="n">
        <f aca="false">1+IF($G$8=$E$8,$F$8,IF(R998&lt;($F$8-$E$8)/($G$8-$E$8),$E$8+SQRT(R998*($G$8-$E$8)*($F$8-$E$8)),$G$8-SQRT((1-R998)*($G$8-$E$8)*($G$8-$F$8))))</f>
        <v>1.00305322593564</v>
      </c>
      <c r="E998" s="51" t="n">
        <f aca="false">1+IF($G$9=$E$9,$F$9,IF(S998&lt;($F$9-$E$9)/($G$9-$E$9),$E$9+SQRT(S998*($G$9-$E$9)*($F$9-$E$9)),$G$9-SQRT((1-S998)*($G$9-$E$9)*($G$9-$F$9))))</f>
        <v>1.00087224545062</v>
      </c>
      <c r="F998" s="51" t="n">
        <f aca="false">1+IF($G$10=$E$10,$F$10,IF(T998&lt;($F$10-$E$10)/($G$10-$E$10),$E$10+SQRT(T998*($G$10-$E$10)*($F$10-$E$10)),$G$10-SQRT((1-T998)*($G$10-$E$10)*($G$10-$F$10))))</f>
        <v>1.08369733232356</v>
      </c>
      <c r="G998" s="52" t="n">
        <f aca="false">IF($G$11=$E$11,$F$11,IF(U998&lt;($F$11-$E$11)/($G$11-$E$11),$E$11+SQRT(U998*($G$11-$E$11)*($F$11-$E$11)),$G$11-SQRT((1-U998)*($G$11-$E$11)*($G$11-$F$11))))</f>
        <v>0.125219947671756</v>
      </c>
      <c r="H998" s="53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-2167394664.64711</v>
      </c>
      <c r="I998" s="53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-10358279.1333873</v>
      </c>
      <c r="J998" s="53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278525890.526337</v>
      </c>
      <c r="K998" s="53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621594926.802239</v>
      </c>
      <c r="L998" s="53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750255438.193932</v>
      </c>
      <c r="M998" s="53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928267273.138751</v>
      </c>
      <c r="N998" s="53" t="n">
        <f aca="false">IF(COUNT('Business Case'!B11:G11)=0,"",H998+NPV(G998,I998:M998))</f>
        <v>-537672589.615084</v>
      </c>
      <c r="P998" s="54" t="n">
        <f aca="true">RAND()</f>
        <v>0.737626277793492</v>
      </c>
      <c r="Q998" s="54" t="n">
        <f aca="true">RAND()</f>
        <v>0.396149102162029</v>
      </c>
      <c r="R998" s="54" t="n">
        <f aca="true">RAND()</f>
        <v>0.373421533234202</v>
      </c>
      <c r="S998" s="54" t="n">
        <f aca="true">RAND()</f>
        <v>0.406957675281608</v>
      </c>
      <c r="T998" s="54" t="n">
        <f aca="true">RAND()</f>
        <v>0.63124563631598</v>
      </c>
      <c r="U998" s="54" t="n">
        <f aca="true">RAND()</f>
        <v>0.984767399826165</v>
      </c>
    </row>
    <row r="999" customFormat="false" ht="15" hidden="false" customHeight="false" outlineLevel="0" collapsed="false">
      <c r="A999" s="50" t="n">
        <v>919</v>
      </c>
      <c r="B999" s="51" t="n">
        <f aca="false">1+IF($G$6=$E$6,$F$6,IF(P999&lt;($F$6-$E$6)/($G$6-$E$6),$E$6+SQRT(P999*($G$6-$E$6)*($F$6-$E$6)),$G$6-SQRT((1-P999)*($G$6-$E$6)*($G$6-$F$6))))</f>
        <v>1.00380345022537</v>
      </c>
      <c r="C999" s="51" t="n">
        <f aca="false">1+IF($G$7=$E$7,$F$7,IF(Q999&lt;($F$7-$E$7)/($G$7-$E$7),$E$7+SQRT(Q999*($G$7-$E$7)*($F$7-$E$7)),$G$7-SQRT((1-Q999)*($G$7-$E$7)*($G$7-$F$7))))</f>
        <v>1.06029094413526</v>
      </c>
      <c r="D999" s="51" t="n">
        <f aca="false">1+IF($G$8=$E$8,$F$8,IF(R999&lt;($F$8-$E$8)/($G$8-$E$8),$E$8+SQRT(R999*($G$8-$E$8)*($F$8-$E$8)),$G$8-SQRT((1-R999)*($G$8-$E$8)*($G$8-$F$8))))</f>
        <v>0.973676733186608</v>
      </c>
      <c r="E999" s="51" t="n">
        <f aca="false">1+IF($G$9=$E$9,$F$9,IF(S999&lt;($F$9-$E$9)/($G$9-$E$9),$E$9+SQRT(S999*($G$9-$E$9)*($F$9-$E$9)),$G$9-SQRT((1-S999)*($G$9-$E$9)*($G$9-$F$9))))</f>
        <v>1.08261090554747</v>
      </c>
      <c r="F999" s="51" t="n">
        <f aca="false">1+IF($G$10=$E$10,$F$10,IF(T999&lt;($F$10-$E$10)/($G$10-$E$10),$E$10+SQRT(T999*($G$10-$E$10)*($F$10-$E$10)),$G$10-SQRT((1-T999)*($G$10-$E$10)*($G$10-$F$10))))</f>
        <v>1.05353877017603</v>
      </c>
      <c r="G999" s="52" t="n">
        <f aca="false">IF($G$11=$E$11,$F$11,IF(U999&lt;($F$11-$E$11)/($G$11-$E$11),$E$11+SQRT(U999*($G$11-$E$11)*($F$11-$E$11)),$G$11-SQRT((1-U999)*($G$11-$E$11)*($G$11-$F$11))))</f>
        <v>0.125753340539958</v>
      </c>
      <c r="H999" s="53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-2107077540.35205</v>
      </c>
      <c r="I999" s="53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28785770.9442578</v>
      </c>
      <c r="J999" s="53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372047230.695909</v>
      </c>
      <c r="K999" s="53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767985628.956362</v>
      </c>
      <c r="L999" s="53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919189142.887541</v>
      </c>
      <c r="M999" s="53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1121495793.29766</v>
      </c>
      <c r="N999" s="53" t="n">
        <f aca="false">IF(COUNT('Business Case'!B11:G11)=0,"",H999+NPV(G999,I999:M999))</f>
        <v>-57056946.8012037</v>
      </c>
      <c r="P999" s="54" t="n">
        <f aca="true">RAND()</f>
        <v>0.715450505189353</v>
      </c>
      <c r="Q999" s="54" t="n">
        <f aca="true">RAND()</f>
        <v>0.880774596975654</v>
      </c>
      <c r="R999" s="54" t="n">
        <f aca="true">RAND()</f>
        <v>0.0747450259186439</v>
      </c>
      <c r="S999" s="54" t="n">
        <f aca="true">RAND()</f>
        <v>0.87889893196981</v>
      </c>
      <c r="T999" s="54" t="n">
        <f aca="true">RAND()</f>
        <v>0.485373135680687</v>
      </c>
      <c r="U999" s="54" t="n">
        <f aca="true">RAND()</f>
        <v>0.987977255620293</v>
      </c>
    </row>
    <row r="1000" customFormat="false" ht="15" hidden="false" customHeight="false" outlineLevel="0" collapsed="false">
      <c r="A1000" s="50" t="n">
        <v>920</v>
      </c>
      <c r="B1000" s="51" t="n">
        <f aca="false">1+IF($G$6=$E$6,$F$6,IF(P1000&lt;($F$6-$E$6)/($G$6-$E$6),$E$6+SQRT(P1000*($G$6-$E$6)*($F$6-$E$6)),$G$6-SQRT((1-P1000)*($G$6-$E$6)*($G$6-$F$6))))</f>
        <v>0.991159807611384</v>
      </c>
      <c r="C1000" s="51" t="n">
        <f aca="false">1+IF($G$7=$E$7,$F$7,IF(Q1000&lt;($F$7-$E$7)/($G$7-$E$7),$E$7+SQRT(Q1000*($G$7-$E$7)*($F$7-$E$7)),$G$7-SQRT((1-Q1000)*($G$7-$E$7)*($G$7-$F$7))))</f>
        <v>0.987612649765659</v>
      </c>
      <c r="D1000" s="51" t="n">
        <f aca="false">1+IF($G$8=$E$8,$F$8,IF(R1000&lt;($F$8-$E$8)/($G$8-$E$8),$E$8+SQRT(R1000*($G$8-$E$8)*($F$8-$E$8)),$G$8-SQRT((1-R1000)*($G$8-$E$8)*($G$8-$F$8))))</f>
        <v>1.0288906811013</v>
      </c>
      <c r="E1000" s="51" t="n">
        <f aca="false">1+IF($G$9=$E$9,$F$9,IF(S1000&lt;($F$9-$E$9)/($G$9-$E$9),$E$9+SQRT(S1000*($G$9-$E$9)*($F$9-$E$9)),$G$9-SQRT((1-S1000)*($G$9-$E$9)*($G$9-$F$9))))</f>
        <v>0.959164600401333</v>
      </c>
      <c r="F1000" s="51" t="n">
        <f aca="false">1+IF($G$10=$E$10,$F$10,IF(T1000&lt;($F$10-$E$10)/($G$10-$E$10),$E$10+SQRT(T1000*($G$10-$E$10)*($F$10-$E$10)),$G$10-SQRT((1-T1000)*($G$10-$E$10)*($G$10-$F$10))))</f>
        <v>1.04149190981009</v>
      </c>
      <c r="G1000" s="52" t="n">
        <f aca="false">IF($G$11=$E$11,$F$11,IF(U1000&lt;($F$11-$E$11)/($G$11-$E$11),$E$11+SQRT(U1000*($G$11-$E$11)*($F$11-$E$11)),$G$11-SQRT((1-U1000)*($G$11-$E$11)*($G$11-$F$11))))</f>
        <v>0.105422196327805</v>
      </c>
      <c r="H1000" s="53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-2082983819.62017</v>
      </c>
      <c r="I1000" s="53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-9698009.93055476</v>
      </c>
      <c r="J1000" s="53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271891618.307426</v>
      </c>
      <c r="K1000" s="53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605555842.035912</v>
      </c>
      <c r="L1000" s="53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733249212.122211</v>
      </c>
      <c r="M1000" s="53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919315095.827223</v>
      </c>
      <c r="N1000" s="53" t="n">
        <f aca="false">IF(COUNT('Business Case'!B11:G11)=0,"",H1000+NPV(G1000,I1000:M1000))</f>
        <v>-372926939.456498</v>
      </c>
      <c r="P1000" s="54" t="n">
        <f aca="true">RAND()</f>
        <v>0.554007368249632</v>
      </c>
      <c r="Q1000" s="54" t="n">
        <f aca="true">RAND()</f>
        <v>0.612748417075732</v>
      </c>
      <c r="R1000" s="54" t="n">
        <f aca="true">RAND()</f>
        <v>0.662897651050829</v>
      </c>
      <c r="S1000" s="54" t="n">
        <f aca="true">RAND()</f>
        <v>0.140017997625976</v>
      </c>
      <c r="T1000" s="54" t="n">
        <f aca="true">RAND()</f>
        <v>0.420325017671396</v>
      </c>
      <c r="U1000" s="54" t="n">
        <f aca="true">RAND()</f>
        <v>0.597287711100699</v>
      </c>
    </row>
    <row r="1001" customFormat="false" ht="15" hidden="false" customHeight="false" outlineLevel="0" collapsed="false">
      <c r="A1001" s="50" t="n">
        <v>921</v>
      </c>
      <c r="B1001" s="51" t="n">
        <f aca="false">1+IF($G$6=$E$6,$F$6,IF(P1001&lt;($F$6-$E$6)/($G$6-$E$6),$E$6+SQRT(P1001*($G$6-$E$6)*($F$6-$E$6)),$G$6-SQRT((1-P1001)*($G$6-$E$6)*($G$6-$F$6))))</f>
        <v>1.02914565750431</v>
      </c>
      <c r="C1001" s="51" t="n">
        <f aca="false">1+IF($G$7=$E$7,$F$7,IF(Q1001&lt;($F$7-$E$7)/($G$7-$E$7),$E$7+SQRT(Q1001*($G$7-$E$7)*($F$7-$E$7)),$G$7-SQRT((1-Q1001)*($G$7-$E$7)*($G$7-$F$7))))</f>
        <v>0.793897523287331</v>
      </c>
      <c r="D1001" s="51" t="n">
        <f aca="false">1+IF($G$8=$E$8,$F$8,IF(R1001&lt;($F$8-$E$8)/($G$8-$E$8),$E$8+SQRT(R1001*($G$8-$E$8)*($F$8-$E$8)),$G$8-SQRT((1-R1001)*($G$8-$E$8)*($G$8-$F$8))))</f>
        <v>0.98027043258658</v>
      </c>
      <c r="E1001" s="51" t="n">
        <f aca="false">1+IF($G$9=$E$9,$F$9,IF(S1001&lt;($F$9-$E$9)/($G$9-$E$9),$E$9+SQRT(S1001*($G$9-$E$9)*($F$9-$E$9)),$G$9-SQRT((1-S1001)*($G$9-$E$9)*($G$9-$F$9))))</f>
        <v>1.00895965042167</v>
      </c>
      <c r="F1001" s="51" t="n">
        <f aca="false">1+IF($G$10=$E$10,$F$10,IF(T1001&lt;($F$10-$E$10)/($G$10-$E$10),$E$10+SQRT(T1001*($G$10-$E$10)*($F$10-$E$10)),$G$10-SQRT((1-T1001)*($G$10-$E$10)*($G$10-$F$10))))</f>
        <v>0.988754295522476</v>
      </c>
      <c r="G1001" s="52" t="n">
        <f aca="false">IF($G$11=$E$11,$F$11,IF(U1001&lt;($F$11-$E$11)/($G$11-$E$11),$E$11+SQRT(U1001*($G$11-$E$11)*($F$11-$E$11)),$G$11-SQRT((1-U1001)*($G$11-$E$11)*($G$11-$F$11))))</f>
        <v>0.118787326275611</v>
      </c>
      <c r="H1001" s="53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-1977508591.04495</v>
      </c>
      <c r="I1001" s="53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-13886869.5670556</v>
      </c>
      <c r="J1001" s="53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256930908.724841</v>
      </c>
      <c r="K1001" s="53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577186401.792861</v>
      </c>
      <c r="L1001" s="53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695695765.234655</v>
      </c>
      <c r="M1001" s="53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850998003.962713</v>
      </c>
      <c r="N1001" s="53" t="n">
        <f aca="false">IF(COUNT('Business Case'!B11:G11)=0,"",H1001+NPV(G1001,I1001:M1001))</f>
        <v>-442936681.175203</v>
      </c>
      <c r="P1001" s="54" t="n">
        <f aca="true">RAND()</f>
        <v>0.942012853209641</v>
      </c>
      <c r="Q1001" s="54" t="n">
        <f aca="true">RAND()</f>
        <v>0.065309221329592</v>
      </c>
      <c r="R1001" s="54" t="n">
        <f aca="true">RAND()</f>
        <v>0.122173211863824</v>
      </c>
      <c r="S1001" s="54" t="n">
        <f aca="true">RAND()</f>
        <v>0.469536527755261</v>
      </c>
      <c r="T1001" s="54" t="n">
        <f aca="true">RAND()</f>
        <v>0.100126361429558</v>
      </c>
      <c r="U1001" s="54" t="n">
        <f aca="true">RAND()</f>
        <v>0.916183965300265</v>
      </c>
    </row>
    <row r="1002" customFormat="false" ht="15" hidden="false" customHeight="false" outlineLevel="0" collapsed="false">
      <c r="A1002" s="50" t="n">
        <v>922</v>
      </c>
      <c r="B1002" s="51" t="n">
        <f aca="false">1+IF($G$6=$E$6,$F$6,IF(P1002&lt;($F$6-$E$6)/($G$6-$E$6),$E$6+SQRT(P1002*($G$6-$E$6)*($F$6-$E$6)),$G$6-SQRT((1-P1002)*($G$6-$E$6)*($G$6-$F$6))))</f>
        <v>0.9602886581309</v>
      </c>
      <c r="C1002" s="51" t="n">
        <f aca="false">1+IF($G$7=$E$7,$F$7,IF(Q1002&lt;($F$7-$E$7)/($G$7-$E$7),$E$7+SQRT(Q1002*($G$7-$E$7)*($F$7-$E$7)),$G$7-SQRT((1-Q1002)*($G$7-$E$7)*($G$7-$F$7))))</f>
        <v>0.863184128924663</v>
      </c>
      <c r="D1002" s="51" t="n">
        <f aca="false">1+IF($G$8=$E$8,$F$8,IF(R1002&lt;($F$8-$E$8)/($G$8-$E$8),$E$8+SQRT(R1002*($G$8-$E$8)*($F$8-$E$8)),$G$8-SQRT((1-R1002)*($G$8-$E$8)*($G$8-$F$8))))</f>
        <v>1.00282564996788</v>
      </c>
      <c r="E1002" s="51" t="n">
        <f aca="false">1+IF($G$9=$E$9,$F$9,IF(S1002&lt;($F$9-$E$9)/($G$9-$E$9),$E$9+SQRT(S1002*($G$9-$E$9)*($F$9-$E$9)),$G$9-SQRT((1-S1002)*($G$9-$E$9)*($G$9-$F$9))))</f>
        <v>0.971098761107518</v>
      </c>
      <c r="F1002" s="51" t="n">
        <f aca="false">1+IF($G$10=$E$10,$F$10,IF(T1002&lt;($F$10-$E$10)/($G$10-$E$10),$E$10+SQRT(T1002*($G$10-$E$10)*($F$10-$E$10)),$G$10-SQRT((1-T1002)*($G$10-$E$10)*($G$10-$F$10))))</f>
        <v>1.04206300854966</v>
      </c>
      <c r="G1002" s="52" t="n">
        <f aca="false">IF($G$11=$E$11,$F$11,IF(U1002&lt;($F$11-$E$11)/($G$11-$E$11),$E$11+SQRT(U1002*($G$11-$E$11)*($F$11-$E$11)),$G$11-SQRT((1-U1002)*($G$11-$E$11)*($G$11-$F$11))))</f>
        <v>0.118379269828856</v>
      </c>
      <c r="H1002" s="53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-2084126017.09933</v>
      </c>
      <c r="I1002" s="53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-49463211.9863687</v>
      </c>
      <c r="J1002" s="53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186340604.065114</v>
      </c>
      <c r="K1002" s="53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474247570.54408</v>
      </c>
      <c r="L1002" s="53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581495831.463505</v>
      </c>
      <c r="M1002" s="53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739054270.425957</v>
      </c>
      <c r="N1002" s="53" t="n">
        <f aca="false">IF(COUNT('Business Case'!B11:G11)=0,"",H1002+NPV(G1002,I1002:M1002))</f>
        <v>-846238769.500364</v>
      </c>
      <c r="P1002" s="54" t="n">
        <f aca="true">RAND()</f>
        <v>0.242314819948305</v>
      </c>
      <c r="Q1002" s="54" t="n">
        <f aca="true">RAND()</f>
        <v>0.197252295799266</v>
      </c>
      <c r="R1002" s="54" t="n">
        <f aca="true">RAND()</f>
        <v>0.370476379722289</v>
      </c>
      <c r="S1002" s="54" t="n">
        <f aca="true">RAND()</f>
        <v>0.202201353240957</v>
      </c>
      <c r="T1002" s="54" t="n">
        <f aca="true">RAND()</f>
        <v>0.423496101154433</v>
      </c>
      <c r="U1002" s="54" t="n">
        <f aca="true">RAND()</f>
        <v>0.909972420192978</v>
      </c>
    </row>
    <row r="1003" customFormat="false" ht="15" hidden="false" customHeight="false" outlineLevel="0" collapsed="false">
      <c r="A1003" s="50" t="n">
        <v>923</v>
      </c>
      <c r="B1003" s="51" t="n">
        <f aca="false">1+IF($G$6=$E$6,$F$6,IF(P1003&lt;($F$6-$E$6)/($G$6-$E$6),$E$6+SQRT(P1003*($G$6-$E$6)*($F$6-$E$6)),$G$6-SQRT((1-P1003)*($G$6-$E$6)*($G$6-$F$6))))</f>
        <v>1.00579014971431</v>
      </c>
      <c r="C1003" s="51" t="n">
        <f aca="false">1+IF($G$7=$E$7,$F$7,IF(Q1003&lt;($F$7-$E$7)/($G$7-$E$7),$E$7+SQRT(Q1003*($G$7-$E$7)*($F$7-$E$7)),$G$7-SQRT((1-Q1003)*($G$7-$E$7)*($G$7-$F$7))))</f>
        <v>1.01825694630122</v>
      </c>
      <c r="D1003" s="51" t="n">
        <f aca="false">1+IF($G$8=$E$8,$F$8,IF(R1003&lt;($F$8-$E$8)/($G$8-$E$8),$E$8+SQRT(R1003*($G$8-$E$8)*($F$8-$E$8)),$G$8-SQRT((1-R1003)*($G$8-$E$8)*($G$8-$F$8))))</f>
        <v>1.03509196026223</v>
      </c>
      <c r="E1003" s="51" t="n">
        <f aca="false">1+IF($G$9=$E$9,$F$9,IF(S1003&lt;($F$9-$E$9)/($G$9-$E$9),$E$9+SQRT(S1003*($G$9-$E$9)*($F$9-$E$9)),$G$9-SQRT((1-S1003)*($G$9-$E$9)*($G$9-$F$9))))</f>
        <v>1.01991936857797</v>
      </c>
      <c r="F1003" s="51" t="n">
        <f aca="false">1+IF($G$10=$E$10,$F$10,IF(T1003&lt;($F$10-$E$10)/($G$10-$E$10),$E$10+SQRT(T1003*($G$10-$E$10)*($F$10-$E$10)),$G$10-SQRT((1-T1003)*($G$10-$E$10)*($G$10-$F$10))))</f>
        <v>1.08567525585476</v>
      </c>
      <c r="G1003" s="52" t="n">
        <f aca="false">IF($G$11=$E$11,$F$11,IF(U1003&lt;($F$11-$E$11)/($G$11-$E$11),$E$11+SQRT(U1003*($G$11-$E$11)*($F$11-$E$11)),$G$11-SQRT((1-U1003)*($G$11-$E$11)*($G$11-$F$11))))</f>
        <v>0.10155918733738</v>
      </c>
      <c r="H1003" s="53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-2171350511.70952</v>
      </c>
      <c r="I1003" s="53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-7395598.86091387</v>
      </c>
      <c r="J1003" s="53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291900943.562734</v>
      </c>
      <c r="K1003" s="53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645481248.779119</v>
      </c>
      <c r="L1003" s="53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780641483.911868</v>
      </c>
      <c r="M1003" s="53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975312449.365295</v>
      </c>
      <c r="N1003" s="53" t="n">
        <f aca="false">IF(COUNT('Business Case'!B11:G11)=0,"",H1003+NPV(G1003,I1003:M1003))</f>
        <v>-323108229.634225</v>
      </c>
      <c r="P1003" s="54" t="n">
        <f aca="true">RAND()</f>
        <v>0.7393985516956</v>
      </c>
      <c r="Q1003" s="54" t="n">
        <f aca="true">RAND()</f>
        <v>0.742870634105501</v>
      </c>
      <c r="R1003" s="54" t="n">
        <f aca="true">RAND()</f>
        <v>0.719129758493324</v>
      </c>
      <c r="S1003" s="54" t="n">
        <f aca="true">RAND()</f>
        <v>0.548774115435896</v>
      </c>
      <c r="T1003" s="54" t="n">
        <f aca="true">RAND()</f>
        <v>0.639965046154684</v>
      </c>
      <c r="U1003" s="54" t="n">
        <f aca="true">RAND()</f>
        <v>0.460746783393153</v>
      </c>
    </row>
    <row r="1004" customFormat="false" ht="15" hidden="false" customHeight="false" outlineLevel="0" collapsed="false">
      <c r="A1004" s="50" t="n">
        <v>924</v>
      </c>
      <c r="B1004" s="51" t="n">
        <f aca="false">1+IF($G$6=$E$6,$F$6,IF(P1004&lt;($F$6-$E$6)/($G$6-$E$6),$E$6+SQRT(P1004*($G$6-$E$6)*($F$6-$E$6)),$G$6-SQRT((1-P1004)*($G$6-$E$6)*($G$6-$F$6))))</f>
        <v>1.00964702658465</v>
      </c>
      <c r="C1004" s="51" t="n">
        <f aca="false">1+IF($G$7=$E$7,$F$7,IF(Q1004&lt;($F$7-$E$7)/($G$7-$E$7),$E$7+SQRT(Q1004*($G$7-$E$7)*($F$7-$E$7)),$G$7-SQRT((1-Q1004)*($G$7-$E$7)*($G$7-$F$7))))</f>
        <v>0.786484771758573</v>
      </c>
      <c r="D1004" s="51" t="n">
        <f aca="false">1+IF($G$8=$E$8,$F$8,IF(R1004&lt;($F$8-$E$8)/($G$8-$E$8),$E$8+SQRT(R1004*($G$8-$E$8)*($F$8-$E$8)),$G$8-SQRT((1-R1004)*($G$8-$E$8)*($G$8-$F$8))))</f>
        <v>0.998149638163482</v>
      </c>
      <c r="E1004" s="51" t="n">
        <f aca="false">1+IF($G$9=$E$9,$F$9,IF(S1004&lt;($F$9-$E$9)/($G$9-$E$9),$E$9+SQRT(S1004*($G$9-$E$9)*($F$9-$E$9)),$G$9-SQRT((1-S1004)*($G$9-$E$9)*($G$9-$F$9))))</f>
        <v>1.06460089234691</v>
      </c>
      <c r="F1004" s="51" t="n">
        <f aca="false">1+IF($G$10=$E$10,$F$10,IF(T1004&lt;($F$10-$E$10)/($G$10-$E$10),$E$10+SQRT(T1004*($G$10-$E$10)*($F$10-$E$10)),$G$10-SQRT((1-T1004)*($G$10-$E$10)*($G$10-$F$10))))</f>
        <v>1.06845257920385</v>
      </c>
      <c r="G1004" s="52" t="n">
        <f aca="false">IF($G$11=$E$11,$F$11,IF(U1004&lt;($F$11-$E$11)/($G$11-$E$11),$E$11+SQRT(U1004*($G$11-$E$11)*($F$11-$E$11)),$G$11-SQRT((1-U1004)*($G$11-$E$11)*($G$11-$F$11))))</f>
        <v>0.109066443272721</v>
      </c>
      <c r="H1004" s="53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-2136905158.4077</v>
      </c>
      <c r="I1004" s="53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-50866344.1699148</v>
      </c>
      <c r="J1004" s="53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197663509.536012</v>
      </c>
      <c r="K1004" s="53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499615992.202132</v>
      </c>
      <c r="L1004" s="53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609902405.479925</v>
      </c>
      <c r="M1004" s="53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760839613.380255</v>
      </c>
      <c r="N1004" s="53" t="n">
        <f aca="false">IF(COUNT('Business Case'!B11:G11)=0,"",H1004+NPV(G1004,I1004:M1004))</f>
        <v>-799291871.352507</v>
      </c>
      <c r="P1004" s="54" t="n">
        <f aca="true">RAND()</f>
        <v>0.782885004872046</v>
      </c>
      <c r="Q1004" s="54" t="n">
        <f aca="true">RAND()</f>
        <v>0.0554045610824623</v>
      </c>
      <c r="R1004" s="54" t="n">
        <f aca="true">RAND()</f>
        <v>0.309118354036569</v>
      </c>
      <c r="S1004" s="54" t="n">
        <f aca="true">RAND()</f>
        <v>0.805519797654813</v>
      </c>
      <c r="T1004" s="54" t="n">
        <f aca="true">RAND()</f>
        <v>0.560540453363551</v>
      </c>
      <c r="U1004" s="54" t="n">
        <f aca="true">RAND()</f>
        <v>0.707857468497201</v>
      </c>
    </row>
    <row r="1005" customFormat="false" ht="15" hidden="false" customHeight="false" outlineLevel="0" collapsed="false">
      <c r="A1005" s="50" t="n">
        <v>925</v>
      </c>
      <c r="B1005" s="51" t="n">
        <f aca="false">1+IF($G$6=$E$6,$F$6,IF(P1005&lt;($F$6-$E$6)/($G$6-$E$6),$E$6+SQRT(P1005*($G$6-$E$6)*($F$6-$E$6)),$G$6-SQRT((1-P1005)*($G$6-$E$6)*($G$6-$F$6))))</f>
        <v>1.00526459971632</v>
      </c>
      <c r="C1005" s="51" t="n">
        <f aca="false">1+IF($G$7=$E$7,$F$7,IF(Q1005&lt;($F$7-$E$7)/($G$7-$E$7),$E$7+SQRT(Q1005*($G$7-$E$7)*($F$7-$E$7)),$G$7-SQRT((1-Q1005)*($G$7-$E$7)*($G$7-$F$7))))</f>
        <v>0.945906799078878</v>
      </c>
      <c r="D1005" s="51" t="n">
        <f aca="false">1+IF($G$8=$E$8,$F$8,IF(R1005&lt;($F$8-$E$8)/($G$8-$E$8),$E$8+SQRT(R1005*($G$8-$E$8)*($F$8-$E$8)),$G$8-SQRT((1-R1005)*($G$8-$E$8)*($G$8-$F$8))))</f>
        <v>0.995452876977296</v>
      </c>
      <c r="E1005" s="51" t="n">
        <f aca="false">1+IF($G$9=$E$9,$F$9,IF(S1005&lt;($F$9-$E$9)/($G$9-$E$9),$E$9+SQRT(S1005*($G$9-$E$9)*($F$9-$E$9)),$G$9-SQRT((1-S1005)*($G$9-$E$9)*($G$9-$F$9))))</f>
        <v>1.02328424314579</v>
      </c>
      <c r="F1005" s="51" t="n">
        <f aca="false">1+IF($G$10=$E$10,$F$10,IF(T1005&lt;($F$10-$E$10)/($G$10-$E$10),$E$10+SQRT(T1005*($G$10-$E$10)*($F$10-$E$10)),$G$10-SQRT((1-T1005)*($G$10-$E$10)*($G$10-$F$10))))</f>
        <v>1.11777212235166</v>
      </c>
      <c r="G1005" s="52" t="n">
        <f aca="false">IF($G$11=$E$11,$F$11,IF(U1005&lt;($F$11-$E$11)/($G$11-$E$11),$E$11+SQRT(U1005*($G$11-$E$11)*($F$11-$E$11)),$G$11-SQRT((1-U1005)*($G$11-$E$11)*($G$11-$F$11))))</f>
        <v>0.102534056437678</v>
      </c>
      <c r="H1005" s="53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-2235544244.70332</v>
      </c>
      <c r="I1005" s="53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-9764350.10043381</v>
      </c>
      <c r="J1005" s="53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287053493.777209</v>
      </c>
      <c r="K1005" s="53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639759943.772436</v>
      </c>
      <c r="L1005" s="53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771561866.64337</v>
      </c>
      <c r="M1005" s="53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952306395.324494</v>
      </c>
      <c r="N1005" s="53" t="n">
        <f aca="false">IF(COUNT('Business Case'!B11:G11)=0,"",H1005+NPV(G1005,I1005:M1005))</f>
        <v>-424198863.112802</v>
      </c>
      <c r="P1005" s="54" t="n">
        <f aca="true">RAND()</f>
        <v>0.73316586152787</v>
      </c>
      <c r="Q1005" s="54" t="n">
        <f aca="true">RAND()</f>
        <v>0.447927065431256</v>
      </c>
      <c r="R1005" s="54" t="n">
        <f aca="true">RAND()</f>
        <v>0.275461870068425</v>
      </c>
      <c r="S1005" s="54" t="n">
        <f aca="true">RAND()</f>
        <v>0.57181645239641</v>
      </c>
      <c r="T1005" s="54" t="n">
        <f aca="true">RAND()</f>
        <v>0.766877178301537</v>
      </c>
      <c r="U1005" s="54" t="n">
        <f aca="true">RAND()</f>
        <v>0.497081296154217</v>
      </c>
    </row>
    <row r="1006" customFormat="false" ht="15" hidden="false" customHeight="false" outlineLevel="0" collapsed="false">
      <c r="A1006" s="50" t="n">
        <v>926</v>
      </c>
      <c r="B1006" s="51" t="n">
        <f aca="false">1+IF($G$6=$E$6,$F$6,IF(P1006&lt;($F$6-$E$6)/($G$6-$E$6),$E$6+SQRT(P1006*($G$6-$E$6)*($F$6-$E$6)),$G$6-SQRT((1-P1006)*($G$6-$E$6)*($G$6-$F$6))))</f>
        <v>0.991392016982451</v>
      </c>
      <c r="C1006" s="51" t="n">
        <f aca="false">1+IF($G$7=$E$7,$F$7,IF(Q1006&lt;($F$7-$E$7)/($G$7-$E$7),$E$7+SQRT(Q1006*($G$7-$E$7)*($F$7-$E$7)),$G$7-SQRT((1-Q1006)*($G$7-$E$7)*($G$7-$F$7))))</f>
        <v>0.841338097947368</v>
      </c>
      <c r="D1006" s="51" t="n">
        <f aca="false">1+IF($G$8=$E$8,$F$8,IF(R1006&lt;($F$8-$E$8)/($G$8-$E$8),$E$8+SQRT(R1006*($G$8-$E$8)*($F$8-$E$8)),$G$8-SQRT((1-R1006)*($G$8-$E$8)*($G$8-$F$8))))</f>
        <v>0.976346761905351</v>
      </c>
      <c r="E1006" s="51" t="n">
        <f aca="false">1+IF($G$9=$E$9,$F$9,IF(S1006&lt;($F$9-$E$9)/($G$9-$E$9),$E$9+SQRT(S1006*($G$9-$E$9)*($F$9-$E$9)),$G$9-SQRT((1-S1006)*($G$9-$E$9)*($G$9-$F$9))))</f>
        <v>1.03231180837543</v>
      </c>
      <c r="F1006" s="51" t="n">
        <f aca="false">1+IF($G$10=$E$10,$F$10,IF(T1006&lt;($F$10-$E$10)/($G$10-$E$10),$E$10+SQRT(T1006*($G$10-$E$10)*($F$10-$E$10)),$G$10-SQRT((1-T1006)*($G$10-$E$10)*($G$10-$F$10))))</f>
        <v>1.10683986146383</v>
      </c>
      <c r="G1006" s="52" t="n">
        <f aca="false">IF($G$11=$E$11,$F$11,IF(U1006&lt;($F$11-$E$11)/($G$11-$E$11),$E$11+SQRT(U1006*($G$11-$E$11)*($F$11-$E$11)),$G$11-SQRT((1-U1006)*($G$11-$E$11)*($G$11-$F$11))))</f>
        <v>0.0935562032124564</v>
      </c>
      <c r="H1006" s="53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-2213679722.92765</v>
      </c>
      <c r="I1006" s="53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-38044081.294596</v>
      </c>
      <c r="J1006" s="53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224630092.810542</v>
      </c>
      <c r="K1006" s="53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542646259.988871</v>
      </c>
      <c r="L1006" s="53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659030671.425494</v>
      </c>
      <c r="M1006" s="53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817575615.134167</v>
      </c>
      <c r="N1006" s="53" t="n">
        <f aca="false">IF(COUNT('Business Case'!B11:G11)=0,"",H1006+NPV(G1006,I1006:M1006))</f>
        <v>-662067649.086421</v>
      </c>
      <c r="P1006" s="54" t="n">
        <f aca="true">RAND()</f>
        <v>0.55683338454137</v>
      </c>
      <c r="Q1006" s="54" t="n">
        <f aca="true">RAND()</f>
        <v>0.147973762454665</v>
      </c>
      <c r="R1006" s="54" t="n">
        <f aca="true">RAND()</f>
        <v>0.0925535817196348</v>
      </c>
      <c r="S1006" s="54" t="n">
        <f aca="true">RAND()</f>
        <v>0.630653054723671</v>
      </c>
      <c r="T1006" s="54" t="n">
        <f aca="true">RAND()</f>
        <v>0.726735663124051</v>
      </c>
      <c r="U1006" s="54" t="n">
        <f aca="true">RAND()</f>
        <v>0.183770645537412</v>
      </c>
    </row>
    <row r="1007" customFormat="false" ht="15" hidden="false" customHeight="false" outlineLevel="0" collapsed="false">
      <c r="A1007" s="50" t="n">
        <v>927</v>
      </c>
      <c r="B1007" s="51" t="n">
        <f aca="false">1+IF($G$6=$E$6,$F$6,IF(P1007&lt;($F$6-$E$6)/($G$6-$E$6),$E$6+SQRT(P1007*($G$6-$E$6)*($F$6-$E$6)),$G$6-SQRT((1-P1007)*($G$6-$E$6)*($G$6-$F$6))))</f>
        <v>0.986264431709698</v>
      </c>
      <c r="C1007" s="51" t="n">
        <f aca="false">1+IF($G$7=$E$7,$F$7,IF(Q1007&lt;($F$7-$E$7)/($G$7-$E$7),$E$7+SQRT(Q1007*($G$7-$E$7)*($F$7-$E$7)),$G$7-SQRT((1-Q1007)*($G$7-$E$7)*($G$7-$F$7))))</f>
        <v>0.978825702805707</v>
      </c>
      <c r="D1007" s="51" t="n">
        <f aca="false">1+IF($G$8=$E$8,$F$8,IF(R1007&lt;($F$8-$E$8)/($G$8-$E$8),$E$8+SQRT(R1007*($G$8-$E$8)*($F$8-$E$8)),$G$8-SQRT((1-R1007)*($G$8-$E$8)*($G$8-$F$8))))</f>
        <v>1.05658265950826</v>
      </c>
      <c r="E1007" s="51" t="n">
        <f aca="false">1+IF($G$9=$E$9,$F$9,IF(S1007&lt;($F$9-$E$9)/($G$9-$E$9),$E$9+SQRT(S1007*($G$9-$E$9)*($F$9-$E$9)),$G$9-SQRT((1-S1007)*($G$9-$E$9)*($G$9-$F$9))))</f>
        <v>0.937856000913361</v>
      </c>
      <c r="F1007" s="51" t="n">
        <f aca="false">1+IF($G$10=$E$10,$F$10,IF(T1007&lt;($F$10-$E$10)/($G$10-$E$10),$E$10+SQRT(T1007*($G$10-$E$10)*($F$10-$E$10)),$G$10-SQRT((1-T1007)*($G$10-$E$10)*($G$10-$F$10))))</f>
        <v>1.08591323697879</v>
      </c>
      <c r="G1007" s="52" t="n">
        <f aca="false">IF($G$11=$E$11,$F$11,IF(U1007&lt;($F$11-$E$11)/($G$11-$E$11),$E$11+SQRT(U1007*($G$11-$E$11)*($F$11-$E$11)),$G$11-SQRT((1-U1007)*($G$11-$E$11)*($G$11-$F$11))))</f>
        <v>0.0986043442847613</v>
      </c>
      <c r="H1007" s="53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-2171826473.95758</v>
      </c>
      <c r="I1007" s="53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-30716188.8999936</v>
      </c>
      <c r="J1007" s="53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230567418.998755</v>
      </c>
      <c r="K1007" s="53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546146688.746444</v>
      </c>
      <c r="L1007" s="53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666604791.226682</v>
      </c>
      <c r="M1007" s="53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850104407.053622</v>
      </c>
      <c r="N1007" s="53" t="n">
        <f aca="false">IF(COUNT('Business Case'!B11:G11)=0,"",H1007+NPV(G1007,I1007:M1007))</f>
        <v>-608028370.565448</v>
      </c>
      <c r="P1007" s="54" t="n">
        <f aca="true">RAND()</f>
        <v>0.49610347854647</v>
      </c>
      <c r="Q1007" s="54" t="n">
        <f aca="true">RAND()</f>
        <v>0.575879796630345</v>
      </c>
      <c r="R1007" s="54" t="n">
        <f aca="true">RAND()</f>
        <v>0.874328969641605</v>
      </c>
      <c r="S1007" s="54" t="n">
        <f aca="true">RAND()</f>
        <v>0.0573230722060942</v>
      </c>
      <c r="T1007" s="54" t="n">
        <f aca="true">RAND()</f>
        <v>0.641007122682951</v>
      </c>
      <c r="U1007" s="54" t="n">
        <f aca="true">RAND()</f>
        <v>0.34612162626593</v>
      </c>
    </row>
    <row r="1008" customFormat="false" ht="15" hidden="false" customHeight="false" outlineLevel="0" collapsed="false">
      <c r="A1008" s="50" t="n">
        <v>928</v>
      </c>
      <c r="B1008" s="51" t="n">
        <f aca="false">1+IF($G$6=$E$6,$F$6,IF(P1008&lt;($F$6-$E$6)/($G$6-$E$6),$E$6+SQRT(P1008*($G$6-$E$6)*($F$6-$E$6)),$G$6-SQRT((1-P1008)*($G$6-$E$6)*($G$6-$F$6))))</f>
        <v>0.988744639291302</v>
      </c>
      <c r="C1008" s="51" t="n">
        <f aca="false">1+IF($G$7=$E$7,$F$7,IF(Q1008&lt;($F$7-$E$7)/($G$7-$E$7),$E$7+SQRT(Q1008*($G$7-$E$7)*($F$7-$E$7)),$G$7-SQRT((1-Q1008)*($G$7-$E$7)*($G$7-$F$7))))</f>
        <v>0.981515849078308</v>
      </c>
      <c r="D1008" s="51" t="n">
        <f aca="false">1+IF($G$8=$E$8,$F$8,IF(R1008&lt;($F$8-$E$8)/($G$8-$E$8),$E$8+SQRT(R1008*($G$8-$E$8)*($F$8-$E$8)),$G$8-SQRT((1-R1008)*($G$8-$E$8)*($G$8-$F$8))))</f>
        <v>1.05734277947123</v>
      </c>
      <c r="E1008" s="51" t="n">
        <f aca="false">1+IF($G$9=$E$9,$F$9,IF(S1008&lt;($F$9-$E$9)/($G$9-$E$9),$E$9+SQRT(S1008*($G$9-$E$9)*($F$9-$E$9)),$G$9-SQRT((1-S1008)*($G$9-$E$9)*($G$9-$F$9))))</f>
        <v>0.92874115394717</v>
      </c>
      <c r="F1008" s="51" t="n">
        <f aca="false">1+IF($G$10=$E$10,$F$10,IF(T1008&lt;($F$10-$E$10)/($G$10-$E$10),$E$10+SQRT(T1008*($G$10-$E$10)*($F$10-$E$10)),$G$10-SQRT((1-T1008)*($G$10-$E$10)*($G$10-$F$10))))</f>
        <v>1.03127879448727</v>
      </c>
      <c r="G1008" s="52" t="n">
        <f aca="false">IF($G$11=$E$11,$F$11,IF(U1008&lt;($F$11-$E$11)/($G$11-$E$11),$E$11+SQRT(U1008*($G$11-$E$11)*($F$11-$E$11)),$G$11-SQRT((1-U1008)*($G$11-$E$11)*($G$11-$F$11))))</f>
        <v>0.10289700779009</v>
      </c>
      <c r="H1008" s="53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-2062557588.97454</v>
      </c>
      <c r="I1008" s="53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-21890265.578323</v>
      </c>
      <c r="J1008" s="53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241723429.193996</v>
      </c>
      <c r="K1008" s="53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556901063.690679</v>
      </c>
      <c r="L1008" s="53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678311687.82187</v>
      </c>
      <c r="M1008" s="53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862778346.794172</v>
      </c>
      <c r="N1008" s="53" t="n">
        <f aca="false">IF(COUNT('Business Case'!B11:G11)=0,"",H1008+NPV(G1008,I1008:M1008))</f>
        <v>-481396929.865665</v>
      </c>
      <c r="P1008" s="54" t="n">
        <f aca="true">RAND()</f>
        <v>0.52504073352955</v>
      </c>
      <c r="Q1008" s="54" t="n">
        <f aca="true">RAND()</f>
        <v>0.587045728016892</v>
      </c>
      <c r="R1008" s="54" t="n">
        <f aca="true">RAND()</f>
        <v>0.878690769117324</v>
      </c>
      <c r="S1008" s="54" t="n">
        <f aca="true">RAND()</f>
        <v>0.0330421572085964</v>
      </c>
      <c r="T1008" s="54" t="n">
        <f aca="true">RAND()</f>
        <v>0.362147123454113</v>
      </c>
      <c r="U1008" s="54" t="n">
        <f aca="true">RAND()</f>
        <v>0.510285208846368</v>
      </c>
    </row>
    <row r="1009" customFormat="false" ht="15" hidden="false" customHeight="false" outlineLevel="0" collapsed="false">
      <c r="A1009" s="50" t="n">
        <v>929</v>
      </c>
      <c r="B1009" s="51" t="n">
        <f aca="false">1+IF($G$6=$E$6,$F$6,IF(P1009&lt;($F$6-$E$6)/($G$6-$E$6),$E$6+SQRT(P1009*($G$6-$E$6)*($F$6-$E$6)),$G$6-SQRT((1-P1009)*($G$6-$E$6)*($G$6-$F$6))))</f>
        <v>0.959324858303548</v>
      </c>
      <c r="C1009" s="51" t="n">
        <f aca="false">1+IF($G$7=$E$7,$F$7,IF(Q1009&lt;($F$7-$E$7)/($G$7-$E$7),$E$7+SQRT(Q1009*($G$7-$E$7)*($F$7-$E$7)),$G$7-SQRT((1-Q1009)*($G$7-$E$7)*($G$7-$F$7))))</f>
        <v>0.835021112448867</v>
      </c>
      <c r="D1009" s="51" t="n">
        <f aca="false">1+IF($G$8=$E$8,$F$8,IF(R1009&lt;($F$8-$E$8)/($G$8-$E$8),$E$8+SQRT(R1009*($G$8-$E$8)*($F$8-$E$8)),$G$8-SQRT((1-R1009)*($G$8-$E$8)*($G$8-$F$8))))</f>
        <v>0.979290213171243</v>
      </c>
      <c r="E1009" s="51" t="n">
        <f aca="false">1+IF($G$9=$E$9,$F$9,IF(S1009&lt;($F$9-$E$9)/($G$9-$E$9),$E$9+SQRT(S1009*($G$9-$E$9)*($F$9-$E$9)),$G$9-SQRT((1-S1009)*($G$9-$E$9)*($G$9-$F$9))))</f>
        <v>0.934523255558969</v>
      </c>
      <c r="F1009" s="51" t="n">
        <f aca="false">1+IF($G$10=$E$10,$F$10,IF(T1009&lt;($F$10-$E$10)/($G$10-$E$10),$E$10+SQRT(T1009*($G$10-$E$10)*($F$10-$E$10)),$G$10-SQRT((1-T1009)*($G$10-$E$10)*($G$10-$F$10))))</f>
        <v>1.00772183856176</v>
      </c>
      <c r="G1009" s="52" t="n">
        <f aca="false">IF($G$11=$E$11,$F$11,IF(U1009&lt;($F$11-$E$11)/($G$11-$E$11),$E$11+SQRT(U1009*($G$11-$E$11)*($F$11-$E$11)),$G$11-SQRT((1-U1009)*($G$11-$E$11)*($G$11-$F$11))))</f>
        <v>0.100770564357464</v>
      </c>
      <c r="H1009" s="53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-2015443677.12352</v>
      </c>
      <c r="I1009" s="53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-37676521.6289882</v>
      </c>
      <c r="J1009" s="53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199835117.036809</v>
      </c>
      <c r="K1009" s="53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487732847.630694</v>
      </c>
      <c r="L1009" s="53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594587906.851376</v>
      </c>
      <c r="M1009" s="53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746852728.344498</v>
      </c>
      <c r="N1009" s="53" t="n">
        <f aca="false">IF(COUNT('Business Case'!B11:G11)=0,"",H1009+NPV(G1009,I1009:M1009))</f>
        <v>-651985831.214833</v>
      </c>
      <c r="P1009" s="54" t="n">
        <f aca="true">RAND()</f>
        <v>0.2346292541824</v>
      </c>
      <c r="Q1009" s="54" t="n">
        <f aca="true">RAND()</f>
        <v>0.135042228199478</v>
      </c>
      <c r="R1009" s="54" t="n">
        <f aca="true">RAND()</f>
        <v>0.114388878348913</v>
      </c>
      <c r="S1009" s="54" t="n">
        <f aca="true">RAND()</f>
        <v>0.0476742069755955</v>
      </c>
      <c r="T1009" s="54" t="n">
        <f aca="true">RAND()</f>
        <v>0.217350566534751</v>
      </c>
      <c r="U1009" s="54" t="n">
        <f aca="true">RAND()</f>
        <v>0.430426728012564</v>
      </c>
    </row>
    <row r="1010" customFormat="false" ht="15" hidden="false" customHeight="false" outlineLevel="0" collapsed="false">
      <c r="A1010" s="50" t="n">
        <v>930</v>
      </c>
      <c r="B1010" s="51" t="n">
        <f aca="false">1+IF($G$6=$E$6,$F$6,IF(P1010&lt;($F$6-$E$6)/($G$6-$E$6),$E$6+SQRT(P1010*($G$6-$E$6)*($F$6-$E$6)),$G$6-SQRT((1-P1010)*($G$6-$E$6)*($G$6-$F$6))))</f>
        <v>0.970973798979703</v>
      </c>
      <c r="C1010" s="51" t="n">
        <f aca="false">1+IF($G$7=$E$7,$F$7,IF(Q1010&lt;($F$7-$E$7)/($G$7-$E$7),$E$7+SQRT(Q1010*($G$7-$E$7)*($F$7-$E$7)),$G$7-SQRT((1-Q1010)*($G$7-$E$7)*($G$7-$F$7))))</f>
        <v>1.08690747950648</v>
      </c>
      <c r="D1010" s="51" t="n">
        <f aca="false">1+IF($G$8=$E$8,$F$8,IF(R1010&lt;($F$8-$E$8)/($G$8-$E$8),$E$8+SQRT(R1010*($G$8-$E$8)*($F$8-$E$8)),$G$8-SQRT((1-R1010)*($G$8-$E$8)*($G$8-$F$8))))</f>
        <v>1.03050778513401</v>
      </c>
      <c r="E1010" s="51" t="n">
        <f aca="false">1+IF($G$9=$E$9,$F$9,IF(S1010&lt;($F$9-$E$9)/($G$9-$E$9),$E$9+SQRT(S1010*($G$9-$E$9)*($F$9-$E$9)),$G$9-SQRT((1-S1010)*($G$9-$E$9)*($G$9-$F$9))))</f>
        <v>1.00671150257409</v>
      </c>
      <c r="F1010" s="51" t="n">
        <f aca="false">1+IF($G$10=$E$10,$F$10,IF(T1010&lt;($F$10-$E$10)/($G$10-$E$10),$E$10+SQRT(T1010*($G$10-$E$10)*($F$10-$E$10)),$G$10-SQRT((1-T1010)*($G$10-$E$10)*($G$10-$F$10))))</f>
        <v>1.17446167525301</v>
      </c>
      <c r="G1010" s="52" t="n">
        <f aca="false">IF($G$11=$E$11,$F$11,IF(U1010&lt;($F$11-$E$11)/($G$11-$E$11),$E$11+SQRT(U1010*($G$11-$E$11)*($F$11-$E$11)),$G$11-SQRT((1-U1010)*($G$11-$E$11)*($G$11-$F$11))))</f>
        <v>0.122741517138855</v>
      </c>
      <c r="H1010" s="53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-2348923350.50602</v>
      </c>
      <c r="I1010" s="53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-24280092.7314425</v>
      </c>
      <c r="J1010" s="53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266750151.933754</v>
      </c>
      <c r="K1010" s="53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616503480.361602</v>
      </c>
      <c r="L1010" s="53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749986758.053535</v>
      </c>
      <c r="M1010" s="53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950589336.806309</v>
      </c>
      <c r="N1010" s="53" t="n">
        <f aca="false">IF(COUNT('Business Case'!B11:G11)=0,"",H1010+NPV(G1010,I1010:M1010))</f>
        <v>-718497996.623517</v>
      </c>
      <c r="P1010" s="54" t="n">
        <f aca="true">RAND()</f>
        <v>0.335818676107422</v>
      </c>
      <c r="Q1010" s="54" t="n">
        <f aca="true">RAND()</f>
        <v>0.941027168263327</v>
      </c>
      <c r="R1010" s="54" t="n">
        <f aca="true">RAND()</f>
        <v>0.678055471534579</v>
      </c>
      <c r="S1010" s="54" t="n">
        <f aca="true">RAND()</f>
        <v>0.452490840144692</v>
      </c>
      <c r="T1010" s="54" t="n">
        <f aca="true">RAND()</f>
        <v>0.923919486592245</v>
      </c>
      <c r="U1010" s="54" t="n">
        <f aca="true">RAND()</f>
        <v>0.964876284369647</v>
      </c>
    </row>
    <row r="1011" customFormat="false" ht="15" hidden="false" customHeight="false" outlineLevel="0" collapsed="false">
      <c r="A1011" s="50" t="n">
        <v>931</v>
      </c>
      <c r="B1011" s="51" t="n">
        <f aca="false">1+IF($G$6=$E$6,$F$6,IF(P1011&lt;($F$6-$E$6)/($G$6-$E$6),$E$6+SQRT(P1011*($G$6-$E$6)*($F$6-$E$6)),$G$6-SQRT((1-P1011)*($G$6-$E$6)*($G$6-$F$6))))</f>
        <v>0.968220871355646</v>
      </c>
      <c r="C1011" s="51" t="n">
        <f aca="false">1+IF($G$7=$E$7,$F$7,IF(Q1011&lt;($F$7-$E$7)/($G$7-$E$7),$E$7+SQRT(Q1011*($G$7-$E$7)*($F$7-$E$7)),$G$7-SQRT((1-Q1011)*($G$7-$E$7)*($G$7-$F$7))))</f>
        <v>0.959165543012009</v>
      </c>
      <c r="D1011" s="51" t="n">
        <f aca="false">1+IF($G$8=$E$8,$F$8,IF(R1011&lt;($F$8-$E$8)/($G$8-$E$8),$E$8+SQRT(R1011*($G$8-$E$8)*($F$8-$E$8)),$G$8-SQRT((1-R1011)*($G$8-$E$8)*($G$8-$F$8))))</f>
        <v>1.05480244937779</v>
      </c>
      <c r="E1011" s="51" t="n">
        <f aca="false">1+IF($G$9=$E$9,$F$9,IF(S1011&lt;($F$9-$E$9)/($G$9-$E$9),$E$9+SQRT(S1011*($G$9-$E$9)*($F$9-$E$9)),$G$9-SQRT((1-S1011)*($G$9-$E$9)*($G$9-$F$9))))</f>
        <v>1.05064474544862</v>
      </c>
      <c r="F1011" s="51" t="n">
        <f aca="false">1+IF($G$10=$E$10,$F$10,IF(T1011&lt;($F$10-$E$10)/($G$10-$E$10),$E$10+SQRT(T1011*($G$10-$E$10)*($F$10-$E$10)),$G$10-SQRT((1-T1011)*($G$10-$E$10)*($G$10-$F$10))))</f>
        <v>1.05829219517086</v>
      </c>
      <c r="G1011" s="52" t="n">
        <f aca="false">IF($G$11=$E$11,$F$11,IF(U1011&lt;($F$11-$E$11)/($G$11-$E$11),$E$11+SQRT(U1011*($G$11-$E$11)*($F$11-$E$11)),$G$11-SQRT((1-U1011)*($G$11-$E$11)*($G$11-$F$11))))</f>
        <v>0.106106201386821</v>
      </c>
      <c r="H1011" s="53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-2116584390.34172</v>
      </c>
      <c r="I1011" s="53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-60639650.1943627</v>
      </c>
      <c r="J1011" s="53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182094585.562629</v>
      </c>
      <c r="K1011" s="53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477743431.078165</v>
      </c>
      <c r="L1011" s="53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590750165.418146</v>
      </c>
      <c r="M1011" s="53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767274438.733558</v>
      </c>
      <c r="N1011" s="53" t="n">
        <f aca="false">IF(COUNT('Business Case'!B11:G11)=0,"",H1011+NPV(G1011,I1011:M1011))</f>
        <v>-811483287.026917</v>
      </c>
      <c r="P1011" s="54" t="n">
        <f aca="true">RAND()</f>
        <v>0.310272485901569</v>
      </c>
      <c r="Q1011" s="54" t="n">
        <f aca="true">RAND()</f>
        <v>0.49753169396081</v>
      </c>
      <c r="R1011" s="54" t="n">
        <f aca="true">RAND()</f>
        <v>0.863812094516878</v>
      </c>
      <c r="S1011" s="54" t="n">
        <f aca="true">RAND()</f>
        <v>0.736760890480787</v>
      </c>
      <c r="T1011" s="54" t="n">
        <f aca="true">RAND()</f>
        <v>0.50997490090122</v>
      </c>
      <c r="U1011" s="54" t="n">
        <f aca="true">RAND()</f>
        <v>0.619390925221895</v>
      </c>
    </row>
    <row r="1012" customFormat="false" ht="15" hidden="false" customHeight="false" outlineLevel="0" collapsed="false">
      <c r="A1012" s="50" t="n">
        <v>932</v>
      </c>
      <c r="B1012" s="51" t="n">
        <f aca="false">1+IF($G$6=$E$6,$F$6,IF(P1012&lt;($F$6-$E$6)/($G$6-$E$6),$E$6+SQRT(P1012*($G$6-$E$6)*($F$6-$E$6)),$G$6-SQRT((1-P1012)*($G$6-$E$6)*($G$6-$F$6))))</f>
        <v>0.937406418665337</v>
      </c>
      <c r="C1012" s="51" t="n">
        <f aca="false">1+IF($G$7=$E$7,$F$7,IF(Q1012&lt;($F$7-$E$7)/($G$7-$E$7),$E$7+SQRT(Q1012*($G$7-$E$7)*($F$7-$E$7)),$G$7-SQRT((1-Q1012)*($G$7-$E$7)*($G$7-$F$7))))</f>
        <v>0.979320103500728</v>
      </c>
      <c r="D1012" s="51" t="n">
        <f aca="false">1+IF($G$8=$E$8,$F$8,IF(R1012&lt;($F$8-$E$8)/($G$8-$E$8),$E$8+SQRT(R1012*($G$8-$E$8)*($F$8-$E$8)),$G$8-SQRT((1-R1012)*($G$8-$E$8)*($G$8-$F$8))))</f>
        <v>1.00923272902364</v>
      </c>
      <c r="E1012" s="51" t="n">
        <f aca="false">1+IF($G$9=$E$9,$F$9,IF(S1012&lt;($F$9-$E$9)/($G$9-$E$9),$E$9+SQRT(S1012*($G$9-$E$9)*($F$9-$E$9)),$G$9-SQRT((1-S1012)*($G$9-$E$9)*($G$9-$F$9))))</f>
        <v>0.993049456429542</v>
      </c>
      <c r="F1012" s="51" t="n">
        <f aca="false">1+IF($G$10=$E$10,$F$10,IF(T1012&lt;($F$10-$E$10)/($G$10-$E$10),$E$10+SQRT(T1012*($G$10-$E$10)*($F$10-$E$10)),$G$10-SQRT((1-T1012)*($G$10-$E$10)*($G$10-$F$10))))</f>
        <v>1.17871009443157</v>
      </c>
      <c r="G1012" s="52" t="n">
        <f aca="false">IF($G$11=$E$11,$F$11,IF(U1012&lt;($F$11-$E$11)/($G$11-$E$11),$E$11+SQRT(U1012*($G$11-$E$11)*($F$11-$E$11)),$G$11-SQRT((1-U1012)*($G$11-$E$11)*($G$11-$F$11))))</f>
        <v>0.110347042288411</v>
      </c>
      <c r="H1012" s="53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-2357420188.86315</v>
      </c>
      <c r="I1012" s="53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-60709816.0860376</v>
      </c>
      <c r="J1012" s="53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185253216.07259</v>
      </c>
      <c r="K1012" s="53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490151752.952796</v>
      </c>
      <c r="L1012" s="53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603866234.403822</v>
      </c>
      <c r="M1012" s="53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778363656.760319</v>
      </c>
      <c r="N1012" s="53" t="n">
        <f aca="false">IF(COUNT('Business Case'!B11:G11)=0,"",H1012+NPV(G1012,I1012:M1012))</f>
        <v>-1045288306.56181</v>
      </c>
      <c r="P1012" s="54" t="n">
        <f aca="true">RAND()</f>
        <v>0.0932826771577635</v>
      </c>
      <c r="Q1012" s="54" t="n">
        <f aca="true">RAND()</f>
        <v>0.577923853478944</v>
      </c>
      <c r="R1012" s="54" t="n">
        <f aca="true">RAND()</f>
        <v>0.450753501300283</v>
      </c>
      <c r="S1012" s="54" t="n">
        <f aca="true">RAND()</f>
        <v>0.346328053673328</v>
      </c>
      <c r="T1012" s="54" t="n">
        <f aca="true">RAND()</f>
        <v>0.932236658187267</v>
      </c>
      <c r="U1012" s="54" t="n">
        <f aca="true">RAND()</f>
        <v>0.74250750212434</v>
      </c>
    </row>
    <row r="1013" customFormat="false" ht="15" hidden="false" customHeight="false" outlineLevel="0" collapsed="false">
      <c r="A1013" s="50" t="n">
        <v>933</v>
      </c>
      <c r="B1013" s="51" t="n">
        <f aca="false">1+IF($G$6=$E$6,$F$6,IF(P1013&lt;($F$6-$E$6)/($G$6-$E$6),$E$6+SQRT(P1013*($G$6-$E$6)*($F$6-$E$6)),$G$6-SQRT((1-P1013)*($G$6-$E$6)*($G$6-$F$6))))</f>
        <v>0.950906260433694</v>
      </c>
      <c r="C1013" s="51" t="n">
        <f aca="false">1+IF($G$7=$E$7,$F$7,IF(Q1013&lt;($F$7-$E$7)/($G$7-$E$7),$E$7+SQRT(Q1013*($G$7-$E$7)*($F$7-$E$7)),$G$7-SQRT((1-Q1013)*($G$7-$E$7)*($G$7-$F$7))))</f>
        <v>1.00259618148457</v>
      </c>
      <c r="D1013" s="51" t="n">
        <f aca="false">1+IF($G$8=$E$8,$F$8,IF(R1013&lt;($F$8-$E$8)/($G$8-$E$8),$E$8+SQRT(R1013*($G$8-$E$8)*($F$8-$E$8)),$G$8-SQRT((1-R1013)*($G$8-$E$8)*($G$8-$F$8))))</f>
        <v>1.00085099128026</v>
      </c>
      <c r="E1013" s="51" t="n">
        <f aca="false">1+IF($G$9=$E$9,$F$9,IF(S1013&lt;($F$9-$E$9)/($G$9-$E$9),$E$9+SQRT(S1013*($G$9-$E$9)*($F$9-$E$9)),$G$9-SQRT((1-S1013)*($G$9-$E$9)*($G$9-$F$9))))</f>
        <v>0.960099350390589</v>
      </c>
      <c r="F1013" s="51" t="n">
        <f aca="false">1+IF($G$10=$E$10,$F$10,IF(T1013&lt;($F$10-$E$10)/($G$10-$E$10),$E$10+SQRT(T1013*($G$10-$E$10)*($F$10-$E$10)),$G$10-SQRT((1-T1013)*($G$10-$E$10)*($G$10-$F$10))))</f>
        <v>1.1071248425642</v>
      </c>
      <c r="G1013" s="52" t="n">
        <f aca="false">IF($G$11=$E$11,$F$11,IF(U1013&lt;($F$11-$E$11)/($G$11-$E$11),$E$11+SQRT(U1013*($G$11-$E$11)*($F$11-$E$11)),$G$11-SQRT((1-U1013)*($G$11-$E$11)*($G$11-$F$11))))</f>
        <v>0.10136648114302</v>
      </c>
      <c r="H1013" s="53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-2214249685.1284</v>
      </c>
      <c r="I1013" s="53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-29464622.5644746</v>
      </c>
      <c r="J1013" s="53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237732326.009658</v>
      </c>
      <c r="K1013" s="53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560285516.712</v>
      </c>
      <c r="L1013" s="53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682299805.741141</v>
      </c>
      <c r="M1013" s="53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863517323.015507</v>
      </c>
      <c r="N1013" s="53" t="n">
        <f aca="false">IF(COUNT('Business Case'!B11:G11)=0,"",H1013+NPV(G1013,I1013:M1013))</f>
        <v>-629060988.570353</v>
      </c>
      <c r="P1013" s="54" t="n">
        <f aca="true">RAND()</f>
        <v>0.172763156756203</v>
      </c>
      <c r="Q1013" s="54" t="n">
        <f aca="true">RAND()</f>
        <v>0.678105396845497</v>
      </c>
      <c r="R1013" s="54" t="n">
        <f aca="true">RAND()</f>
        <v>0.344631604659533</v>
      </c>
      <c r="S1013" s="54" t="n">
        <f aca="true">RAND()</f>
        <v>0.144477276694833</v>
      </c>
      <c r="T1013" s="54" t="n">
        <f aca="true">RAND()</f>
        <v>0.727822525169264</v>
      </c>
      <c r="U1013" s="54" t="n">
        <f aca="true">RAND()</f>
        <v>0.453414398577991</v>
      </c>
    </row>
    <row r="1014" customFormat="false" ht="15" hidden="false" customHeight="false" outlineLevel="0" collapsed="false">
      <c r="A1014" s="50" t="n">
        <v>934</v>
      </c>
      <c r="B1014" s="51" t="n">
        <f aca="false">1+IF($G$6=$E$6,$F$6,IF(P1014&lt;($F$6-$E$6)/($G$6-$E$6),$E$6+SQRT(P1014*($G$6-$E$6)*($F$6-$E$6)),$G$6-SQRT((1-P1014)*($G$6-$E$6)*($G$6-$F$6))))</f>
        <v>0.913461968253863</v>
      </c>
      <c r="C1014" s="51" t="n">
        <f aca="false">1+IF($G$7=$E$7,$F$7,IF(Q1014&lt;($F$7-$E$7)/($G$7-$E$7),$E$7+SQRT(Q1014*($G$7-$E$7)*($F$7-$E$7)),$G$7-SQRT((1-Q1014)*($G$7-$E$7)*($G$7-$F$7))))</f>
        <v>0.930662103926944</v>
      </c>
      <c r="D1014" s="51" t="n">
        <f aca="false">1+IF($G$8=$E$8,$F$8,IF(R1014&lt;($F$8-$E$8)/($G$8-$E$8),$E$8+SQRT(R1014*($G$8-$E$8)*($F$8-$E$8)),$G$8-SQRT((1-R1014)*($G$8-$E$8)*($G$8-$F$8))))</f>
        <v>1.05487112222677</v>
      </c>
      <c r="E1014" s="51" t="n">
        <f aca="false">1+IF($G$9=$E$9,$F$9,IF(S1014&lt;($F$9-$E$9)/($G$9-$E$9),$E$9+SQRT(S1014*($G$9-$E$9)*($F$9-$E$9)),$G$9-SQRT((1-S1014)*($G$9-$E$9)*($G$9-$F$9))))</f>
        <v>0.959629599983869</v>
      </c>
      <c r="F1014" s="51" t="n">
        <f aca="false">1+IF($G$10=$E$10,$F$10,IF(T1014&lt;($F$10-$E$10)/($G$10-$E$10),$E$10+SQRT(T1014*($G$10-$E$10)*($F$10-$E$10)),$G$10-SQRT((1-T1014)*($G$10-$E$10)*($G$10-$F$10))))</f>
        <v>1.05205371265802</v>
      </c>
      <c r="G1014" s="52" t="n">
        <f aca="false">IF($G$11=$E$11,$F$11,IF(U1014&lt;($F$11-$E$11)/($G$11-$E$11),$E$11+SQRT(U1014*($G$11-$E$11)*($F$11-$E$11)),$G$11-SQRT((1-U1014)*($G$11-$E$11)*($G$11-$F$11))))</f>
        <v>0.0963643036792443</v>
      </c>
      <c r="H1014" s="53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-2104107425.31605</v>
      </c>
      <c r="I1014" s="53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-91988521.7980625</v>
      </c>
      <c r="J1014" s="53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101758107.61351</v>
      </c>
      <c r="K1014" s="53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348107422.657985</v>
      </c>
      <c r="L1014" s="53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442069933.012593</v>
      </c>
      <c r="M1014" s="53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603661586.041725</v>
      </c>
      <c r="N1014" s="53" t="n">
        <f aca="false">IF(COUNT('Business Case'!B11:G11)=0,"",H1014+NPV(G1014,I1014:M1014))</f>
        <v>-1152158225.53624</v>
      </c>
      <c r="P1014" s="54" t="n">
        <f aca="true">RAND()</f>
        <v>0.0120816392845336</v>
      </c>
      <c r="Q1014" s="54" t="n">
        <f aca="true">RAND()</f>
        <v>0.39411115694818</v>
      </c>
      <c r="R1014" s="54" t="n">
        <f aca="true">RAND()</f>
        <v>0.864225626061929</v>
      </c>
      <c r="S1014" s="54" t="n">
        <f aca="true">RAND()</f>
        <v>0.14222756776945</v>
      </c>
      <c r="T1014" s="54" t="n">
        <f aca="true">RAND()</f>
        <v>0.477563564367038</v>
      </c>
      <c r="U1014" s="54" t="n">
        <f aca="true">RAND()</f>
        <v>0.267790434906528</v>
      </c>
    </row>
    <row r="1015" customFormat="false" ht="15" hidden="false" customHeight="false" outlineLevel="0" collapsed="false">
      <c r="A1015" s="50" t="n">
        <v>935</v>
      </c>
      <c r="B1015" s="51" t="n">
        <f aca="false">1+IF($G$6=$E$6,$F$6,IF(P1015&lt;($F$6-$E$6)/($G$6-$E$6),$E$6+SQRT(P1015*($G$6-$E$6)*($F$6-$E$6)),$G$6-SQRT((1-P1015)*($G$6-$E$6)*($G$6-$F$6))))</f>
        <v>0.993936701011218</v>
      </c>
      <c r="C1015" s="51" t="n">
        <f aca="false">1+IF($G$7=$E$7,$F$7,IF(Q1015&lt;($F$7-$E$7)/($G$7-$E$7),$E$7+SQRT(Q1015*($G$7-$E$7)*($F$7-$E$7)),$G$7-SQRT((1-Q1015)*($G$7-$E$7)*($G$7-$F$7))))</f>
        <v>0.882194315647987</v>
      </c>
      <c r="D1015" s="51" t="n">
        <f aca="false">1+IF($G$8=$E$8,$F$8,IF(R1015&lt;($F$8-$E$8)/($G$8-$E$8),$E$8+SQRT(R1015*($G$8-$E$8)*($F$8-$E$8)),$G$8-SQRT((1-R1015)*($G$8-$E$8)*($G$8-$F$8))))</f>
        <v>1.06022273537746</v>
      </c>
      <c r="E1015" s="51" t="n">
        <f aca="false">1+IF($G$9=$E$9,$F$9,IF(S1015&lt;($F$9-$E$9)/($G$9-$E$9),$E$9+SQRT(S1015*($G$9-$E$9)*($F$9-$E$9)),$G$9-SQRT((1-S1015)*($G$9-$E$9)*($G$9-$F$9))))</f>
        <v>1.03060669714949</v>
      </c>
      <c r="F1015" s="51" t="n">
        <f aca="false">1+IF($G$10=$E$10,$F$10,IF(T1015&lt;($F$10-$E$10)/($G$10-$E$10),$E$10+SQRT(T1015*($G$10-$E$10)*($F$10-$E$10)),$G$10-SQRT((1-T1015)*($G$10-$E$10)*($G$10-$F$10))))</f>
        <v>1.02211623497194</v>
      </c>
      <c r="G1015" s="52" t="n">
        <f aca="false">IF($G$11=$E$11,$F$11,IF(U1015&lt;($F$11-$E$11)/($G$11-$E$11),$E$11+SQRT(U1015*($G$11-$E$11)*($F$11-$E$11)),$G$11-SQRT((1-U1015)*($G$11-$E$11)*($G$11-$F$11))))</f>
        <v>0.0912787035144244</v>
      </c>
      <c r="H1015" s="53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-2044232469.94387</v>
      </c>
      <c r="I1015" s="53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-54830395.7626551</v>
      </c>
      <c r="J1015" s="53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184558765.060094</v>
      </c>
      <c r="K1015" s="53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475053737.63144</v>
      </c>
      <c r="L1015" s="53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585153898.408059</v>
      </c>
      <c r="M1015" s="53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751824654.50442</v>
      </c>
      <c r="N1015" s="53" t="n">
        <f aca="false">IF(COUNT('Business Case'!B11:G11)=0,"",H1015+NPV(G1015,I1015:M1015))</f>
        <v>-675583769.60934</v>
      </c>
      <c r="P1015" s="54" t="n">
        <f aca="true">RAND()</f>
        <v>0.58827358645806</v>
      </c>
      <c r="Q1015" s="54" t="n">
        <f aca="true">RAND()</f>
        <v>0.245887175218062</v>
      </c>
      <c r="R1015" s="54" t="n">
        <f aca="true">RAND()</f>
        <v>0.894517947943238</v>
      </c>
      <c r="S1015" s="54" t="n">
        <f aca="true">RAND()</f>
        <v>0.619873046251921</v>
      </c>
      <c r="T1015" s="54" t="n">
        <f aca="true">RAND()</f>
        <v>0.307586528488453</v>
      </c>
      <c r="U1015" s="54" t="n">
        <f aca="true">RAND()</f>
        <v>0.127209152966288</v>
      </c>
    </row>
    <row r="1016" customFormat="false" ht="15" hidden="false" customHeight="false" outlineLevel="0" collapsed="false">
      <c r="A1016" s="50" t="n">
        <v>936</v>
      </c>
      <c r="B1016" s="51" t="n">
        <f aca="false">1+IF($G$6=$E$6,$F$6,IF(P1016&lt;($F$6-$E$6)/($G$6-$E$6),$E$6+SQRT(P1016*($G$6-$E$6)*($F$6-$E$6)),$G$6-SQRT((1-P1016)*($G$6-$E$6)*($G$6-$F$6))))</f>
        <v>1.01406562249851</v>
      </c>
      <c r="C1016" s="51" t="n">
        <f aca="false">1+IF($G$7=$E$7,$F$7,IF(Q1016&lt;($F$7-$E$7)/($G$7-$E$7),$E$7+SQRT(Q1016*($G$7-$E$7)*($F$7-$E$7)),$G$7-SQRT((1-Q1016)*($G$7-$E$7)*($G$7-$F$7))))</f>
        <v>1.11400224119233</v>
      </c>
      <c r="D1016" s="51" t="n">
        <f aca="false">1+IF($G$8=$E$8,$F$8,IF(R1016&lt;($F$8-$E$8)/($G$8-$E$8),$E$8+SQRT(R1016*($G$8-$E$8)*($F$8-$E$8)),$G$8-SQRT((1-R1016)*($G$8-$E$8)*($G$8-$F$8))))</f>
        <v>0.980207067009005</v>
      </c>
      <c r="E1016" s="51" t="n">
        <f aca="false">1+IF($G$9=$E$9,$F$9,IF(S1016&lt;($F$9-$E$9)/($G$9-$E$9),$E$9+SQRT(S1016*($G$9-$E$9)*($F$9-$E$9)),$G$9-SQRT((1-S1016)*($G$9-$E$9)*($G$9-$F$9))))</f>
        <v>1.01576246112116</v>
      </c>
      <c r="F1016" s="51" t="n">
        <f aca="false">1+IF($G$10=$E$10,$F$10,IF(T1016&lt;($F$10-$E$10)/($G$10-$E$10),$E$10+SQRT(T1016*($G$10-$E$10)*($F$10-$E$10)),$G$10-SQRT((1-T1016)*($G$10-$E$10)*($G$10-$F$10))))</f>
        <v>1.0888244303952</v>
      </c>
      <c r="G1016" s="52" t="n">
        <f aca="false">IF($G$11=$E$11,$F$11,IF(U1016&lt;($F$11-$E$11)/($G$11-$E$11),$E$11+SQRT(U1016*($G$11-$E$11)*($F$11-$E$11)),$G$11-SQRT((1-U1016)*($G$11-$E$11)*($G$11-$F$11))))</f>
        <v>0.0982827949663199</v>
      </c>
      <c r="H1016" s="53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-2177648860.79041</v>
      </c>
      <c r="I1016" s="53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54403651.3334478</v>
      </c>
      <c r="J1016" s="53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420693331.818987</v>
      </c>
      <c r="K1016" s="53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841424233.824286</v>
      </c>
      <c r="L1016" s="53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1002562236.74689</v>
      </c>
      <c r="M1016" s="53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1217290171.93108</v>
      </c>
      <c r="N1016" s="53" t="n">
        <f aca="false">IF(COUNT('Business Case'!B11:G11)=0,"",H1016+NPV(G1016,I1016:M1016))</f>
        <v>306624268.068509</v>
      </c>
      <c r="P1016" s="54" t="n">
        <f aca="true">RAND()</f>
        <v>0.827829401810733</v>
      </c>
      <c r="Q1016" s="54" t="n">
        <f aca="true">RAND()</f>
        <v>0.980802390530738</v>
      </c>
      <c r="R1016" s="54" t="n">
        <f aca="true">RAND()</f>
        <v>0.121662252971533</v>
      </c>
      <c r="S1016" s="54" t="n">
        <f aca="true">RAND()</f>
        <v>0.519474217486731</v>
      </c>
      <c r="T1016" s="54" t="n">
        <f aca="true">RAND()</f>
        <v>0.653632476834257</v>
      </c>
      <c r="U1016" s="54" t="n">
        <f aca="true">RAND()</f>
        <v>0.334260591780493</v>
      </c>
    </row>
    <row r="1017" customFormat="false" ht="15" hidden="false" customHeight="false" outlineLevel="0" collapsed="false">
      <c r="A1017" s="50" t="n">
        <v>937</v>
      </c>
      <c r="B1017" s="51" t="n">
        <f aca="false">1+IF($G$6=$E$6,$F$6,IF(P1017&lt;($F$6-$E$6)/($G$6-$E$6),$E$6+SQRT(P1017*($G$6-$E$6)*($F$6-$E$6)),$G$6-SQRT((1-P1017)*($G$6-$E$6)*($G$6-$F$6))))</f>
        <v>1.00445432053047</v>
      </c>
      <c r="C1017" s="51" t="n">
        <f aca="false">1+IF($G$7=$E$7,$F$7,IF(Q1017&lt;($F$7-$E$7)/($G$7-$E$7),$E$7+SQRT(Q1017*($G$7-$E$7)*($F$7-$E$7)),$G$7-SQRT((1-Q1017)*($G$7-$E$7)*($G$7-$F$7))))</f>
        <v>0.720980583769034</v>
      </c>
      <c r="D1017" s="51" t="n">
        <f aca="false">1+IF($G$8=$E$8,$F$8,IF(R1017&lt;($F$8-$E$8)/($G$8-$E$8),$E$8+SQRT(R1017*($G$8-$E$8)*($F$8-$E$8)),$G$8-SQRT((1-R1017)*($G$8-$E$8)*($G$8-$F$8))))</f>
        <v>1.0083239807987</v>
      </c>
      <c r="E1017" s="51" t="n">
        <f aca="false">1+IF($G$9=$E$9,$F$9,IF(S1017&lt;($F$9-$E$9)/($G$9-$E$9),$E$9+SQRT(S1017*($G$9-$E$9)*($F$9-$E$9)),$G$9-SQRT((1-S1017)*($G$9-$E$9)*($G$9-$F$9))))</f>
        <v>1.00543523392486</v>
      </c>
      <c r="F1017" s="51" t="n">
        <f aca="false">1+IF($G$10=$E$10,$F$10,IF(T1017&lt;($F$10-$E$10)/($G$10-$E$10),$E$10+SQRT(T1017*($G$10-$E$10)*($F$10-$E$10)),$G$10-SQRT((1-T1017)*($G$10-$E$10)*($G$10-$F$10))))</f>
        <v>1.05048721625304</v>
      </c>
      <c r="G1017" s="52" t="n">
        <f aca="false">IF($G$11=$E$11,$F$11,IF(U1017&lt;($F$11-$E$11)/($G$11-$E$11),$E$11+SQRT(U1017*($G$11-$E$11)*($F$11-$E$11)),$G$11-SQRT((1-U1017)*($G$11-$E$11)*($G$11-$F$11))))</f>
        <v>0.108633724193536</v>
      </c>
      <c r="H1017" s="53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-2100974432.50607</v>
      </c>
      <c r="I1017" s="53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-64554919.2203046</v>
      </c>
      <c r="J1017" s="53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156453889.962867</v>
      </c>
      <c r="K1017" s="53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429987059.958692</v>
      </c>
      <c r="L1017" s="53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528684740.695788</v>
      </c>
      <c r="M1017" s="53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666339167.914003</v>
      </c>
      <c r="N1017" s="53" t="n">
        <f aca="false">IF(COUNT('Business Case'!B11:G11)=0,"",H1017+NPV(G1017,I1017:M1017))</f>
        <v>-968478813.46878</v>
      </c>
      <c r="P1017" s="54" t="n">
        <f aca="true">RAND()</f>
        <v>0.723412144221226</v>
      </c>
      <c r="Q1017" s="54" t="n">
        <f aca="true">RAND()</f>
        <v>0.0032606288539958</v>
      </c>
      <c r="R1017" s="54" t="n">
        <f aca="true">RAND()</f>
        <v>0.439700500226911</v>
      </c>
      <c r="S1017" s="54" t="n">
        <f aca="true">RAND()</f>
        <v>0.442694090923701</v>
      </c>
      <c r="T1017" s="54" t="n">
        <f aca="true">RAND()</f>
        <v>0.469261988287162</v>
      </c>
      <c r="U1017" s="54" t="n">
        <f aca="true">RAND()</f>
        <v>0.695654838774754</v>
      </c>
    </row>
    <row r="1018" customFormat="false" ht="15" hidden="false" customHeight="false" outlineLevel="0" collapsed="false">
      <c r="A1018" s="50" t="n">
        <v>938</v>
      </c>
      <c r="B1018" s="51" t="n">
        <f aca="false">1+IF($G$6=$E$6,$F$6,IF(P1018&lt;($F$6-$E$6)/($G$6-$E$6),$E$6+SQRT(P1018*($G$6-$E$6)*($F$6-$E$6)),$G$6-SQRT((1-P1018)*($G$6-$E$6)*($G$6-$F$6))))</f>
        <v>0.961570855691437</v>
      </c>
      <c r="C1018" s="51" t="n">
        <f aca="false">1+IF($G$7=$E$7,$F$7,IF(Q1018&lt;($F$7-$E$7)/($G$7-$E$7),$E$7+SQRT(Q1018*($G$7-$E$7)*($F$7-$E$7)),$G$7-SQRT((1-Q1018)*($G$7-$E$7)*($G$7-$F$7))))</f>
        <v>0.913946537405974</v>
      </c>
      <c r="D1018" s="51" t="n">
        <f aca="false">1+IF($G$8=$E$8,$F$8,IF(R1018&lt;($F$8-$E$8)/($G$8-$E$8),$E$8+SQRT(R1018*($G$8-$E$8)*($F$8-$E$8)),$G$8-SQRT((1-R1018)*($G$8-$E$8)*($G$8-$F$8))))</f>
        <v>0.984986417413973</v>
      </c>
      <c r="E1018" s="51" t="n">
        <f aca="false">1+IF($G$9=$E$9,$F$9,IF(S1018&lt;($F$9-$E$9)/($G$9-$E$9),$E$9+SQRT(S1018*($G$9-$E$9)*($F$9-$E$9)),$G$9-SQRT((1-S1018)*($G$9-$E$9)*($G$9-$F$9))))</f>
        <v>1.06233918212021</v>
      </c>
      <c r="F1018" s="51" t="n">
        <f aca="false">1+IF($G$10=$E$10,$F$10,IF(T1018&lt;($F$10-$E$10)/($G$10-$E$10),$E$10+SQRT(T1018*($G$10-$E$10)*($F$10-$E$10)),$G$10-SQRT((1-T1018)*($G$10-$E$10)*($G$10-$F$10))))</f>
        <v>1.06685959779332</v>
      </c>
      <c r="G1018" s="52" t="n">
        <f aca="false">IF($G$11=$E$11,$F$11,IF(U1018&lt;($F$11-$E$11)/($G$11-$E$11),$E$11+SQRT(U1018*($G$11-$E$11)*($F$11-$E$11)),$G$11-SQRT((1-U1018)*($G$11-$E$11)*($G$11-$F$11))))</f>
        <v>0.0935593931185268</v>
      </c>
      <c r="H1018" s="53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-2133719195.58664</v>
      </c>
      <c r="I1018" s="53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-44331568.592631</v>
      </c>
      <c r="J1018" s="53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214645708.804463</v>
      </c>
      <c r="K1018" s="53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526965966.091223</v>
      </c>
      <c r="L1018" s="53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643663894.898855</v>
      </c>
      <c r="M1018" s="53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810710828.112818</v>
      </c>
      <c r="N1018" s="53" t="n">
        <f aca="false">IF(COUNT('Business Case'!B11:G11)=0,"",H1018+NPV(G1018,I1018:M1018))</f>
        <v>-623348239.254179</v>
      </c>
      <c r="P1018" s="54" t="n">
        <f aca="true">RAND()</f>
        <v>0.252731351371713</v>
      </c>
      <c r="Q1018" s="54" t="n">
        <f aca="true">RAND()</f>
        <v>0.33906015457782</v>
      </c>
      <c r="R1018" s="54" t="n">
        <f aca="true">RAND()</f>
        <v>0.163206587128637</v>
      </c>
      <c r="S1018" s="54" t="n">
        <f aca="true">RAND()</f>
        <v>0.795082160230586</v>
      </c>
      <c r="T1018" s="54" t="n">
        <f aca="true">RAND()</f>
        <v>0.55279457439433</v>
      </c>
      <c r="U1018" s="54" t="n">
        <f aca="true">RAND()</f>
        <v>0.183857141742751</v>
      </c>
    </row>
    <row r="1019" customFormat="false" ht="15" hidden="false" customHeight="false" outlineLevel="0" collapsed="false">
      <c r="A1019" s="50" t="n">
        <v>939</v>
      </c>
      <c r="B1019" s="51" t="n">
        <f aca="false">1+IF($G$6=$E$6,$F$6,IF(P1019&lt;($F$6-$E$6)/($G$6-$E$6),$E$6+SQRT(P1019*($G$6-$E$6)*($F$6-$E$6)),$G$6-SQRT((1-P1019)*($G$6-$E$6)*($G$6-$F$6))))</f>
        <v>1.00938076358051</v>
      </c>
      <c r="C1019" s="51" t="n">
        <f aca="false">1+IF($G$7=$E$7,$F$7,IF(Q1019&lt;($F$7-$E$7)/($G$7-$E$7),$E$7+SQRT(Q1019*($G$7-$E$7)*($F$7-$E$7)),$G$7-SQRT((1-Q1019)*($G$7-$E$7)*($G$7-$F$7))))</f>
        <v>1.03351412547595</v>
      </c>
      <c r="D1019" s="51" t="n">
        <f aca="false">1+IF($G$8=$E$8,$F$8,IF(R1019&lt;($F$8-$E$8)/($G$8-$E$8),$E$8+SQRT(R1019*($G$8-$E$8)*($F$8-$E$8)),$G$8-SQRT((1-R1019)*($G$8-$E$8)*($G$8-$F$8))))</f>
        <v>1.00042365236353</v>
      </c>
      <c r="E1019" s="51" t="n">
        <f aca="false">1+IF($G$9=$E$9,$F$9,IF(S1019&lt;($F$9-$E$9)/($G$9-$E$9),$E$9+SQRT(S1019*($G$9-$E$9)*($F$9-$E$9)),$G$9-SQRT((1-S1019)*($G$9-$E$9)*($G$9-$F$9))))</f>
        <v>1.04917304154371</v>
      </c>
      <c r="F1019" s="51" t="n">
        <f aca="false">1+IF($G$10=$E$10,$F$10,IF(T1019&lt;($F$10-$E$10)/($G$10-$E$10),$E$10+SQRT(T1019*($G$10-$E$10)*($F$10-$E$10)),$G$10-SQRT((1-T1019)*($G$10-$E$10)*($G$10-$F$10))))</f>
        <v>0.967503334905867</v>
      </c>
      <c r="G1019" s="52" t="n">
        <f aca="false">IF($G$11=$E$11,$F$11,IF(U1019&lt;($F$11-$E$11)/($G$11-$E$11),$E$11+SQRT(U1019*($G$11-$E$11)*($F$11-$E$11)),$G$11-SQRT((1-U1019)*($G$11-$E$11)*($G$11-$F$11))))</f>
        <v>0.114341371470432</v>
      </c>
      <c r="H1019" s="53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-1935006669.81173</v>
      </c>
      <c r="I1019" s="53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25140104.4787459</v>
      </c>
      <c r="J1019" s="53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350302917.882747</v>
      </c>
      <c r="K1019" s="53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723840898.032041</v>
      </c>
      <c r="L1019" s="53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868281815.118143</v>
      </c>
      <c r="M1019" s="53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1066575034.5177</v>
      </c>
      <c r="N1019" s="53" t="n">
        <f aca="false">IF(COUNT('Business Case'!B11:G11)=0,"",H1019+NPV(G1019,I1019:M1019))</f>
        <v>76590006.2167559</v>
      </c>
      <c r="P1019" s="54" t="n">
        <f aca="true">RAND()</f>
        <v>0.780010351026307</v>
      </c>
      <c r="Q1019" s="54" t="n">
        <f aca="true">RAND()</f>
        <v>0.798978385723967</v>
      </c>
      <c r="R1019" s="54" t="n">
        <f aca="true">RAND()</f>
        <v>0.338970066092067</v>
      </c>
      <c r="S1019" s="54" t="n">
        <f aca="true">RAND()</f>
        <v>0.728904651958748</v>
      </c>
      <c r="T1019" s="54" t="n">
        <f aca="true">RAND()</f>
        <v>0.02042444885513</v>
      </c>
      <c r="U1019" s="54" t="n">
        <f aca="true">RAND()</f>
        <v>0.836538235048657</v>
      </c>
    </row>
    <row r="1020" customFormat="false" ht="15" hidden="false" customHeight="false" outlineLevel="0" collapsed="false">
      <c r="A1020" s="50" t="n">
        <v>940</v>
      </c>
      <c r="B1020" s="51" t="n">
        <f aca="false">1+IF($G$6=$E$6,$F$6,IF(P1020&lt;($F$6-$E$6)/($G$6-$E$6),$E$6+SQRT(P1020*($G$6-$E$6)*($F$6-$E$6)),$G$6-SQRT((1-P1020)*($G$6-$E$6)*($G$6-$F$6))))</f>
        <v>0.97912211629628</v>
      </c>
      <c r="C1020" s="51" t="n">
        <f aca="false">1+IF($G$7=$E$7,$F$7,IF(Q1020&lt;($F$7-$E$7)/($G$7-$E$7),$E$7+SQRT(Q1020*($G$7-$E$7)*($F$7-$E$7)),$G$7-SQRT((1-Q1020)*($G$7-$E$7)*($G$7-$F$7))))</f>
        <v>0.905737537068763</v>
      </c>
      <c r="D1020" s="51" t="n">
        <f aca="false">1+IF($G$8=$E$8,$F$8,IF(R1020&lt;($F$8-$E$8)/($G$8-$E$8),$E$8+SQRT(R1020*($G$8-$E$8)*($F$8-$E$8)),$G$8-SQRT((1-R1020)*($G$8-$E$8)*($G$8-$F$8))))</f>
        <v>1.06686774610968</v>
      </c>
      <c r="E1020" s="51" t="n">
        <f aca="false">1+IF($G$9=$E$9,$F$9,IF(S1020&lt;($F$9-$E$9)/($G$9-$E$9),$E$9+SQRT(S1020*($G$9-$E$9)*($F$9-$E$9)),$G$9-SQRT((1-S1020)*($G$9-$E$9)*($G$9-$F$9))))</f>
        <v>0.94139549873565</v>
      </c>
      <c r="F1020" s="51" t="n">
        <f aca="false">1+IF($G$10=$E$10,$F$10,IF(T1020&lt;($F$10-$E$10)/($G$10-$E$10),$E$10+SQRT(T1020*($G$10-$E$10)*($F$10-$E$10)),$G$10-SQRT((1-T1020)*($G$10-$E$10)*($G$10-$F$10))))</f>
        <v>0.973562518380347</v>
      </c>
      <c r="G1020" s="52" t="n">
        <f aca="false">IF($G$11=$E$11,$F$11,IF(U1020&lt;($F$11-$E$11)/($G$11-$E$11),$E$11+SQRT(U1020*($G$11-$E$11)*($F$11-$E$11)),$G$11-SQRT((1-U1020)*($G$11-$E$11)*($G$11-$F$11))))</f>
        <v>0.0870530191166677</v>
      </c>
      <c r="H1020" s="53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-1947125036.76069</v>
      </c>
      <c r="I1020" s="53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-45489541.2183524</v>
      </c>
      <c r="J1020" s="53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186216754.910278</v>
      </c>
      <c r="K1020" s="53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466601176.957925</v>
      </c>
      <c r="L1020" s="53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574485372.726628</v>
      </c>
      <c r="M1020" s="53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743053573.218668</v>
      </c>
      <c r="N1020" s="53" t="n">
        <f aca="false">IF(COUNT('Business Case'!B11:G11)=0,"",H1020+NPV(G1020,I1020:M1020))</f>
        <v>-567219120.674422</v>
      </c>
      <c r="P1020" s="54" t="n">
        <f aca="true">RAND()</f>
        <v>0.41735395248014</v>
      </c>
      <c r="Q1020" s="54" t="n">
        <f aca="true">RAND()</f>
        <v>0.313540253030524</v>
      </c>
      <c r="R1020" s="54" t="n">
        <f aca="true">RAND()</f>
        <v>0.926816916809809</v>
      </c>
      <c r="S1020" s="54" t="n">
        <f aca="true">RAND()</f>
        <v>0.0685434926229285</v>
      </c>
      <c r="T1020" s="54" t="n">
        <f aca="true">RAND()</f>
        <v>0.0370128181616129</v>
      </c>
      <c r="U1020" s="54" t="n">
        <f aca="true">RAND()</f>
        <v>0.0497450786600797</v>
      </c>
    </row>
    <row r="1021" customFormat="false" ht="15" hidden="false" customHeight="false" outlineLevel="0" collapsed="false">
      <c r="A1021" s="50" t="n">
        <v>941</v>
      </c>
      <c r="B1021" s="51" t="n">
        <f aca="false">1+IF($G$6=$E$6,$F$6,IF(P1021&lt;($F$6-$E$6)/($G$6-$E$6),$E$6+SQRT(P1021*($G$6-$E$6)*($F$6-$E$6)),$G$6-SQRT((1-P1021)*($G$6-$E$6)*($G$6-$F$6))))</f>
        <v>0.943875756424456</v>
      </c>
      <c r="C1021" s="51" t="n">
        <f aca="false">1+IF($G$7=$E$7,$F$7,IF(Q1021&lt;($F$7-$E$7)/($G$7-$E$7),$E$7+SQRT(Q1021*($G$7-$E$7)*($F$7-$E$7)),$G$7-SQRT((1-Q1021)*($G$7-$E$7)*($G$7-$F$7))))</f>
        <v>0.901089527204386</v>
      </c>
      <c r="D1021" s="51" t="n">
        <f aca="false">1+IF($G$8=$E$8,$F$8,IF(R1021&lt;($F$8-$E$8)/($G$8-$E$8),$E$8+SQRT(R1021*($G$8-$E$8)*($F$8-$E$8)),$G$8-SQRT((1-R1021)*($G$8-$E$8)*($G$8-$F$8))))</f>
        <v>1.06065886277204</v>
      </c>
      <c r="E1021" s="51" t="n">
        <f aca="false">1+IF($G$9=$E$9,$F$9,IF(S1021&lt;($F$9-$E$9)/($G$9-$E$9),$E$9+SQRT(S1021*($G$9-$E$9)*($F$9-$E$9)),$G$9-SQRT((1-S1021)*($G$9-$E$9)*($G$9-$F$9))))</f>
        <v>1.01316783691731</v>
      </c>
      <c r="F1021" s="51" t="n">
        <f aca="false">1+IF($G$10=$E$10,$F$10,IF(T1021&lt;($F$10-$E$10)/($G$10-$E$10),$E$10+SQRT(T1021*($G$10-$E$10)*($F$10-$E$10)),$G$10-SQRT((1-T1021)*($G$10-$E$10)*($G$10-$F$10))))</f>
        <v>1.07516024887034</v>
      </c>
      <c r="G1021" s="52" t="n">
        <f aca="false">IF($G$11=$E$11,$F$11,IF(U1021&lt;($F$11-$E$11)/($G$11-$E$11),$E$11+SQRT(U1021*($G$11-$E$11)*($F$11-$E$11)),$G$11-SQRT((1-U1021)*($G$11-$E$11)*($G$11-$F$11))))</f>
        <v>0.102059987613442</v>
      </c>
      <c r="H1021" s="53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-2150320497.74068</v>
      </c>
      <c r="I1021" s="53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-88311790.4490948</v>
      </c>
      <c r="J1021" s="53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119055688.822032</v>
      </c>
      <c r="K1021" s="53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380181180.536676</v>
      </c>
      <c r="L1021" s="53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478697525.909416</v>
      </c>
      <c r="M1021" s="53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640363713.462421</v>
      </c>
      <c r="N1021" s="53" t="n">
        <f aca="false">IF(COUNT('Business Case'!B11:G11)=0,"",H1021+NPV(G1021,I1021:M1021))</f>
        <v>-1129958950.25563</v>
      </c>
      <c r="P1021" s="54" t="n">
        <f aca="true">RAND()</f>
        <v>0.128338800121213</v>
      </c>
      <c r="Q1021" s="54" t="n">
        <f aca="true">RAND()</f>
        <v>0.299533318157657</v>
      </c>
      <c r="R1021" s="54" t="n">
        <f aca="true">RAND()</f>
        <v>0.896818328107413</v>
      </c>
      <c r="S1021" s="54" t="n">
        <f aca="true">RAND()</f>
        <v>0.500718910562959</v>
      </c>
      <c r="T1021" s="54" t="n">
        <f aca="true">RAND()</f>
        <v>0.592414152332245</v>
      </c>
      <c r="U1021" s="54" t="n">
        <f aca="true">RAND()</f>
        <v>0.479570471892647</v>
      </c>
    </row>
    <row r="1022" customFormat="false" ht="15" hidden="false" customHeight="false" outlineLevel="0" collapsed="false">
      <c r="A1022" s="50" t="n">
        <v>942</v>
      </c>
      <c r="B1022" s="51" t="n">
        <f aca="false">1+IF($G$6=$E$6,$F$6,IF(P1022&lt;($F$6-$E$6)/($G$6-$E$6),$E$6+SQRT(P1022*($G$6-$E$6)*($F$6-$E$6)),$G$6-SQRT((1-P1022)*($G$6-$E$6)*($G$6-$F$6))))</f>
        <v>0.987214873496684</v>
      </c>
      <c r="C1022" s="51" t="n">
        <f aca="false">1+IF($G$7=$E$7,$F$7,IF(Q1022&lt;($F$7-$E$7)/($G$7-$E$7),$E$7+SQRT(Q1022*($G$7-$E$7)*($F$7-$E$7)),$G$7-SQRT((1-Q1022)*($G$7-$E$7)*($G$7-$F$7))))</f>
        <v>1.02874845301065</v>
      </c>
      <c r="D1022" s="51" t="n">
        <f aca="false">1+IF($G$8=$E$8,$F$8,IF(R1022&lt;($F$8-$E$8)/($G$8-$E$8),$E$8+SQRT(R1022*($G$8-$E$8)*($F$8-$E$8)),$G$8-SQRT((1-R1022)*($G$8-$E$8)*($G$8-$F$8))))</f>
        <v>0.984595161497181</v>
      </c>
      <c r="E1022" s="51" t="n">
        <f aca="false">1+IF($G$9=$E$9,$F$9,IF(S1022&lt;($F$9-$E$9)/($G$9-$E$9),$E$9+SQRT(S1022*($G$9-$E$9)*($F$9-$E$9)),$G$9-SQRT((1-S1022)*($G$9-$E$9)*($G$9-$F$9))))</f>
        <v>1.01897888225793</v>
      </c>
      <c r="F1022" s="51" t="n">
        <f aca="false">1+IF($G$10=$E$10,$F$10,IF(T1022&lt;($F$10-$E$10)/($G$10-$E$10),$E$10+SQRT(T1022*($G$10-$E$10)*($F$10-$E$10)),$G$10-SQRT((1-T1022)*($G$10-$E$10)*($G$10-$F$10))))</f>
        <v>0.999507230763342</v>
      </c>
      <c r="G1022" s="52" t="n">
        <f aca="false">IF($G$11=$E$11,$F$11,IF(U1022&lt;($F$11-$E$11)/($G$11-$E$11),$E$11+SQRT(U1022*($G$11-$E$11)*($F$11-$E$11)),$G$11-SQRT((1-U1022)*($G$11-$E$11)*($G$11-$F$11))))</f>
        <v>0.109227111321451</v>
      </c>
      <c r="H1022" s="53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-1999014461.52668</v>
      </c>
      <c r="I1022" s="53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15823905.1196827</v>
      </c>
      <c r="J1022" s="53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329145815.291693</v>
      </c>
      <c r="K1022" s="53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692443087.00187</v>
      </c>
      <c r="L1022" s="53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831982713.671816</v>
      </c>
      <c r="M1022" s="53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1025027158.3745</v>
      </c>
      <c r="N1022" s="53" t="n">
        <f aca="false">IF(COUNT('Business Case'!B11:G11)=0,"",H1022+NPV(G1022,I1022:M1022))</f>
        <v>-49858878.5814202</v>
      </c>
      <c r="P1022" s="54" t="n">
        <f aca="true">RAND()</f>
        <v>0.507095610602833</v>
      </c>
      <c r="Q1022" s="54" t="n">
        <f aca="true">RAND()</f>
        <v>0.782193516336147</v>
      </c>
      <c r="R1022" s="54" t="n">
        <f aca="true">RAND()</f>
        <v>0.159576693202133</v>
      </c>
      <c r="S1022" s="54" t="n">
        <f aca="true">RAND()</f>
        <v>0.542225778816526</v>
      </c>
      <c r="T1022" s="54" t="n">
        <f aca="true">RAND()</f>
        <v>0.16339772652365</v>
      </c>
      <c r="U1022" s="54" t="n">
        <f aca="true">RAND()</f>
        <v>0.712324730632419</v>
      </c>
    </row>
    <row r="1023" customFormat="false" ht="15" hidden="false" customHeight="false" outlineLevel="0" collapsed="false">
      <c r="A1023" s="50" t="n">
        <v>943</v>
      </c>
      <c r="B1023" s="51" t="n">
        <f aca="false">1+IF($G$6=$E$6,$F$6,IF(P1023&lt;($F$6-$E$6)/($G$6-$E$6),$E$6+SQRT(P1023*($G$6-$E$6)*($F$6-$E$6)),$G$6-SQRT((1-P1023)*($G$6-$E$6)*($G$6-$F$6))))</f>
        <v>1.02969092726893</v>
      </c>
      <c r="C1023" s="51" t="n">
        <f aca="false">1+IF($G$7=$E$7,$F$7,IF(Q1023&lt;($F$7-$E$7)/($G$7-$E$7),$E$7+SQRT(Q1023*($G$7-$E$7)*($F$7-$E$7)),$G$7-SQRT((1-Q1023)*($G$7-$E$7)*($G$7-$F$7))))</f>
        <v>0.919804660454005</v>
      </c>
      <c r="D1023" s="51" t="n">
        <f aca="false">1+IF($G$8=$E$8,$F$8,IF(R1023&lt;($F$8-$E$8)/($G$8-$E$8),$E$8+SQRT(R1023*($G$8-$E$8)*($F$8-$E$8)),$G$8-SQRT((1-R1023)*($G$8-$E$8)*($G$8-$F$8))))</f>
        <v>1.02673948840296</v>
      </c>
      <c r="E1023" s="51" t="n">
        <f aca="false">1+IF($G$9=$E$9,$F$9,IF(S1023&lt;($F$9-$E$9)/($G$9-$E$9),$E$9+SQRT(S1023*($G$9-$E$9)*($F$9-$E$9)),$G$9-SQRT((1-S1023)*($G$9-$E$9)*($G$9-$F$9))))</f>
        <v>1.04842183828206</v>
      </c>
      <c r="F1023" s="51" t="n">
        <f aca="false">1+IF($G$10=$E$10,$F$10,IF(T1023&lt;($F$10-$E$10)/($G$10-$E$10),$E$10+SQRT(T1023*($G$10-$E$10)*($F$10-$E$10)),$G$10-SQRT((1-T1023)*($G$10-$E$10)*($G$10-$F$10))))</f>
        <v>1.02414690431204</v>
      </c>
      <c r="G1023" s="52" t="n">
        <f aca="false">IF($G$11=$E$11,$F$11,IF(U1023&lt;($F$11-$E$11)/($G$11-$E$11),$E$11+SQRT(U1023*($G$11-$E$11)*($F$11-$E$11)),$G$11-SQRT((1-U1023)*($G$11-$E$11)*($G$11-$F$11))))</f>
        <v>0.0893848724812554</v>
      </c>
      <c r="H1023" s="53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-2048293808.62408</v>
      </c>
      <c r="I1023" s="53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-8300841.70679718</v>
      </c>
      <c r="J1023" s="53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283997008.813038</v>
      </c>
      <c r="K1023" s="53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627502204.548476</v>
      </c>
      <c r="L1023" s="53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757667098.982901</v>
      </c>
      <c r="M1023" s="53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937694625.752542</v>
      </c>
      <c r="N1023" s="53" t="n">
        <f aca="false">IF(COUNT('Business Case'!B11:G11)=0,"",H1023+NPV(G1023,I1023:M1023))</f>
        <v>-182117290.056129</v>
      </c>
      <c r="P1023" s="54" t="n">
        <f aca="true">RAND()</f>
        <v>0.945005541973894</v>
      </c>
      <c r="Q1023" s="54" t="n">
        <f aca="true">RAND()</f>
        <v>0.357882138942965</v>
      </c>
      <c r="R1023" s="54" t="n">
        <f aca="true">RAND()</f>
        <v>0.642193162702649</v>
      </c>
      <c r="S1023" s="54" t="n">
        <f aca="true">RAND()</f>
        <v>0.724850054986769</v>
      </c>
      <c r="T1023" s="54" t="n">
        <f aca="true">RAND()</f>
        <v>0.319871722242196</v>
      </c>
      <c r="U1023" s="54" t="n">
        <f aca="true">RAND()</f>
        <v>0.088075831489424</v>
      </c>
    </row>
    <row r="1024" customFormat="false" ht="15" hidden="false" customHeight="false" outlineLevel="0" collapsed="false">
      <c r="A1024" s="50" t="n">
        <v>944</v>
      </c>
      <c r="B1024" s="51" t="n">
        <f aca="false">1+IF($G$6=$E$6,$F$6,IF(P1024&lt;($F$6-$E$6)/($G$6-$E$6),$E$6+SQRT(P1024*($G$6-$E$6)*($F$6-$E$6)),$G$6-SQRT((1-P1024)*($G$6-$E$6)*($G$6-$F$6))))</f>
        <v>0.96735994303387</v>
      </c>
      <c r="C1024" s="51" t="n">
        <f aca="false">1+IF($G$7=$E$7,$F$7,IF(Q1024&lt;($F$7-$E$7)/($G$7-$E$7),$E$7+SQRT(Q1024*($G$7-$E$7)*($F$7-$E$7)),$G$7-SQRT((1-Q1024)*($G$7-$E$7)*($G$7-$F$7))))</f>
        <v>0.852447033623813</v>
      </c>
      <c r="D1024" s="51" t="n">
        <f aca="false">1+IF($G$8=$E$8,$F$8,IF(R1024&lt;($F$8-$E$8)/($G$8-$E$8),$E$8+SQRT(R1024*($G$8-$E$8)*($F$8-$E$8)),$G$8-SQRT((1-R1024)*($G$8-$E$8)*($G$8-$F$8))))</f>
        <v>1.04510370774691</v>
      </c>
      <c r="E1024" s="51" t="n">
        <f aca="false">1+IF($G$9=$E$9,$F$9,IF(S1024&lt;($F$9-$E$9)/($G$9-$E$9),$E$9+SQRT(S1024*($G$9-$E$9)*($F$9-$E$9)),$G$9-SQRT((1-S1024)*($G$9-$E$9)*($G$9-$F$9))))</f>
        <v>1.08655377578239</v>
      </c>
      <c r="F1024" s="51" t="n">
        <f aca="false">1+IF($G$10=$E$10,$F$10,IF(T1024&lt;($F$10-$E$10)/($G$10-$E$10),$E$10+SQRT(T1024*($G$10-$E$10)*($F$10-$E$10)),$G$10-SQRT((1-T1024)*($G$10-$E$10)*($G$10-$F$10))))</f>
        <v>1.06612584768223</v>
      </c>
      <c r="G1024" s="52" t="n">
        <f aca="false">IF($G$11=$E$11,$F$11,IF(U1024&lt;($F$11-$E$11)/($G$11-$E$11),$E$11+SQRT(U1024*($G$11-$E$11)*($F$11-$E$11)),$G$11-SQRT((1-U1024)*($G$11-$E$11)*($G$11-$F$11))))</f>
        <v>0.114367148681862</v>
      </c>
      <c r="H1024" s="53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-2132251695.36445</v>
      </c>
      <c r="I1024" s="53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-84510543.5422929</v>
      </c>
      <c r="J1024" s="53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134847906.823728</v>
      </c>
      <c r="K1024" s="53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407512649.573861</v>
      </c>
      <c r="L1024" s="53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509131107.845092</v>
      </c>
      <c r="M1024" s="53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665875469.33249</v>
      </c>
      <c r="N1024" s="53" t="n">
        <f aca="false">IF(COUNT('Business Case'!B11:G11)=0,"",H1024+NPV(G1024,I1024:M1024))</f>
        <v>-1087383361.09323</v>
      </c>
      <c r="P1024" s="54" t="n">
        <f aca="true">RAND()</f>
        <v>0.302490795035085</v>
      </c>
      <c r="Q1024" s="54" t="n">
        <f aca="true">RAND()</f>
        <v>0.172148874523703</v>
      </c>
      <c r="R1024" s="54" t="n">
        <f aca="true">RAND()</f>
        <v>0.799093139790853</v>
      </c>
      <c r="S1024" s="54" t="n">
        <f aca="true">RAND()</f>
        <v>0.892655376867426</v>
      </c>
      <c r="T1024" s="54" t="n">
        <f aca="true">RAND()</f>
        <v>0.549203948125598</v>
      </c>
      <c r="U1024" s="54" t="n">
        <f aca="true">RAND()</f>
        <v>0.837075973109992</v>
      </c>
    </row>
    <row r="1025" customFormat="false" ht="15" hidden="false" customHeight="false" outlineLevel="0" collapsed="false">
      <c r="A1025" s="50" t="n">
        <v>945</v>
      </c>
      <c r="B1025" s="51" t="n">
        <f aca="false">1+IF($G$6=$E$6,$F$6,IF(P1025&lt;($F$6-$E$6)/($G$6-$E$6),$E$6+SQRT(P1025*($G$6-$E$6)*($F$6-$E$6)),$G$6-SQRT((1-P1025)*($G$6-$E$6)*($G$6-$F$6))))</f>
        <v>1.01004301064956</v>
      </c>
      <c r="C1025" s="51" t="n">
        <f aca="false">1+IF($G$7=$E$7,$F$7,IF(Q1025&lt;($F$7-$E$7)/($G$7-$E$7),$E$7+SQRT(Q1025*($G$7-$E$7)*($F$7-$E$7)),$G$7-SQRT((1-Q1025)*($G$7-$E$7)*($G$7-$F$7))))</f>
        <v>1.02457540198768</v>
      </c>
      <c r="D1025" s="51" t="n">
        <f aca="false">1+IF($G$8=$E$8,$F$8,IF(R1025&lt;($F$8-$E$8)/($G$8-$E$8),$E$8+SQRT(R1025*($G$8-$E$8)*($F$8-$E$8)),$G$8-SQRT((1-R1025)*($G$8-$E$8)*($G$8-$F$8))))</f>
        <v>0.969047532133128</v>
      </c>
      <c r="E1025" s="51" t="n">
        <f aca="false">1+IF($G$9=$E$9,$F$9,IF(S1025&lt;($F$9-$E$9)/($G$9-$E$9),$E$9+SQRT(S1025*($G$9-$E$9)*($F$9-$E$9)),$G$9-SQRT((1-S1025)*($G$9-$E$9)*($G$9-$F$9))))</f>
        <v>0.99716310955842</v>
      </c>
      <c r="F1025" s="51" t="n">
        <f aca="false">1+IF($G$10=$E$10,$F$10,IF(T1025&lt;($F$10-$E$10)/($G$10-$E$10),$E$10+SQRT(T1025*($G$10-$E$10)*($F$10-$E$10)),$G$10-SQRT((1-T1025)*($G$10-$E$10)*($G$10-$F$10))))</f>
        <v>1.13879628031548</v>
      </c>
      <c r="G1025" s="52" t="n">
        <f aca="false">IF($G$11=$E$11,$F$11,IF(U1025&lt;($F$11-$E$11)/($G$11-$E$11),$E$11+SQRT(U1025*($G$11-$E$11)*($F$11-$E$11)),$G$11-SQRT((1-U1025)*($G$11-$E$11)*($G$11-$F$11))))</f>
        <v>0.128258729717976</v>
      </c>
      <c r="H1025" s="53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-2277592560.63096</v>
      </c>
      <c r="I1025" s="53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30039442.482791</v>
      </c>
      <c r="J1025" s="53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369402520.37093</v>
      </c>
      <c r="K1025" s="53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765705412.274843</v>
      </c>
      <c r="L1025" s="53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914591380.367283</v>
      </c>
      <c r="M1025" s="53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1111298562.08079</v>
      </c>
      <c r="N1025" s="53" t="n">
        <f aca="false">IF(COUNT('Business Case'!B11:G11)=0,"",H1025+NPV(G1025,I1025:M1025))</f>
        <v>-255400874.037403</v>
      </c>
      <c r="P1025" s="54" t="n">
        <f aca="true">RAND()</f>
        <v>0.787125200273126</v>
      </c>
      <c r="Q1025" s="54" t="n">
        <f aca="true">RAND()</f>
        <v>0.76694326242145</v>
      </c>
      <c r="R1025" s="54" t="n">
        <f aca="true">RAND()</f>
        <v>0.0483744640483415</v>
      </c>
      <c r="S1025" s="54" t="n">
        <f aca="true">RAND()</f>
        <v>0.377626794362459</v>
      </c>
      <c r="T1025" s="54" t="n">
        <f aca="true">RAND()</f>
        <v>0.835116436377689</v>
      </c>
      <c r="U1025" s="54" t="n">
        <f aca="true">RAND()</f>
        <v>0.99797865186996</v>
      </c>
    </row>
    <row r="1026" customFormat="false" ht="15" hidden="false" customHeight="false" outlineLevel="0" collapsed="false">
      <c r="A1026" s="50" t="n">
        <v>946</v>
      </c>
      <c r="B1026" s="51" t="n">
        <f aca="false">1+IF($G$6=$E$6,$F$6,IF(P1026&lt;($F$6-$E$6)/($G$6-$E$6),$E$6+SQRT(P1026*($G$6-$E$6)*($F$6-$E$6)),$G$6-SQRT((1-P1026)*($G$6-$E$6)*($G$6-$F$6))))</f>
        <v>0.966197628917833</v>
      </c>
      <c r="C1026" s="51" t="n">
        <f aca="false">1+IF($G$7=$E$7,$F$7,IF(Q1026&lt;($F$7-$E$7)/($G$7-$E$7),$E$7+SQRT(Q1026*($G$7-$E$7)*($F$7-$E$7)),$G$7-SQRT((1-Q1026)*($G$7-$E$7)*($G$7-$F$7))))</f>
        <v>1.09085539060532</v>
      </c>
      <c r="D1026" s="51" t="n">
        <f aca="false">1+IF($G$8=$E$8,$F$8,IF(R1026&lt;($F$8-$E$8)/($G$8-$E$8),$E$8+SQRT(R1026*($G$8-$E$8)*($F$8-$E$8)),$G$8-SQRT((1-R1026)*($G$8-$E$8)*($G$8-$F$8))))</f>
        <v>0.99210236555524</v>
      </c>
      <c r="E1026" s="51" t="n">
        <f aca="false">1+IF($G$9=$E$9,$F$9,IF(S1026&lt;($F$9-$E$9)/($G$9-$E$9),$E$9+SQRT(S1026*($G$9-$E$9)*($F$9-$E$9)),$G$9-SQRT((1-S1026)*($G$9-$E$9)*($G$9-$F$9))))</f>
        <v>1.00451165512313</v>
      </c>
      <c r="F1026" s="51" t="n">
        <f aca="false">1+IF($G$10=$E$10,$F$10,IF(T1026&lt;($F$10-$E$10)/($G$10-$E$10),$E$10+SQRT(T1026*($G$10-$E$10)*($F$10-$E$10)),$G$10-SQRT((1-T1026)*($G$10-$E$10)*($G$10-$F$10))))</f>
        <v>1.10350521777632</v>
      </c>
      <c r="G1026" s="52" t="n">
        <f aca="false">IF($G$11=$E$11,$F$11,IF(U1026&lt;($F$11-$E$11)/($G$11-$E$11),$E$11+SQRT(U1026*($G$11-$E$11)*($F$11-$E$11)),$G$11-SQRT((1-U1026)*($G$11-$E$11)*($G$11-$F$11))))</f>
        <v>0.0988932998400228</v>
      </c>
      <c r="H1026" s="53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-2207010435.55264</v>
      </c>
      <c r="I1026" s="53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1436145.65230671</v>
      </c>
      <c r="J1026" s="53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310702791.716596</v>
      </c>
      <c r="K1026" s="53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675144698.669702</v>
      </c>
      <c r="L1026" s="53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814659194.875027</v>
      </c>
      <c r="M1026" s="53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1015000072.88645</v>
      </c>
      <c r="N1026" s="53" t="n">
        <f aca="false">IF(COUNT('Business Case'!B11:G11)=0,"",H1026+NPV(G1026,I1026:M1026))</f>
        <v>-247543367.041878</v>
      </c>
      <c r="P1026" s="54" t="n">
        <f aca="true">RAND()</f>
        <v>0.29214173828954</v>
      </c>
      <c r="Q1026" s="54" t="n">
        <f aca="true">RAND()</f>
        <v>0.948176521178525</v>
      </c>
      <c r="R1026" s="54" t="n">
        <f aca="true">RAND()</f>
        <v>0.236347891379604</v>
      </c>
      <c r="S1026" s="54" t="n">
        <f aca="true">RAND()</f>
        <v>0.435550440133038</v>
      </c>
      <c r="T1026" s="54" t="n">
        <f aca="true">RAND()</f>
        <v>0.713857050416496</v>
      </c>
      <c r="U1026" s="54" t="n">
        <f aca="true">RAND()</f>
        <v>0.356956778845005</v>
      </c>
    </row>
    <row r="1027" customFormat="false" ht="15" hidden="false" customHeight="false" outlineLevel="0" collapsed="false">
      <c r="A1027" s="50" t="n">
        <v>947</v>
      </c>
      <c r="B1027" s="51" t="n">
        <f aca="false">1+IF($G$6=$E$6,$F$6,IF(P1027&lt;($F$6-$E$6)/($G$6-$E$6),$E$6+SQRT(P1027*($G$6-$E$6)*($F$6-$E$6)),$G$6-SQRT((1-P1027)*($G$6-$E$6)*($G$6-$F$6))))</f>
        <v>0.962808128184609</v>
      </c>
      <c r="C1027" s="51" t="n">
        <f aca="false">1+IF($G$7=$E$7,$F$7,IF(Q1027&lt;($F$7-$E$7)/($G$7-$E$7),$E$7+SQRT(Q1027*($G$7-$E$7)*($F$7-$E$7)),$G$7-SQRT((1-Q1027)*($G$7-$E$7)*($G$7-$F$7))))</f>
        <v>0.765959574601963</v>
      </c>
      <c r="D1027" s="51" t="n">
        <f aca="false">1+IF($G$8=$E$8,$F$8,IF(R1027&lt;($F$8-$E$8)/($G$8-$E$8),$E$8+SQRT(R1027*($G$8-$E$8)*($F$8-$E$8)),$G$8-SQRT((1-R1027)*($G$8-$E$8)*($G$8-$F$8))))</f>
        <v>1.05187542931332</v>
      </c>
      <c r="E1027" s="51" t="n">
        <f aca="false">1+IF($G$9=$E$9,$F$9,IF(S1027&lt;($F$9-$E$9)/($G$9-$E$9),$E$9+SQRT(S1027*($G$9-$E$9)*($F$9-$E$9)),$G$9-SQRT((1-S1027)*($G$9-$E$9)*($G$9-$F$9))))</f>
        <v>0.962914983718117</v>
      </c>
      <c r="F1027" s="51" t="n">
        <f aca="false">1+IF($G$10=$E$10,$F$10,IF(T1027&lt;($F$10-$E$10)/($G$10-$E$10),$E$10+SQRT(T1027*($G$10-$E$10)*($F$10-$E$10)),$G$10-SQRT((1-T1027)*($G$10-$E$10)*($G$10-$F$10))))</f>
        <v>1.04750980658526</v>
      </c>
      <c r="G1027" s="52" t="n">
        <f aca="false">IF($G$11=$E$11,$F$11,IF(U1027&lt;($F$11-$E$11)/($G$11-$E$11),$E$11+SQRT(U1027*($G$11-$E$11)*($F$11-$E$11)),$G$11-SQRT((1-U1027)*($G$11-$E$11)*($G$11-$F$11))))</f>
        <v>0.0895068719956154</v>
      </c>
      <c r="H1027" s="53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-2095019613.17052</v>
      </c>
      <c r="I1027" s="53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-88316195.1639496</v>
      </c>
      <c r="J1027" s="53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103275654.901612</v>
      </c>
      <c r="K1027" s="53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347242995.296437</v>
      </c>
      <c r="L1027" s="53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436593981.24247</v>
      </c>
      <c r="M1027" s="53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576772678.825456</v>
      </c>
      <c r="N1027" s="53" t="n">
        <f aca="false">IF(COUNT('Business Case'!B11:G11)=0,"",H1027+NPV(G1027,I1027:M1027))</f>
        <v>-1135010696.26147</v>
      </c>
      <c r="P1027" s="54" t="n">
        <f aca="true">RAND()</f>
        <v>0.262990731070283</v>
      </c>
      <c r="Q1027" s="54" t="n">
        <f aca="true">RAND()</f>
        <v>0.0322271517160886</v>
      </c>
      <c r="R1027" s="54" t="n">
        <f aca="true">RAND()</f>
        <v>0.845601713081521</v>
      </c>
      <c r="S1027" s="54" t="n">
        <f aca="true">RAND()</f>
        <v>0.158331807050034</v>
      </c>
      <c r="T1027" s="54" t="n">
        <f aca="true">RAND()</f>
        <v>0.45330295427816</v>
      </c>
      <c r="U1027" s="54" t="n">
        <f aca="true">RAND()</f>
        <v>0.0903806151410166</v>
      </c>
    </row>
    <row r="1028" customFormat="false" ht="15" hidden="false" customHeight="false" outlineLevel="0" collapsed="false">
      <c r="A1028" s="50" t="n">
        <v>948</v>
      </c>
      <c r="B1028" s="51" t="n">
        <f aca="false">1+IF($G$6=$E$6,$F$6,IF(P1028&lt;($F$6-$E$6)/($G$6-$E$6),$E$6+SQRT(P1028*($G$6-$E$6)*($F$6-$E$6)),$G$6-SQRT((1-P1028)*($G$6-$E$6)*($G$6-$F$6))))</f>
        <v>0.982662767622467</v>
      </c>
      <c r="C1028" s="51" t="n">
        <f aca="false">1+IF($G$7=$E$7,$F$7,IF(Q1028&lt;($F$7-$E$7)/($G$7-$E$7),$E$7+SQRT(Q1028*($G$7-$E$7)*($F$7-$E$7)),$G$7-SQRT((1-Q1028)*($G$7-$E$7)*($G$7-$F$7))))</f>
        <v>1.08139860431801</v>
      </c>
      <c r="D1028" s="51" t="n">
        <f aca="false">1+IF($G$8=$E$8,$F$8,IF(R1028&lt;($F$8-$E$8)/($G$8-$E$8),$E$8+SQRT(R1028*($G$8-$E$8)*($F$8-$E$8)),$G$8-SQRT((1-R1028)*($G$8-$E$8)*($G$8-$F$8))))</f>
        <v>0.996601922017722</v>
      </c>
      <c r="E1028" s="51" t="n">
        <f aca="false">1+IF($G$9=$E$9,$F$9,IF(S1028&lt;($F$9-$E$9)/($G$9-$E$9),$E$9+SQRT(S1028*($G$9-$E$9)*($F$9-$E$9)),$G$9-SQRT((1-S1028)*($G$9-$E$9)*($G$9-$F$9))))</f>
        <v>0.967678958241398</v>
      </c>
      <c r="F1028" s="51" t="n">
        <f aca="false">1+IF($G$10=$E$10,$F$10,IF(T1028&lt;($F$10-$E$10)/($G$10-$E$10),$E$10+SQRT(T1028*($G$10-$E$10)*($F$10-$E$10)),$G$10-SQRT((1-T1028)*($G$10-$E$10)*($G$10-$F$10))))</f>
        <v>1.10118184530658</v>
      </c>
      <c r="G1028" s="52" t="n">
        <f aca="false">IF($G$11=$E$11,$F$11,IF(U1028&lt;($F$11-$E$11)/($G$11-$E$11),$E$11+SQRT(U1028*($G$11-$E$11)*($F$11-$E$11)),$G$11-SQRT((1-U1028)*($G$11-$E$11)*($G$11-$F$11))))</f>
        <v>0.125167591665022</v>
      </c>
      <c r="H1028" s="53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-2202363690.61316</v>
      </c>
      <c r="I1028" s="53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15868630.9985156</v>
      </c>
      <c r="J1028" s="53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334547177.928303</v>
      </c>
      <c r="K1028" s="53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708284817.12342</v>
      </c>
      <c r="L1028" s="53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851236188.459141</v>
      </c>
      <c r="M1028" s="53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1053224728.10099</v>
      </c>
      <c r="N1028" s="53" t="n">
        <f aca="false">IF(COUNT('Business Case'!B11:G11)=0,"",H1028+NPV(G1028,I1028:M1028))</f>
        <v>-311640922.749443</v>
      </c>
      <c r="P1028" s="54" t="n">
        <f aca="true">RAND()</f>
        <v>0.455542210067066</v>
      </c>
      <c r="Q1028" s="54" t="n">
        <f aca="true">RAND()</f>
        <v>0.930279237192332</v>
      </c>
      <c r="R1028" s="54" t="n">
        <f aca="true">RAND()</f>
        <v>0.289565218099449</v>
      </c>
      <c r="S1028" s="54" t="n">
        <f aca="true">RAND()</f>
        <v>0.183217655545638</v>
      </c>
      <c r="T1028" s="54" t="n">
        <f aca="true">RAND()</f>
        <v>0.704708757781941</v>
      </c>
      <c r="U1028" s="54" t="n">
        <f aca="true">RAND()</f>
        <v>0.984431886456024</v>
      </c>
    </row>
    <row r="1029" customFormat="false" ht="15" hidden="false" customHeight="false" outlineLevel="0" collapsed="false">
      <c r="A1029" s="50" t="n">
        <v>949</v>
      </c>
      <c r="B1029" s="51" t="n">
        <f aca="false">1+IF($G$6=$E$6,$F$6,IF(P1029&lt;($F$6-$E$6)/($G$6-$E$6),$E$6+SQRT(P1029*($G$6-$E$6)*($F$6-$E$6)),$G$6-SQRT((1-P1029)*($G$6-$E$6)*($G$6-$F$6))))</f>
        <v>1.02320129073857</v>
      </c>
      <c r="C1029" s="51" t="n">
        <f aca="false">1+IF($G$7=$E$7,$F$7,IF(Q1029&lt;($F$7-$E$7)/($G$7-$E$7),$E$7+SQRT(Q1029*($G$7-$E$7)*($F$7-$E$7)),$G$7-SQRT((1-Q1029)*($G$7-$E$7)*($G$7-$F$7))))</f>
        <v>1.01017906859457</v>
      </c>
      <c r="D1029" s="51" t="n">
        <f aca="false">1+IF($G$8=$E$8,$F$8,IF(R1029&lt;($F$8-$E$8)/($G$8-$E$8),$E$8+SQRT(R1029*($G$8-$E$8)*($F$8-$E$8)),$G$8-SQRT((1-R1029)*($G$8-$E$8)*($G$8-$F$8))))</f>
        <v>1.015530403429</v>
      </c>
      <c r="E1029" s="51" t="n">
        <f aca="false">1+IF($G$9=$E$9,$F$9,IF(S1029&lt;($F$9-$E$9)/($G$9-$E$9),$E$9+SQRT(S1029*($G$9-$E$9)*($F$9-$E$9)),$G$9-SQRT((1-S1029)*($G$9-$E$9)*($G$9-$F$9))))</f>
        <v>0.971650606050862</v>
      </c>
      <c r="F1029" s="51" t="n">
        <f aca="false">1+IF($G$10=$E$10,$F$10,IF(T1029&lt;($F$10-$E$10)/($G$10-$E$10),$E$10+SQRT(T1029*($G$10-$E$10)*($F$10-$E$10)),$G$10-SQRT((1-T1029)*($G$10-$E$10)*($G$10-$F$10))))</f>
        <v>1.05664991614498</v>
      </c>
      <c r="G1029" s="52" t="n">
        <f aca="false">IF($G$11=$E$11,$F$11,IF(U1029&lt;($F$11-$E$11)/($G$11-$E$11),$E$11+SQRT(U1029*($G$11-$E$11)*($F$11-$E$11)),$G$11-SQRT((1-U1029)*($G$11-$E$11)*($G$11-$F$11))))</f>
        <v>0.104378951539291</v>
      </c>
      <c r="H1029" s="53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-2113299832.28995</v>
      </c>
      <c r="I1029" s="53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24027847.5303545</v>
      </c>
      <c r="J1029" s="53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345472083.608219</v>
      </c>
      <c r="K1029" s="53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719748815.493333</v>
      </c>
      <c r="L1029" s="53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862618681.354341</v>
      </c>
      <c r="M1029" s="53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1059088510.78047</v>
      </c>
      <c r="N1029" s="53" t="n">
        <f aca="false">IF(COUNT('Business Case'!B11:G11)=0,"",H1029+NPV(G1029,I1029:M1029))</f>
        <v>-49370315.0449159</v>
      </c>
      <c r="P1029" s="54" t="n">
        <f aca="true">RAND()</f>
        <v>0.90424389092283</v>
      </c>
      <c r="Q1029" s="54" t="n">
        <f aca="true">RAND()</f>
        <v>0.710371957643227</v>
      </c>
      <c r="R1029" s="54" t="n">
        <f aca="true">RAND()</f>
        <v>0.524325817008805</v>
      </c>
      <c r="S1029" s="54" t="n">
        <f aca="true">RAND()</f>
        <v>0.20535237389823</v>
      </c>
      <c r="T1029" s="54" t="n">
        <f aca="true">RAND()</f>
        <v>0.501543267643401</v>
      </c>
      <c r="U1029" s="54" t="n">
        <f aca="true">RAND()</f>
        <v>0.562374583849326</v>
      </c>
    </row>
    <row r="1030" customFormat="false" ht="15" hidden="false" customHeight="false" outlineLevel="0" collapsed="false">
      <c r="A1030" s="50" t="n">
        <v>950</v>
      </c>
      <c r="B1030" s="51" t="n">
        <f aca="false">1+IF($G$6=$E$6,$F$6,IF(P1030&lt;($F$6-$E$6)/($G$6-$E$6),$E$6+SQRT(P1030*($G$6-$E$6)*($F$6-$E$6)),$G$6-SQRT((1-P1030)*($G$6-$E$6)*($G$6-$F$6))))</f>
        <v>1.04223263883444</v>
      </c>
      <c r="C1030" s="51" t="n">
        <f aca="false">1+IF($G$7=$E$7,$F$7,IF(Q1030&lt;($F$7-$E$7)/($G$7-$E$7),$E$7+SQRT(Q1030*($G$7-$E$7)*($F$7-$E$7)),$G$7-SQRT((1-Q1030)*($G$7-$E$7)*($G$7-$F$7))))</f>
        <v>0.815620904534031</v>
      </c>
      <c r="D1030" s="51" t="n">
        <f aca="false">1+IF($G$8=$E$8,$F$8,IF(R1030&lt;($F$8-$E$8)/($G$8-$E$8),$E$8+SQRT(R1030*($G$8-$E$8)*($F$8-$E$8)),$G$8-SQRT((1-R1030)*($G$8-$E$8)*($G$8-$F$8))))</f>
        <v>1.02308085572443</v>
      </c>
      <c r="E1030" s="51" t="n">
        <f aca="false">1+IF($G$9=$E$9,$F$9,IF(S1030&lt;($F$9-$E$9)/($G$9-$E$9),$E$9+SQRT(S1030*($G$9-$E$9)*($F$9-$E$9)),$G$9-SQRT((1-S1030)*($G$9-$E$9)*($G$9-$F$9))))</f>
        <v>0.973740198249066</v>
      </c>
      <c r="F1030" s="51" t="n">
        <f aca="false">1+IF($G$10=$E$10,$F$10,IF(T1030&lt;($F$10-$E$10)/($G$10-$E$10),$E$10+SQRT(T1030*($G$10-$E$10)*($F$10-$E$10)),$G$10-SQRT((1-T1030)*($G$10-$E$10)*($G$10-$F$10))))</f>
        <v>1.1321924557688</v>
      </c>
      <c r="G1030" s="52" t="n">
        <f aca="false">IF($G$11=$E$11,$F$11,IF(U1030&lt;($F$11-$E$11)/($G$11-$E$11),$E$11+SQRT(U1030*($G$11-$E$11)*($F$11-$E$11)),$G$11-SQRT((1-U1030)*($G$11-$E$11)*($G$11-$F$11))))</f>
        <v>0.0954082351648524</v>
      </c>
      <c r="H1030" s="53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-2264384911.53761</v>
      </c>
      <c r="I1030" s="53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-26656370.5853146</v>
      </c>
      <c r="J1030" s="53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242439819.757143</v>
      </c>
      <c r="K1030" s="53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568145632.888041</v>
      </c>
      <c r="L1030" s="53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687222669.108776</v>
      </c>
      <c r="M1030" s="53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848803352.694982</v>
      </c>
      <c r="N1030" s="53" t="n">
        <f aca="false">IF(COUNT('Business Case'!B11:G11)=0,"",H1030+NPV(G1030,I1030:M1030))</f>
        <v>-638944439.412123</v>
      </c>
      <c r="P1030" s="54" t="n">
        <f aca="true">RAND()</f>
        <v>0.991955746736499</v>
      </c>
      <c r="Q1030" s="54" t="n">
        <f aca="true">RAND()</f>
        <v>0.0990236560390182</v>
      </c>
      <c r="R1030" s="54" t="n">
        <f aca="true">RAND()</f>
        <v>0.605563016260984</v>
      </c>
      <c r="S1030" s="54" t="n">
        <f aca="true">RAND()</f>
        <v>0.217504673512463</v>
      </c>
      <c r="T1030" s="54" t="n">
        <f aca="true">RAND()</f>
        <v>0.814951766962862</v>
      </c>
      <c r="U1030" s="54" t="n">
        <f aca="true">RAND()</f>
        <v>0.237413710895394</v>
      </c>
    </row>
    <row r="1031" customFormat="false" ht="15" hidden="false" customHeight="false" outlineLevel="0" collapsed="false">
      <c r="A1031" s="50" t="n">
        <v>951</v>
      </c>
      <c r="B1031" s="51" t="n">
        <f aca="false">1+IF($G$6=$E$6,$F$6,IF(P1031&lt;($F$6-$E$6)/($G$6-$E$6),$E$6+SQRT(P1031*($G$6-$E$6)*($F$6-$E$6)),$G$6-SQRT((1-P1031)*($G$6-$E$6)*($G$6-$F$6))))</f>
        <v>0.997388052454884</v>
      </c>
      <c r="C1031" s="51" t="n">
        <f aca="false">1+IF($G$7=$E$7,$F$7,IF(Q1031&lt;($F$7-$E$7)/($G$7-$E$7),$E$7+SQRT(Q1031*($G$7-$E$7)*($F$7-$E$7)),$G$7-SQRT((1-Q1031)*($G$7-$E$7)*($G$7-$F$7))))</f>
        <v>0.948867713366587</v>
      </c>
      <c r="D1031" s="51" t="n">
        <f aca="false">1+IF($G$8=$E$8,$F$8,IF(R1031&lt;($F$8-$E$8)/($G$8-$E$8),$E$8+SQRT(R1031*($G$8-$E$8)*($F$8-$E$8)),$G$8-SQRT((1-R1031)*($G$8-$E$8)*($G$8-$F$8))))</f>
        <v>1.03558681187039</v>
      </c>
      <c r="E1031" s="51" t="n">
        <f aca="false">1+IF($G$9=$E$9,$F$9,IF(S1031&lt;($F$9-$E$9)/($G$9-$E$9),$E$9+SQRT(S1031*($G$9-$E$9)*($F$9-$E$9)),$G$9-SQRT((1-S1031)*($G$9-$E$9)*($G$9-$F$9))))</f>
        <v>0.996120314402326</v>
      </c>
      <c r="F1031" s="51" t="n">
        <f aca="false">1+IF($G$10=$E$10,$F$10,IF(T1031&lt;($F$10-$E$10)/($G$10-$E$10),$E$10+SQRT(T1031*($G$10-$E$10)*($F$10-$E$10)),$G$10-SQRT((1-T1031)*($G$10-$E$10)*($G$10-$F$10))))</f>
        <v>1.00976193174797</v>
      </c>
      <c r="G1031" s="52" t="n">
        <f aca="false">IF($G$11=$E$11,$F$11,IF(U1031&lt;($F$11-$E$11)/($G$11-$E$11),$E$11+SQRT(U1031*($G$11-$E$11)*($F$11-$E$11)),$G$11-SQRT((1-U1031)*($G$11-$E$11)*($G$11-$F$11))))</f>
        <v>0.109722164528924</v>
      </c>
      <c r="H1031" s="53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-2019523863.49594</v>
      </c>
      <c r="I1031" s="53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-19554783.5818484</v>
      </c>
      <c r="J1031" s="53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252575757.102748</v>
      </c>
      <c r="K1031" s="53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575194394.374744</v>
      </c>
      <c r="L1031" s="53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698611789.525367</v>
      </c>
      <c r="M1031" s="53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878501471.598705</v>
      </c>
      <c r="N1031" s="53" t="n">
        <f aca="false">IF(COUNT('Business Case'!B11:G11)=0,"",H1031+NPV(G1031,I1031:M1031))</f>
        <v>-428494134.498303</v>
      </c>
      <c r="P1031" s="54" t="n">
        <f aca="true">RAND()</f>
        <v>0.632295517397018</v>
      </c>
      <c r="Q1031" s="54" t="n">
        <f aca="true">RAND()</f>
        <v>0.458778805602323</v>
      </c>
      <c r="R1031" s="54" t="n">
        <f aca="true">RAND()</f>
        <v>0.723396079665286</v>
      </c>
      <c r="S1031" s="54" t="n">
        <f aca="true">RAND()</f>
        <v>0.369564593632082</v>
      </c>
      <c r="T1031" s="54" t="n">
        <f aca="true">RAND()</f>
        <v>0.230475607500431</v>
      </c>
      <c r="U1031" s="54" t="n">
        <f aca="true">RAND()</f>
        <v>0.725872925738639</v>
      </c>
    </row>
    <row r="1032" customFormat="false" ht="15" hidden="false" customHeight="false" outlineLevel="0" collapsed="false">
      <c r="A1032" s="50" t="n">
        <v>952</v>
      </c>
      <c r="B1032" s="51" t="n">
        <f aca="false">1+IF($G$6=$E$6,$F$6,IF(P1032&lt;($F$6-$E$6)/($G$6-$E$6),$E$6+SQRT(P1032*($G$6-$E$6)*($F$6-$E$6)),$G$6-SQRT((1-P1032)*($G$6-$E$6)*($G$6-$F$6))))</f>
        <v>0.964703920839223</v>
      </c>
      <c r="C1032" s="51" t="n">
        <f aca="false">1+IF($G$7=$E$7,$F$7,IF(Q1032&lt;($F$7-$E$7)/($G$7-$E$7),$E$7+SQRT(Q1032*($G$7-$E$7)*($F$7-$E$7)),$G$7-SQRT((1-Q1032)*($G$7-$E$7)*($G$7-$F$7))))</f>
        <v>1.0976460346219</v>
      </c>
      <c r="D1032" s="51" t="n">
        <f aca="false">1+IF($G$8=$E$8,$F$8,IF(R1032&lt;($F$8-$E$8)/($G$8-$E$8),$E$8+SQRT(R1032*($G$8-$E$8)*($F$8-$E$8)),$G$8-SQRT((1-R1032)*($G$8-$E$8)*($G$8-$F$8))))</f>
        <v>0.978164583895316</v>
      </c>
      <c r="E1032" s="51" t="n">
        <f aca="false">1+IF($G$9=$E$9,$F$9,IF(S1032&lt;($F$9-$E$9)/($G$9-$E$9),$E$9+SQRT(S1032*($G$9-$E$9)*($F$9-$E$9)),$G$9-SQRT((1-S1032)*($G$9-$E$9)*($G$9-$F$9))))</f>
        <v>0.996695111288455</v>
      </c>
      <c r="F1032" s="51" t="n">
        <f aca="false">1+IF($G$10=$E$10,$F$10,IF(T1032&lt;($F$10-$E$10)/($G$10-$E$10),$E$10+SQRT(T1032*($G$10-$E$10)*($F$10-$E$10)),$G$10-SQRT((1-T1032)*($G$10-$E$10)*($G$10-$F$10))))</f>
        <v>1.07631924254062</v>
      </c>
      <c r="G1032" s="52" t="n">
        <f aca="false">IF($G$11=$E$11,$F$11,IF(U1032&lt;($F$11-$E$11)/($G$11-$E$11),$E$11+SQRT(U1032*($G$11-$E$11)*($F$11-$E$11)),$G$11-SQRT((1-U1032)*($G$11-$E$11)*($G$11-$F$11))))</f>
        <v>0.0997620322991013</v>
      </c>
      <c r="H1032" s="53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-2152638485.08125</v>
      </c>
      <c r="I1032" s="53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13425144.050617</v>
      </c>
      <c r="J1032" s="53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331105811.162443</v>
      </c>
      <c r="K1032" s="53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702602440.401301</v>
      </c>
      <c r="L1032" s="53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845091698.759862</v>
      </c>
      <c r="M1032" s="53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1046368063.36027</v>
      </c>
      <c r="N1032" s="53" t="n">
        <f aca="false">IF(COUNT('Business Case'!B11:G11)=0,"",H1032+NPV(G1032,I1032:M1032))</f>
        <v>-110328987.881232</v>
      </c>
      <c r="P1032" s="54" t="n">
        <f aca="true">RAND()</f>
        <v>0.279106491464566</v>
      </c>
      <c r="Q1032" s="54" t="n">
        <f aca="true">RAND()</f>
        <v>0.959393515691683</v>
      </c>
      <c r="R1032" s="54" t="n">
        <f aca="true">RAND()</f>
        <v>0.105765838132841</v>
      </c>
      <c r="S1032" s="54" t="n">
        <f aca="true">RAND()</f>
        <v>0.373997781883467</v>
      </c>
      <c r="T1032" s="54" t="n">
        <f aca="true">RAND()</f>
        <v>0.597799926511168</v>
      </c>
      <c r="U1032" s="54" t="n">
        <f aca="true">RAND()</f>
        <v>0.390537920590724</v>
      </c>
    </row>
    <row r="1033" customFormat="false" ht="15" hidden="false" customHeight="false" outlineLevel="0" collapsed="false">
      <c r="A1033" s="50" t="n">
        <v>953</v>
      </c>
      <c r="B1033" s="51" t="n">
        <f aca="false">1+IF($G$6=$E$6,$F$6,IF(P1033&lt;($F$6-$E$6)/($G$6-$E$6),$E$6+SQRT(P1033*($G$6-$E$6)*($F$6-$E$6)),$G$6-SQRT((1-P1033)*($G$6-$E$6)*($G$6-$F$6))))</f>
        <v>1.01591465640281</v>
      </c>
      <c r="C1033" s="51" t="n">
        <f aca="false">1+IF($G$7=$E$7,$F$7,IF(Q1033&lt;($F$7-$E$7)/($G$7-$E$7),$E$7+SQRT(Q1033*($G$7-$E$7)*($F$7-$E$7)),$G$7-SQRT((1-Q1033)*($G$7-$E$7)*($G$7-$F$7))))</f>
        <v>1.03748425418108</v>
      </c>
      <c r="D1033" s="51" t="n">
        <f aca="false">1+IF($G$8=$E$8,$F$8,IF(R1033&lt;($F$8-$E$8)/($G$8-$E$8),$E$8+SQRT(R1033*($G$8-$E$8)*($F$8-$E$8)),$G$8-SQRT((1-R1033)*($G$8-$E$8)*($G$8-$F$8))))</f>
        <v>1.00809931598198</v>
      </c>
      <c r="E1033" s="51" t="n">
        <f aca="false">1+IF($G$9=$E$9,$F$9,IF(S1033&lt;($F$9-$E$9)/($G$9-$E$9),$E$9+SQRT(S1033*($G$9-$E$9)*($F$9-$E$9)),$G$9-SQRT((1-S1033)*($G$9-$E$9)*($G$9-$F$9))))</f>
        <v>1.05239512291123</v>
      </c>
      <c r="F1033" s="51" t="n">
        <f aca="false">1+IF($G$10=$E$10,$F$10,IF(T1033&lt;($F$10-$E$10)/($G$10-$E$10),$E$10+SQRT(T1033*($G$10-$E$10)*($F$10-$E$10)),$G$10-SQRT((1-T1033)*($G$10-$E$10)*($G$10-$F$10))))</f>
        <v>1.10429105651728</v>
      </c>
      <c r="G1033" s="52" t="n">
        <f aca="false">IF($G$11=$E$11,$F$11,IF(U1033&lt;($F$11-$E$11)/($G$11-$E$11),$E$11+SQRT(U1033*($G$11-$E$11)*($F$11-$E$11)),$G$11-SQRT((1-U1033)*($G$11-$E$11)*($G$11-$F$11))))</f>
        <v>0.113409909856481</v>
      </c>
      <c r="H1033" s="53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-2208582113.03456</v>
      </c>
      <c r="I1033" s="53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13168793.8161243</v>
      </c>
      <c r="J1033" s="53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341056404.38812</v>
      </c>
      <c r="K1033" s="53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724158567.78598</v>
      </c>
      <c r="L1033" s="53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869880521.060756</v>
      </c>
      <c r="M1033" s="53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1070223978.02337</v>
      </c>
      <c r="N1033" s="53" t="n">
        <f aca="false">IF(COUNT('Business Case'!B11:G11)=0,"",H1033+NPV(G1033,I1033:M1033))</f>
        <v>-205500678.806359</v>
      </c>
      <c r="P1033" s="54" t="n">
        <f aca="true">RAND()</f>
        <v>0.845091913581513</v>
      </c>
      <c r="Q1033" s="54" t="n">
        <f aca="true">RAND()</f>
        <v>0.8124475102639</v>
      </c>
      <c r="R1033" s="54" t="n">
        <f aca="true">RAND()</f>
        <v>0.436950951801365</v>
      </c>
      <c r="S1033" s="54" t="n">
        <f aca="true">RAND()</f>
        <v>0.745954345826289</v>
      </c>
      <c r="T1033" s="54" t="n">
        <f aca="true">RAND()</f>
        <v>0.716918717188663</v>
      </c>
      <c r="U1033" s="54" t="n">
        <f aca="true">RAND()</f>
        <v>0.816512606019941</v>
      </c>
    </row>
    <row r="1034" customFormat="false" ht="15" hidden="false" customHeight="false" outlineLevel="0" collapsed="false">
      <c r="A1034" s="50" t="n">
        <v>954</v>
      </c>
      <c r="B1034" s="51" t="n">
        <f aca="false">1+IF($G$6=$E$6,$F$6,IF(P1034&lt;($F$6-$E$6)/($G$6-$E$6),$E$6+SQRT(P1034*($G$6-$E$6)*($F$6-$E$6)),$G$6-SQRT((1-P1034)*($G$6-$E$6)*($G$6-$F$6))))</f>
        <v>1.02498427431562</v>
      </c>
      <c r="C1034" s="51" t="n">
        <f aca="false">1+IF($G$7=$E$7,$F$7,IF(Q1034&lt;($F$7-$E$7)/($G$7-$E$7),$E$7+SQRT(Q1034*($G$7-$E$7)*($F$7-$E$7)),$G$7-SQRT((1-Q1034)*($G$7-$E$7)*($G$7-$F$7))))</f>
        <v>0.844655254662899</v>
      </c>
      <c r="D1034" s="51" t="n">
        <f aca="false">1+IF($G$8=$E$8,$F$8,IF(R1034&lt;($F$8-$E$8)/($G$8-$E$8),$E$8+SQRT(R1034*($G$8-$E$8)*($F$8-$E$8)),$G$8-SQRT((1-R1034)*($G$8-$E$8)*($G$8-$F$8))))</f>
        <v>1.04340290945742</v>
      </c>
      <c r="E1034" s="51" t="n">
        <f aca="false">1+IF($G$9=$E$9,$F$9,IF(S1034&lt;($F$9-$E$9)/($G$9-$E$9),$E$9+SQRT(S1034*($G$9-$E$9)*($F$9-$E$9)),$G$9-SQRT((1-S1034)*($G$9-$E$9)*($G$9-$F$9))))</f>
        <v>1.00574447509821</v>
      </c>
      <c r="F1034" s="51" t="n">
        <f aca="false">1+IF($G$10=$E$10,$F$10,IF(T1034&lt;($F$10-$E$10)/($G$10-$E$10),$E$10+SQRT(T1034*($G$10-$E$10)*($F$10-$E$10)),$G$10-SQRT((1-T1034)*($G$10-$E$10)*($G$10-$F$10))))</f>
        <v>1.00975647093918</v>
      </c>
      <c r="G1034" s="52" t="n">
        <f aca="false">IF($G$11=$E$11,$F$11,IF(U1034&lt;($F$11-$E$11)/($G$11-$E$11),$E$11+SQRT(U1034*($G$11-$E$11)*($F$11-$E$11)),$G$11-SQRT((1-U1034)*($G$11-$E$11)*($G$11-$F$11))))</f>
        <v>0.101001860915295</v>
      </c>
      <c r="H1034" s="53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-2019512941.87837</v>
      </c>
      <c r="I1034" s="53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-30918157.4183922</v>
      </c>
      <c r="J1034" s="53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227037109.648451</v>
      </c>
      <c r="K1034" s="53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535480200.262254</v>
      </c>
      <c r="L1034" s="53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651385897.972769</v>
      </c>
      <c r="M1034" s="53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815949245.758058</v>
      </c>
      <c r="N1034" s="53" t="n">
        <f aca="false">IF(COUNT('Business Case'!B11:G11)=0,"",H1034+NPV(G1034,I1034:M1034))</f>
        <v>-511457641.8862</v>
      </c>
      <c r="P1034" s="54" t="n">
        <f aca="true">RAND()</f>
        <v>0.916561795797827</v>
      </c>
      <c r="Q1034" s="54" t="n">
        <f aca="true">RAND()</f>
        <v>0.1550010570488</v>
      </c>
      <c r="R1034" s="54" t="n">
        <f aca="true">RAND()</f>
        <v>0.786451289474339</v>
      </c>
      <c r="S1034" s="54" t="n">
        <f aca="true">RAND()</f>
        <v>0.445075827608246</v>
      </c>
      <c r="T1034" s="54" t="n">
        <f aca="true">RAND()</f>
        <v>0.230440623258724</v>
      </c>
      <c r="U1034" s="54" t="n">
        <f aca="true">RAND()</f>
        <v>0.439405286416053</v>
      </c>
    </row>
    <row r="1035" customFormat="false" ht="15" hidden="false" customHeight="false" outlineLevel="0" collapsed="false">
      <c r="A1035" s="50" t="n">
        <v>955</v>
      </c>
      <c r="B1035" s="51" t="n">
        <f aca="false">1+IF($G$6=$E$6,$F$6,IF(P1035&lt;($F$6-$E$6)/($G$6-$E$6),$E$6+SQRT(P1035*($G$6-$E$6)*($F$6-$E$6)),$G$6-SQRT((1-P1035)*($G$6-$E$6)*($G$6-$F$6))))</f>
        <v>1.00487655161872</v>
      </c>
      <c r="C1035" s="51" t="n">
        <f aca="false">1+IF($G$7=$E$7,$F$7,IF(Q1035&lt;($F$7-$E$7)/($G$7-$E$7),$E$7+SQRT(Q1035*($G$7-$E$7)*($F$7-$E$7)),$G$7-SQRT((1-Q1035)*($G$7-$E$7)*($G$7-$F$7))))</f>
        <v>0.973090229151595</v>
      </c>
      <c r="D1035" s="51" t="n">
        <f aca="false">1+IF($G$8=$E$8,$F$8,IF(R1035&lt;($F$8-$E$8)/($G$8-$E$8),$E$8+SQRT(R1035*($G$8-$E$8)*($F$8-$E$8)),$G$8-SQRT((1-R1035)*($G$8-$E$8)*($G$8-$F$8))))</f>
        <v>0.978743919119881</v>
      </c>
      <c r="E1035" s="51" t="n">
        <f aca="false">1+IF($G$9=$E$9,$F$9,IF(S1035&lt;($F$9-$E$9)/($G$9-$E$9),$E$9+SQRT(S1035*($G$9-$E$9)*($F$9-$E$9)),$G$9-SQRT((1-S1035)*($G$9-$E$9)*($G$9-$F$9))))</f>
        <v>0.95799353494788</v>
      </c>
      <c r="F1035" s="51" t="n">
        <f aca="false">1+IF($G$10=$E$10,$F$10,IF(T1035&lt;($F$10-$E$10)/($G$10-$E$10),$E$10+SQRT(T1035*($G$10-$E$10)*($F$10-$E$10)),$G$10-SQRT((1-T1035)*($G$10-$E$10)*($G$10-$F$10))))</f>
        <v>1.05231118306212</v>
      </c>
      <c r="G1035" s="52" t="n">
        <f aca="false">IF($G$11=$E$11,$F$11,IF(U1035&lt;($F$11-$E$11)/($G$11-$E$11),$E$11+SQRT(U1035*($G$11-$E$11)*($F$11-$E$11)),$G$11-SQRT((1-U1035)*($G$11-$E$11)*($G$11-$F$11))))</f>
        <v>0.0852540480074842</v>
      </c>
      <c r="H1035" s="53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-2104622366.12424</v>
      </c>
      <c r="I1035" s="53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21213175.1900882</v>
      </c>
      <c r="J1035" s="53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334575144.469309</v>
      </c>
      <c r="K1035" s="53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700552672.901636</v>
      </c>
      <c r="L1035" s="53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838800659.403598</v>
      </c>
      <c r="M1035" s="53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1024667641.48582</v>
      </c>
      <c r="N1035" s="53" t="n">
        <f aca="false">IF(COUNT('Business Case'!B11:G11)=0,"",H1035+NPV(G1035,I1035:M1035))</f>
        <v>32424964.2733347</v>
      </c>
      <c r="P1035" s="54" t="n">
        <f aca="true">RAND()</f>
        <v>0.728516587490935</v>
      </c>
      <c r="Q1035" s="54" t="n">
        <f aca="true">RAND()</f>
        <v>0.552431653763484</v>
      </c>
      <c r="R1035" s="54" t="n">
        <f aca="true">RAND()</f>
        <v>0.110161718182697</v>
      </c>
      <c r="S1035" s="54" t="n">
        <f aca="true">RAND()</f>
        <v>0.134530003830039</v>
      </c>
      <c r="T1035" s="54" t="n">
        <f aca="true">RAND()</f>
        <v>0.478921755436022</v>
      </c>
      <c r="U1035" s="54" t="n">
        <f aca="true">RAND()</f>
        <v>0.0276050204649489</v>
      </c>
    </row>
    <row r="1036" customFormat="false" ht="15" hidden="false" customHeight="false" outlineLevel="0" collapsed="false">
      <c r="A1036" s="50" t="n">
        <v>956</v>
      </c>
      <c r="B1036" s="51" t="n">
        <f aca="false">1+IF($G$6=$E$6,$F$6,IF(P1036&lt;($F$6-$E$6)/($G$6-$E$6),$E$6+SQRT(P1036*($G$6-$E$6)*($F$6-$E$6)),$G$6-SQRT((1-P1036)*($G$6-$E$6)*($G$6-$F$6))))</f>
        <v>0.952759868075384</v>
      </c>
      <c r="C1036" s="51" t="n">
        <f aca="false">1+IF($G$7=$E$7,$F$7,IF(Q1036&lt;($F$7-$E$7)/($G$7-$E$7),$E$7+SQRT(Q1036*($G$7-$E$7)*($F$7-$E$7)),$G$7-SQRT((1-Q1036)*($G$7-$E$7)*($G$7-$F$7))))</f>
        <v>1.04606039038658</v>
      </c>
      <c r="D1036" s="51" t="n">
        <f aca="false">1+IF($G$8=$E$8,$F$8,IF(R1036&lt;($F$8-$E$8)/($G$8-$E$8),$E$8+SQRT(R1036*($G$8-$E$8)*($F$8-$E$8)),$G$8-SQRT((1-R1036)*($G$8-$E$8)*($G$8-$F$8))))</f>
        <v>0.991036816697015</v>
      </c>
      <c r="E1036" s="51" t="n">
        <f aca="false">1+IF($G$9=$E$9,$F$9,IF(S1036&lt;($F$9-$E$9)/($G$9-$E$9),$E$9+SQRT(S1036*($G$9-$E$9)*($F$9-$E$9)),$G$9-SQRT((1-S1036)*($G$9-$E$9)*($G$9-$F$9))))</f>
        <v>1.05298016753071</v>
      </c>
      <c r="F1036" s="51" t="n">
        <f aca="false">1+IF($G$10=$E$10,$F$10,IF(T1036&lt;($F$10-$E$10)/($G$10-$E$10),$E$10+SQRT(T1036*($G$10-$E$10)*($F$10-$E$10)),$G$10-SQRT((1-T1036)*($G$10-$E$10)*($G$10-$F$10))))</f>
        <v>1.08284379897508</v>
      </c>
      <c r="G1036" s="52" t="n">
        <f aca="false">IF($G$11=$E$11,$F$11,IF(U1036&lt;($F$11-$E$11)/($G$11-$E$11),$E$11+SQRT(U1036*($G$11-$E$11)*($F$11-$E$11)),$G$11-SQRT((1-U1036)*($G$11-$E$11)*($G$11-$F$11))))</f>
        <v>0.114924618212992</v>
      </c>
      <c r="H1036" s="53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-2165687597.95016</v>
      </c>
      <c r="I1036" s="53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-24060171.7033848</v>
      </c>
      <c r="J1036" s="53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261563859.912345</v>
      </c>
      <c r="K1036" s="53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601330081.476829</v>
      </c>
      <c r="L1036" s="53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730982121.081233</v>
      </c>
      <c r="M1036" s="53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920424280.94328</v>
      </c>
      <c r="N1036" s="53" t="n">
        <f aca="false">IF(COUNT('Business Case'!B11:G11)=0,"",H1036+NPV(G1036,I1036:M1036))</f>
        <v>-535622086.539045</v>
      </c>
      <c r="P1036" s="54" t="n">
        <f aca="true">RAND()</f>
        <v>0.185573578622125</v>
      </c>
      <c r="Q1036" s="54" t="n">
        <f aca="true">RAND()</f>
        <v>0.839949000791244</v>
      </c>
      <c r="R1036" s="54" t="n">
        <f aca="true">RAND()</f>
        <v>0.22453604328325</v>
      </c>
      <c r="S1036" s="54" t="n">
        <f aca="true">RAND()</f>
        <v>0.748990722870164</v>
      </c>
      <c r="T1036" s="54" t="n">
        <f aca="true">RAND()</f>
        <v>0.627450726118883</v>
      </c>
      <c r="U1036" s="54" t="n">
        <f aca="true">RAND()</f>
        <v>0.848488575983962</v>
      </c>
    </row>
    <row r="1037" customFormat="false" ht="15" hidden="false" customHeight="false" outlineLevel="0" collapsed="false">
      <c r="A1037" s="50" t="n">
        <v>957</v>
      </c>
      <c r="B1037" s="51" t="n">
        <f aca="false">1+IF($G$6=$E$6,$F$6,IF(P1037&lt;($F$6-$E$6)/($G$6-$E$6),$E$6+SQRT(P1037*($G$6-$E$6)*($F$6-$E$6)),$G$6-SQRT((1-P1037)*($G$6-$E$6)*($G$6-$F$6))))</f>
        <v>0.944839394247227</v>
      </c>
      <c r="C1037" s="51" t="n">
        <f aca="false">1+IF($G$7=$E$7,$F$7,IF(Q1037&lt;($F$7-$E$7)/($G$7-$E$7),$E$7+SQRT(Q1037*($G$7-$E$7)*($F$7-$E$7)),$G$7-SQRT((1-Q1037)*($G$7-$E$7)*($G$7-$F$7))))</f>
        <v>0.950087293472792</v>
      </c>
      <c r="D1037" s="51" t="n">
        <f aca="false">1+IF($G$8=$E$8,$F$8,IF(R1037&lt;($F$8-$E$8)/($G$8-$E$8),$E$8+SQRT(R1037*($G$8-$E$8)*($F$8-$E$8)),$G$8-SQRT((1-R1037)*($G$8-$E$8)*($G$8-$F$8))))</f>
        <v>1.08793359832435</v>
      </c>
      <c r="E1037" s="51" t="n">
        <f aca="false">1+IF($G$9=$E$9,$F$9,IF(S1037&lt;($F$9-$E$9)/($G$9-$E$9),$E$9+SQRT(S1037*($G$9-$E$9)*($F$9-$E$9)),$G$9-SQRT((1-S1037)*($G$9-$E$9)*($G$9-$F$9))))</f>
        <v>0.960615627111965</v>
      </c>
      <c r="F1037" s="51" t="n">
        <f aca="false">1+IF($G$10=$E$10,$F$10,IF(T1037&lt;($F$10-$E$10)/($G$10-$E$10),$E$10+SQRT(T1037*($G$10-$E$10)*($F$10-$E$10)),$G$10-SQRT((1-T1037)*($G$10-$E$10)*($G$10-$F$10))))</f>
        <v>1.00652694785649</v>
      </c>
      <c r="G1037" s="52" t="n">
        <f aca="false">IF($G$11=$E$11,$F$11,IF(U1037&lt;($F$11-$E$11)/($G$11-$E$11),$E$11+SQRT(U1037*($G$11-$E$11)*($F$11-$E$11)),$G$11-SQRT((1-U1037)*($G$11-$E$11)*($G$11-$F$11))))</f>
        <v>0.116478629421312</v>
      </c>
      <c r="H1037" s="53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-2013053895.71299</v>
      </c>
      <c r="I1037" s="53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-77660325.7989374</v>
      </c>
      <c r="J1037" s="53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128467311.526675</v>
      </c>
      <c r="K1037" s="53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384921296.245112</v>
      </c>
      <c r="L1037" s="53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484654326.129369</v>
      </c>
      <c r="M1037" s="53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655285322.062493</v>
      </c>
      <c r="N1037" s="53" t="n">
        <f aca="false">IF(COUNT('Business Case'!B11:G11)=0,"",H1037+NPV(G1037,I1037:M1037))</f>
        <v>-1013333712.17362</v>
      </c>
      <c r="P1037" s="54" t="n">
        <f aca="true">RAND()</f>
        <v>0.134038085097217</v>
      </c>
      <c r="Q1037" s="54" t="n">
        <f aca="true">RAND()</f>
        <v>0.46328632856701</v>
      </c>
      <c r="R1037" s="54" t="n">
        <f aca="true">RAND()</f>
        <v>0.990293463373462</v>
      </c>
      <c r="S1037" s="54" t="n">
        <f aca="true">RAND()</f>
        <v>0.14697017000707</v>
      </c>
      <c r="T1037" s="54" t="n">
        <f aca="true">RAND()</f>
        <v>0.209611638399002</v>
      </c>
      <c r="U1037" s="54" t="n">
        <f aca="true">RAND()</f>
        <v>0.878115025115857</v>
      </c>
    </row>
    <row r="1038" customFormat="false" ht="15" hidden="false" customHeight="false" outlineLevel="0" collapsed="false">
      <c r="A1038" s="50" t="n">
        <v>958</v>
      </c>
      <c r="B1038" s="51" t="n">
        <f aca="false">1+IF($G$6=$E$6,$F$6,IF(P1038&lt;($F$6-$E$6)/($G$6-$E$6),$E$6+SQRT(P1038*($G$6-$E$6)*($F$6-$E$6)),$G$6-SQRT((1-P1038)*($G$6-$E$6)*($G$6-$F$6))))</f>
        <v>0.977954832350833</v>
      </c>
      <c r="C1038" s="51" t="n">
        <f aca="false">1+IF($G$7=$E$7,$F$7,IF(Q1038&lt;($F$7-$E$7)/($G$7-$E$7),$E$7+SQRT(Q1038*($G$7-$E$7)*($F$7-$E$7)),$G$7-SQRT((1-Q1038)*($G$7-$E$7)*($G$7-$F$7))))</f>
        <v>0.965304438789208</v>
      </c>
      <c r="D1038" s="51" t="n">
        <f aca="false">1+IF($G$8=$E$8,$F$8,IF(R1038&lt;($F$8-$E$8)/($G$8-$E$8),$E$8+SQRT(R1038*($G$8-$E$8)*($F$8-$E$8)),$G$8-SQRT((1-R1038)*($G$8-$E$8)*($G$8-$F$8))))</f>
        <v>0.979520398654035</v>
      </c>
      <c r="E1038" s="51" t="n">
        <f aca="false">1+IF($G$9=$E$9,$F$9,IF(S1038&lt;($F$9-$E$9)/($G$9-$E$9),$E$9+SQRT(S1038*($G$9-$E$9)*($F$9-$E$9)),$G$9-SQRT((1-S1038)*($G$9-$E$9)*($G$9-$F$9))))</f>
        <v>0.976916959604196</v>
      </c>
      <c r="F1038" s="51" t="n">
        <f aca="false">1+IF($G$10=$E$10,$F$10,IF(T1038&lt;($F$10-$E$10)/($G$10-$E$10),$E$10+SQRT(T1038*($G$10-$E$10)*($F$10-$E$10)),$G$10-SQRT((1-T1038)*($G$10-$E$10)*($G$10-$F$10))))</f>
        <v>1.08025733140119</v>
      </c>
      <c r="G1038" s="52" t="n">
        <f aca="false">IF($G$11=$E$11,$F$11,IF(U1038&lt;($F$11-$E$11)/($G$11-$E$11),$E$11+SQRT(U1038*($G$11-$E$11)*($F$11-$E$11)),$G$11-SQRT((1-U1038)*($G$11-$E$11)*($G$11-$F$11))))</f>
        <v>0.0828929074161907</v>
      </c>
      <c r="H1038" s="53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-2160514662.80238</v>
      </c>
      <c r="I1038" s="53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-6696271.53826733</v>
      </c>
      <c r="J1038" s="53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282488993.168192</v>
      </c>
      <c r="K1038" s="53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625687124.444711</v>
      </c>
      <c r="L1038" s="53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754707686.979458</v>
      </c>
      <c r="M1038" s="53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934147795.625393</v>
      </c>
      <c r="N1038" s="53" t="n">
        <f aca="false">IF(COUNT('Business Case'!B11:G11)=0,"",H1038+NPV(G1038,I1038:M1038))</f>
        <v>-256934239.340499</v>
      </c>
      <c r="P1038" s="54" t="n">
        <f aca="true">RAND()</f>
        <v>0.405130392456431</v>
      </c>
      <c r="Q1038" s="54" t="n">
        <f aca="true">RAND()</f>
        <v>0.521381075861161</v>
      </c>
      <c r="R1038" s="54" t="n">
        <f aca="true">RAND()</f>
        <v>0.116193858225752</v>
      </c>
      <c r="S1038" s="54" t="n">
        <f aca="true">RAND()</f>
        <v>0.23664874699014</v>
      </c>
      <c r="T1038" s="54" t="n">
        <f aca="true">RAND()</f>
        <v>0.615832352759386</v>
      </c>
      <c r="U1038" s="54" t="n">
        <f aca="true">RAND()</f>
        <v>0.00836891331865114</v>
      </c>
    </row>
    <row r="1039" customFormat="false" ht="15" hidden="false" customHeight="false" outlineLevel="0" collapsed="false">
      <c r="A1039" s="50" t="n">
        <v>959</v>
      </c>
      <c r="B1039" s="51" t="n">
        <f aca="false">1+IF($G$6=$E$6,$F$6,IF(P1039&lt;($F$6-$E$6)/($G$6-$E$6),$E$6+SQRT(P1039*($G$6-$E$6)*($F$6-$E$6)),$G$6-SQRT((1-P1039)*($G$6-$E$6)*($G$6-$F$6))))</f>
        <v>1.01620310563133</v>
      </c>
      <c r="C1039" s="51" t="n">
        <f aca="false">1+IF($G$7=$E$7,$F$7,IF(Q1039&lt;($F$7-$E$7)/($G$7-$E$7),$E$7+SQRT(Q1039*($G$7-$E$7)*($F$7-$E$7)),$G$7-SQRT((1-Q1039)*($G$7-$E$7)*($G$7-$F$7))))</f>
        <v>0.949734302303157</v>
      </c>
      <c r="D1039" s="51" t="n">
        <f aca="false">1+IF($G$8=$E$8,$F$8,IF(R1039&lt;($F$8-$E$8)/($G$8-$E$8),$E$8+SQRT(R1039*($G$8-$E$8)*($F$8-$E$8)),$G$8-SQRT((1-R1039)*($G$8-$E$8)*($G$8-$F$8))))</f>
        <v>0.96702069307847</v>
      </c>
      <c r="E1039" s="51" t="n">
        <f aca="false">1+IF($G$9=$E$9,$F$9,IF(S1039&lt;($F$9-$E$9)/($G$9-$E$9),$E$9+SQRT(S1039*($G$9-$E$9)*($F$9-$E$9)),$G$9-SQRT((1-S1039)*($G$9-$E$9)*($G$9-$F$9))))</f>
        <v>1.07422278607046</v>
      </c>
      <c r="F1039" s="51" t="n">
        <f aca="false">1+IF($G$10=$E$10,$F$10,IF(T1039&lt;($F$10-$E$10)/($G$10-$E$10),$E$10+SQRT(T1039*($G$10-$E$10)*($F$10-$E$10)),$G$10-SQRT((1-T1039)*($G$10-$E$10)*($G$10-$F$10))))</f>
        <v>0.984981952843735</v>
      </c>
      <c r="G1039" s="52" t="n">
        <f aca="false">IF($G$11=$E$11,$F$11,IF(U1039&lt;($F$11-$E$11)/($G$11-$E$11),$E$11+SQRT(U1039*($G$11-$E$11)*($F$11-$E$11)),$G$11-SQRT((1-U1039)*($G$11-$E$11)*($G$11-$F$11))))</f>
        <v>0.0995314746950443</v>
      </c>
      <c r="H1039" s="53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-1969963905.68747</v>
      </c>
      <c r="I1039" s="53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19066692.5239811</v>
      </c>
      <c r="J1039" s="53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339418034.111254</v>
      </c>
      <c r="K1039" s="53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709018473.340715</v>
      </c>
      <c r="L1039" s="53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849156902.936272</v>
      </c>
      <c r="M1039" s="53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1032607472.80184</v>
      </c>
      <c r="N1039" s="53" t="n">
        <f aca="false">IF(COUNT('Business Case'!B11:G11)=0,"",H1039+NPV(G1039,I1039:M1039))</f>
        <v>85014045.7309039</v>
      </c>
      <c r="P1039" s="54" t="n">
        <f aca="true">RAND()</f>
        <v>0.84770265747104</v>
      </c>
      <c r="Q1039" s="54" t="n">
        <f aca="true">RAND()</f>
        <v>0.461979420346996</v>
      </c>
      <c r="R1039" s="54" t="n">
        <f aca="true">RAND()</f>
        <v>0.0386271990495302</v>
      </c>
      <c r="S1039" s="54" t="n">
        <f aca="true">RAND()</f>
        <v>0.846875035975373</v>
      </c>
      <c r="T1039" s="54" t="n">
        <f aca="true">RAND()</f>
        <v>0.0815824683174183</v>
      </c>
      <c r="U1039" s="54" t="n">
        <f aca="true">RAND()</f>
        <v>0.381478503763154</v>
      </c>
    </row>
    <row r="1040" customFormat="false" ht="15" hidden="false" customHeight="false" outlineLevel="0" collapsed="false">
      <c r="A1040" s="50" t="n">
        <v>960</v>
      </c>
      <c r="B1040" s="51" t="n">
        <f aca="false">1+IF($G$6=$E$6,$F$6,IF(P1040&lt;($F$6-$E$6)/($G$6-$E$6),$E$6+SQRT(P1040*($G$6-$E$6)*($F$6-$E$6)),$G$6-SQRT((1-P1040)*($G$6-$E$6)*($G$6-$F$6))))</f>
        <v>0.967651813587317</v>
      </c>
      <c r="C1040" s="51" t="n">
        <f aca="false">1+IF($G$7=$E$7,$F$7,IF(Q1040&lt;($F$7-$E$7)/($G$7-$E$7),$E$7+SQRT(Q1040*($G$7-$E$7)*($F$7-$E$7)),$G$7-SQRT((1-Q1040)*($G$7-$E$7)*($G$7-$F$7))))</f>
        <v>1.11100300376477</v>
      </c>
      <c r="D1040" s="51" t="n">
        <f aca="false">1+IF($G$8=$E$8,$F$8,IF(R1040&lt;($F$8-$E$8)/($G$8-$E$8),$E$8+SQRT(R1040*($G$8-$E$8)*($F$8-$E$8)),$G$8-SQRT((1-R1040)*($G$8-$E$8)*($G$8-$F$8))))</f>
        <v>1.00595155324744</v>
      </c>
      <c r="E1040" s="51" t="n">
        <f aca="false">1+IF($G$9=$E$9,$F$9,IF(S1040&lt;($F$9-$E$9)/($G$9-$E$9),$E$9+SQRT(S1040*($G$9-$E$9)*($F$9-$E$9)),$G$9-SQRT((1-S1040)*($G$9-$E$9)*($G$9-$F$9))))</f>
        <v>0.928195304214528</v>
      </c>
      <c r="F1040" s="51" t="n">
        <f aca="false">1+IF($G$10=$E$10,$F$10,IF(T1040&lt;($F$10-$E$10)/($G$10-$E$10),$E$10+SQRT(T1040*($G$10-$E$10)*($F$10-$E$10)),$G$10-SQRT((1-T1040)*($G$10-$E$10)*($G$10-$F$10))))</f>
        <v>0.978008536974973</v>
      </c>
      <c r="G1040" s="52" t="n">
        <f aca="false">IF($G$11=$E$11,$F$11,IF(U1040&lt;($F$11-$E$11)/($G$11-$E$11),$E$11+SQRT(U1040*($G$11-$E$11)*($F$11-$E$11)),$G$11-SQRT((1-U1040)*($G$11-$E$11)*($G$11-$F$11))))</f>
        <v>0.110614426052851</v>
      </c>
      <c r="H1040" s="53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-1956017073.94995</v>
      </c>
      <c r="I1040" s="53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22903759.9419503</v>
      </c>
      <c r="J1040" s="53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331329067.306949</v>
      </c>
      <c r="K1040" s="53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688654801.520697</v>
      </c>
      <c r="L1040" s="53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828617451.61986</v>
      </c>
      <c r="M1040" s="53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1032965630.32943</v>
      </c>
      <c r="N1040" s="53" t="n">
        <f aca="false">IF(COUNT('Business Case'!B11:G11)=0,"",H1040+NPV(G1040,I1040:M1040))</f>
        <v>-8124532.21802664</v>
      </c>
      <c r="P1040" s="54" t="n">
        <f aca="true">RAND()</f>
        <v>0.305117858776873</v>
      </c>
      <c r="Q1040" s="54" t="n">
        <f aca="true">RAND()</f>
        <v>0.977470137550061</v>
      </c>
      <c r="R1040" s="54" t="n">
        <f aca="true">RAND()</f>
        <v>0.410325977562005</v>
      </c>
      <c r="S1040" s="54" t="n">
        <f aca="true">RAND()</f>
        <v>0.0317990071899921</v>
      </c>
      <c r="T1040" s="54" t="n">
        <f aca="true">RAND()</f>
        <v>0.0522985428985599</v>
      </c>
      <c r="U1040" s="54" t="n">
        <f aca="true">RAND()</f>
        <v>0.749466348493081</v>
      </c>
    </row>
    <row r="1041" customFormat="false" ht="15" hidden="false" customHeight="false" outlineLevel="0" collapsed="false">
      <c r="A1041" s="50" t="n">
        <v>961</v>
      </c>
      <c r="B1041" s="51" t="n">
        <f aca="false">1+IF($G$6=$E$6,$F$6,IF(P1041&lt;($F$6-$E$6)/($G$6-$E$6),$E$6+SQRT(P1041*($G$6-$E$6)*($F$6-$E$6)),$G$6-SQRT((1-P1041)*($G$6-$E$6)*($G$6-$F$6))))</f>
        <v>0.984693252365728</v>
      </c>
      <c r="C1041" s="51" t="n">
        <f aca="false">1+IF($G$7=$E$7,$F$7,IF(Q1041&lt;($F$7-$E$7)/($G$7-$E$7),$E$7+SQRT(Q1041*($G$7-$E$7)*($F$7-$E$7)),$G$7-SQRT((1-Q1041)*($G$7-$E$7)*($G$7-$F$7))))</f>
        <v>1.10638604887742</v>
      </c>
      <c r="D1041" s="51" t="n">
        <f aca="false">1+IF($G$8=$E$8,$F$8,IF(R1041&lt;($F$8-$E$8)/($G$8-$E$8),$E$8+SQRT(R1041*($G$8-$E$8)*($F$8-$E$8)),$G$8-SQRT((1-R1041)*($G$8-$E$8)*($G$8-$F$8))))</f>
        <v>1.01775022027811</v>
      </c>
      <c r="E1041" s="51" t="n">
        <f aca="false">1+IF($G$9=$E$9,$F$9,IF(S1041&lt;($F$9-$E$9)/($G$9-$E$9),$E$9+SQRT(S1041*($G$9-$E$9)*($F$9-$E$9)),$G$9-SQRT((1-S1041)*($G$9-$E$9)*($G$9-$F$9))))</f>
        <v>0.99694671939572</v>
      </c>
      <c r="F1041" s="51" t="n">
        <f aca="false">1+IF($G$10=$E$10,$F$10,IF(T1041&lt;($F$10-$E$10)/($G$10-$E$10),$E$10+SQRT(T1041*($G$10-$E$10)*($F$10-$E$10)),$G$10-SQRT((1-T1041)*($G$10-$E$10)*($G$10-$F$10))))</f>
        <v>1.18008135707959</v>
      </c>
      <c r="G1041" s="52" t="n">
        <f aca="false">IF($G$11=$E$11,$F$11,IF(U1041&lt;($F$11-$E$11)/($G$11-$E$11),$E$11+SQRT(U1041*($G$11-$E$11)*($F$11-$E$11)),$G$11-SQRT((1-U1041)*($G$11-$E$11)*($G$11-$F$11))))</f>
        <v>0.120048020025021</v>
      </c>
      <c r="H1041" s="53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-2360162714.15918</v>
      </c>
      <c r="I1041" s="53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-346920.312128723</v>
      </c>
      <c r="J1041" s="53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315557252.037219</v>
      </c>
      <c r="K1041" s="53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690465492.240547</v>
      </c>
      <c r="L1041" s="53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833418305.327294</v>
      </c>
      <c r="M1041" s="53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1040501127.99726</v>
      </c>
      <c r="N1041" s="53" t="n">
        <f aca="false">IF(COUNT('Business Case'!B11:G11)=0,"",H1041+NPV(G1041,I1041:M1041))</f>
        <v>-497693916.102046</v>
      </c>
      <c r="P1041" s="54" t="n">
        <f aca="true">RAND()</f>
        <v>0.478196466418994</v>
      </c>
      <c r="Q1041" s="54" t="n">
        <f aca="true">RAND()</f>
        <v>0.97181960396262</v>
      </c>
      <c r="R1041" s="54" t="n">
        <f aca="true">RAND()</f>
        <v>0.548998249046693</v>
      </c>
      <c r="S1041" s="54" t="n">
        <f aca="true">RAND()</f>
        <v>0.375946656063697</v>
      </c>
      <c r="T1041" s="54" t="n">
        <f aca="true">RAND()</f>
        <v>0.934818444962242</v>
      </c>
      <c r="U1041" s="54" t="n">
        <f aca="true">RAND()</f>
        <v>0.933972063051744</v>
      </c>
    </row>
    <row r="1042" customFormat="false" ht="15" hidden="false" customHeight="false" outlineLevel="0" collapsed="false">
      <c r="A1042" s="50" t="n">
        <v>962</v>
      </c>
      <c r="B1042" s="51" t="n">
        <f aca="false">1+IF($G$6=$E$6,$F$6,IF(P1042&lt;($F$6-$E$6)/($G$6-$E$6),$E$6+SQRT(P1042*($G$6-$E$6)*($F$6-$E$6)),$G$6-SQRT((1-P1042)*($G$6-$E$6)*($G$6-$F$6))))</f>
        <v>1.00979239530688</v>
      </c>
      <c r="C1042" s="51" t="n">
        <f aca="false">1+IF($G$7=$E$7,$F$7,IF(Q1042&lt;($F$7-$E$7)/($G$7-$E$7),$E$7+SQRT(Q1042*($G$7-$E$7)*($F$7-$E$7)),$G$7-SQRT((1-Q1042)*($G$7-$E$7)*($G$7-$F$7))))</f>
        <v>0.981338466472726</v>
      </c>
      <c r="D1042" s="51" t="n">
        <f aca="false">1+IF($G$8=$E$8,$F$8,IF(R1042&lt;($F$8-$E$8)/($G$8-$E$8),$E$8+SQRT(R1042*($G$8-$E$8)*($F$8-$E$8)),$G$8-SQRT((1-R1042)*($G$8-$E$8)*($G$8-$F$8))))</f>
        <v>1.01335518328294</v>
      </c>
      <c r="E1042" s="51" t="n">
        <f aca="false">1+IF($G$9=$E$9,$F$9,IF(S1042&lt;($F$9-$E$9)/($G$9-$E$9),$E$9+SQRT(S1042*($G$9-$E$9)*($F$9-$E$9)),$G$9-SQRT((1-S1042)*($G$9-$E$9)*($G$9-$F$9))))</f>
        <v>0.994697340627108</v>
      </c>
      <c r="F1042" s="51" t="n">
        <f aca="false">1+IF($G$10=$E$10,$F$10,IF(T1042&lt;($F$10-$E$10)/($G$10-$E$10),$E$10+SQRT(T1042*($G$10-$E$10)*($F$10-$E$10)),$G$10-SQRT((1-T1042)*($G$10-$E$10)*($G$10-$F$10))))</f>
        <v>1.00150420927127</v>
      </c>
      <c r="G1042" s="52" t="n">
        <f aca="false">IF($G$11=$E$11,$F$11,IF(U1042&lt;($F$11-$E$11)/($G$11-$E$11),$E$11+SQRT(U1042*($G$11-$E$11)*($F$11-$E$11)),$G$11-SQRT((1-U1042)*($G$11-$E$11)*($G$11-$F$11))))</f>
        <v>0.109071404181402</v>
      </c>
      <c r="H1042" s="53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-2003008418.54254</v>
      </c>
      <c r="I1042" s="53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9614737.46825379</v>
      </c>
      <c r="J1042" s="53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312196608.276149</v>
      </c>
      <c r="K1042" s="53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664853689.547608</v>
      </c>
      <c r="L1042" s="53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799961480.200466</v>
      </c>
      <c r="M1042" s="53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988320898.976712</v>
      </c>
      <c r="N1042" s="53" t="n">
        <f aca="false">IF(COUNT('Business Case'!B11:G11)=0,"",H1042+NPV(G1042,I1042:M1042))</f>
        <v>-135465278.198163</v>
      </c>
      <c r="P1042" s="54" t="n">
        <f aca="true">RAND()</f>
        <v>0.784446469978917</v>
      </c>
      <c r="Q1042" s="54" t="n">
        <f aca="true">RAND()</f>
        <v>0.586306168275742</v>
      </c>
      <c r="R1042" s="54" t="n">
        <f aca="true">RAND()</f>
        <v>0.499511715737837</v>
      </c>
      <c r="S1042" s="54" t="n">
        <f aca="true">RAND()</f>
        <v>0.358703452873863</v>
      </c>
      <c r="T1042" s="54" t="n">
        <f aca="true">RAND()</f>
        <v>0.176664559868051</v>
      </c>
      <c r="U1042" s="54" t="n">
        <f aca="true">RAND()</f>
        <v>0.707995918041183</v>
      </c>
    </row>
    <row r="1043" customFormat="false" ht="15" hidden="false" customHeight="false" outlineLevel="0" collapsed="false">
      <c r="A1043" s="50" t="n">
        <v>963</v>
      </c>
      <c r="B1043" s="51" t="n">
        <f aca="false">1+IF($G$6=$E$6,$F$6,IF(P1043&lt;($F$6-$E$6)/($G$6-$E$6),$E$6+SQRT(P1043*($G$6-$E$6)*($F$6-$E$6)),$G$6-SQRT((1-P1043)*($G$6-$E$6)*($G$6-$F$6))))</f>
        <v>0.959012356157222</v>
      </c>
      <c r="C1043" s="51" t="n">
        <f aca="false">1+IF($G$7=$E$7,$F$7,IF(Q1043&lt;($F$7-$E$7)/($G$7-$E$7),$E$7+SQRT(Q1043*($G$7-$E$7)*($F$7-$E$7)),$G$7-SQRT((1-Q1043)*($G$7-$E$7)*($G$7-$F$7))))</f>
        <v>1.07444148549372</v>
      </c>
      <c r="D1043" s="51" t="n">
        <f aca="false">1+IF($G$8=$E$8,$F$8,IF(R1043&lt;($F$8-$E$8)/($G$8-$E$8),$E$8+SQRT(R1043*($G$8-$E$8)*($F$8-$E$8)),$G$8-SQRT((1-R1043)*($G$8-$E$8)*($G$8-$F$8))))</f>
        <v>0.96954097903185</v>
      </c>
      <c r="E1043" s="51" t="n">
        <f aca="false">1+IF($G$9=$E$9,$F$9,IF(S1043&lt;($F$9-$E$9)/($G$9-$E$9),$E$9+SQRT(S1043*($G$9-$E$9)*($F$9-$E$9)),$G$9-SQRT((1-S1043)*($G$9-$E$9)*($G$9-$F$9))))</f>
        <v>1.09356578664399</v>
      </c>
      <c r="F1043" s="51" t="n">
        <f aca="false">1+IF($G$10=$E$10,$F$10,IF(T1043&lt;($F$10-$E$10)/($G$10-$E$10),$E$10+SQRT(T1043*($G$10-$E$10)*($F$10-$E$10)),$G$10-SQRT((1-T1043)*($G$10-$E$10)*($G$10-$F$10))))</f>
        <v>0.971068662634566</v>
      </c>
      <c r="G1043" s="52" t="n">
        <f aca="false">IF($G$11=$E$11,$F$11,IF(U1043&lt;($F$11-$E$11)/($G$11-$E$11),$E$11+SQRT(U1043*($G$11-$E$11)*($F$11-$E$11)),$G$11-SQRT((1-U1043)*($G$11-$E$11)*($G$11-$F$11))))</f>
        <v>0.106370731445964</v>
      </c>
      <c r="H1043" s="53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-1942137325.26913</v>
      </c>
      <c r="I1043" s="53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4671204.66765067</v>
      </c>
      <c r="J1043" s="53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315370404.382777</v>
      </c>
      <c r="K1043" s="53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674623037.229631</v>
      </c>
      <c r="L1043" s="53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813800153.083502</v>
      </c>
      <c r="M1043" s="53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1009659090.80206</v>
      </c>
      <c r="N1043" s="53" t="n">
        <f aca="false">IF(COUNT('Business Case'!B11:G11)=0,"",H1043+NPV(G1043,I1043:M1043))</f>
        <v>-29902726.8389196</v>
      </c>
      <c r="P1043" s="54" t="n">
        <f aca="true">RAND()</f>
        <v>0.232163878615117</v>
      </c>
      <c r="Q1043" s="54" t="n">
        <f aca="true">RAND()</f>
        <v>0.915420902008952</v>
      </c>
      <c r="R1043" s="54" t="n">
        <f aca="true">RAND()</f>
        <v>0.0509133148697583</v>
      </c>
      <c r="S1043" s="54" t="n">
        <f aca="true">RAND()</f>
        <v>0.915071455010349</v>
      </c>
      <c r="T1043" s="54" t="n">
        <f aca="true">RAND()</f>
        <v>0.0295925696806101</v>
      </c>
      <c r="U1043" s="54" t="n">
        <f aca="true">RAND()</f>
        <v>0.627771778400825</v>
      </c>
    </row>
    <row r="1044" customFormat="false" ht="15" hidden="false" customHeight="false" outlineLevel="0" collapsed="false">
      <c r="A1044" s="50" t="n">
        <v>964</v>
      </c>
      <c r="B1044" s="51" t="n">
        <f aca="false">1+IF($G$6=$E$6,$F$6,IF(P1044&lt;($F$6-$E$6)/($G$6-$E$6),$E$6+SQRT(P1044*($G$6-$E$6)*($F$6-$E$6)),$G$6-SQRT((1-P1044)*($G$6-$E$6)*($G$6-$F$6))))</f>
        <v>0.974583252252051</v>
      </c>
      <c r="C1044" s="51" t="n">
        <f aca="false">1+IF($G$7=$E$7,$F$7,IF(Q1044&lt;($F$7-$E$7)/($G$7-$E$7),$E$7+SQRT(Q1044*($G$7-$E$7)*($F$7-$E$7)),$G$7-SQRT((1-Q1044)*($G$7-$E$7)*($G$7-$F$7))))</f>
        <v>0.852124382891879</v>
      </c>
      <c r="D1044" s="51" t="n">
        <f aca="false">1+IF($G$8=$E$8,$F$8,IF(R1044&lt;($F$8-$E$8)/($G$8-$E$8),$E$8+SQRT(R1044*($G$8-$E$8)*($F$8-$E$8)),$G$8-SQRT((1-R1044)*($G$8-$E$8)*($G$8-$F$8))))</f>
        <v>1.00608993443031</v>
      </c>
      <c r="E1044" s="51" t="n">
        <f aca="false">1+IF($G$9=$E$9,$F$9,IF(S1044&lt;($F$9-$E$9)/($G$9-$E$9),$E$9+SQRT(S1044*($G$9-$E$9)*($F$9-$E$9)),$G$9-SQRT((1-S1044)*($G$9-$E$9)*($G$9-$F$9))))</f>
        <v>0.996663584537044</v>
      </c>
      <c r="F1044" s="51" t="n">
        <f aca="false">1+IF($G$10=$E$10,$F$10,IF(T1044&lt;($F$10-$E$10)/($G$10-$E$10),$E$10+SQRT(T1044*($G$10-$E$10)*($F$10-$E$10)),$G$10-SQRT((1-T1044)*($G$10-$E$10)*($G$10-$F$10))))</f>
        <v>1.13160797213882</v>
      </c>
      <c r="G1044" s="52" t="n">
        <f aca="false">IF($G$11=$E$11,$F$11,IF(U1044&lt;($F$11-$E$11)/($G$11-$E$11),$E$11+SQRT(U1044*($G$11-$E$11)*($F$11-$E$11)),$G$11-SQRT((1-U1044)*($G$11-$E$11)*($G$11-$F$11))))</f>
        <v>0.11173444933526</v>
      </c>
      <c r="H1044" s="53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-2263215944.27764</v>
      </c>
      <c r="I1044" s="53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-56602214.2233677</v>
      </c>
      <c r="J1044" s="53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184733295.828836</v>
      </c>
      <c r="K1044" s="53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482649204.48798</v>
      </c>
      <c r="L1044" s="53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591795284.732395</v>
      </c>
      <c r="M1044" s="53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749650290.980975</v>
      </c>
      <c r="N1044" s="53" t="n">
        <f aca="false">IF(COUNT('Business Case'!B11:G11)=0,"",H1044+NPV(G1044,I1044:M1044))</f>
        <v>-984575170.440979</v>
      </c>
      <c r="P1044" s="54" t="n">
        <f aca="true">RAND()</f>
        <v>0.370844101099536</v>
      </c>
      <c r="Q1044" s="54" t="n">
        <f aca="true">RAND()</f>
        <v>0.171420947186925</v>
      </c>
      <c r="R1044" s="54" t="n">
        <f aca="true">RAND()</f>
        <v>0.412059972313074</v>
      </c>
      <c r="S1044" s="54" t="n">
        <f aca="true">RAND()</f>
        <v>0.373753943022008</v>
      </c>
      <c r="T1044" s="54" t="n">
        <f aca="true">RAND()</f>
        <v>0.813111036518895</v>
      </c>
      <c r="U1044" s="54" t="n">
        <f aca="true">RAND()</f>
        <v>0.777579772609205</v>
      </c>
    </row>
    <row r="1045" customFormat="false" ht="15" hidden="false" customHeight="false" outlineLevel="0" collapsed="false">
      <c r="A1045" s="50" t="n">
        <v>965</v>
      </c>
      <c r="B1045" s="51" t="n">
        <f aca="false">1+IF($G$6=$E$6,$F$6,IF(P1045&lt;($F$6-$E$6)/($G$6-$E$6),$E$6+SQRT(P1045*($G$6-$E$6)*($F$6-$E$6)),$G$6-SQRT((1-P1045)*($G$6-$E$6)*($G$6-$F$6))))</f>
        <v>0.928422700759523</v>
      </c>
      <c r="C1045" s="51" t="n">
        <f aca="false">1+IF($G$7=$E$7,$F$7,IF(Q1045&lt;($F$7-$E$7)/($G$7-$E$7),$E$7+SQRT(Q1045*($G$7-$E$7)*($F$7-$E$7)),$G$7-SQRT((1-Q1045)*($G$7-$E$7)*($G$7-$F$7))))</f>
        <v>1.0050678156751</v>
      </c>
      <c r="D1045" s="51" t="n">
        <f aca="false">1+IF($G$8=$E$8,$F$8,IF(R1045&lt;($F$8-$E$8)/($G$8-$E$8),$E$8+SQRT(R1045*($G$8-$E$8)*($F$8-$E$8)),$G$8-SQRT((1-R1045)*($G$8-$E$8)*($G$8-$F$8))))</f>
        <v>0.99323365364026</v>
      </c>
      <c r="E1045" s="51" t="n">
        <f aca="false">1+IF($G$9=$E$9,$F$9,IF(S1045&lt;($F$9-$E$9)/($G$9-$E$9),$E$9+SQRT(S1045*($G$9-$E$9)*($F$9-$E$9)),$G$9-SQRT((1-S1045)*($G$9-$E$9)*($G$9-$F$9))))</f>
        <v>0.948071758112867</v>
      </c>
      <c r="F1045" s="51" t="n">
        <f aca="false">1+IF($G$10=$E$10,$F$10,IF(T1045&lt;($F$10-$E$10)/($G$10-$E$10),$E$10+SQRT(T1045*($G$10-$E$10)*($F$10-$E$10)),$G$10-SQRT((1-T1045)*($G$10-$E$10)*($G$10-$F$10))))</f>
        <v>1.00776321275054</v>
      </c>
      <c r="G1045" s="52" t="n">
        <f aca="false">IF($G$11=$E$11,$F$11,IF(U1045&lt;($F$11-$E$11)/($G$11-$E$11),$E$11+SQRT(U1045*($G$11-$E$11)*($F$11-$E$11)),$G$11-SQRT((1-U1045)*($G$11-$E$11)*($G$11-$F$11))))</f>
        <v>0.114182472917833</v>
      </c>
      <c r="H1045" s="53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-2015526425.50108</v>
      </c>
      <c r="I1045" s="53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-30699569.6680927</v>
      </c>
      <c r="J1045" s="53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222566329.843907</v>
      </c>
      <c r="K1045" s="53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526220389.993434</v>
      </c>
      <c r="L1045" s="53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642891252.431693</v>
      </c>
      <c r="M1045" s="53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820260180.070119</v>
      </c>
      <c r="N1045" s="53" t="n">
        <f aca="false">IF(COUNT('Business Case'!B11:G11)=0,"",H1045+NPV(G1045,I1045:M1045))</f>
        <v>-588457269.588266</v>
      </c>
      <c r="P1045" s="54" t="n">
        <f aca="true">RAND()</f>
        <v>0.0538566612310265</v>
      </c>
      <c r="Q1045" s="54" t="n">
        <f aca="true">RAND()</f>
        <v>0.68880980661947</v>
      </c>
      <c r="R1045" s="54" t="n">
        <f aca="true">RAND()</f>
        <v>0.24921984094479</v>
      </c>
      <c r="S1045" s="54" t="n">
        <f aca="true">RAND()</f>
        <v>0.0924357571224792</v>
      </c>
      <c r="T1045" s="54" t="n">
        <f aca="true">RAND()</f>
        <v>0.217617852040812</v>
      </c>
      <c r="U1045" s="54" t="n">
        <f aca="true">RAND()</f>
        <v>0.833203891336613</v>
      </c>
    </row>
    <row r="1046" customFormat="false" ht="15" hidden="false" customHeight="false" outlineLevel="0" collapsed="false">
      <c r="A1046" s="50" t="n">
        <v>966</v>
      </c>
      <c r="B1046" s="51" t="n">
        <f aca="false">1+IF($G$6=$E$6,$F$6,IF(P1046&lt;($F$6-$E$6)/($G$6-$E$6),$E$6+SQRT(P1046*($G$6-$E$6)*($F$6-$E$6)),$G$6-SQRT((1-P1046)*($G$6-$E$6)*($G$6-$F$6))))</f>
        <v>1.00708009756421</v>
      </c>
      <c r="C1046" s="51" t="n">
        <f aca="false">1+IF($G$7=$E$7,$F$7,IF(Q1046&lt;($F$7-$E$7)/($G$7-$E$7),$E$7+SQRT(Q1046*($G$7-$E$7)*($F$7-$E$7)),$G$7-SQRT((1-Q1046)*($G$7-$E$7)*($G$7-$F$7))))</f>
        <v>0.936498674696749</v>
      </c>
      <c r="D1046" s="51" t="n">
        <f aca="false">1+IF($G$8=$E$8,$F$8,IF(R1046&lt;($F$8-$E$8)/($G$8-$E$8),$E$8+SQRT(R1046*($G$8-$E$8)*($F$8-$E$8)),$G$8-SQRT((1-R1046)*($G$8-$E$8)*($G$8-$F$8))))</f>
        <v>1.01336339881715</v>
      </c>
      <c r="E1046" s="51" t="n">
        <f aca="false">1+IF($G$9=$E$9,$F$9,IF(S1046&lt;($F$9-$E$9)/($G$9-$E$9),$E$9+SQRT(S1046*($G$9-$E$9)*($F$9-$E$9)),$G$9-SQRT((1-S1046)*($G$9-$E$9)*($G$9-$F$9))))</f>
        <v>0.96050192397126</v>
      </c>
      <c r="F1046" s="51" t="n">
        <f aca="false">1+IF($G$10=$E$10,$F$10,IF(T1046&lt;($F$10-$E$10)/($G$10-$E$10),$E$10+SQRT(T1046*($G$10-$E$10)*($F$10-$E$10)),$G$10-SQRT((1-T1046)*($G$10-$E$10)*($G$10-$F$10))))</f>
        <v>1.11534359757782</v>
      </c>
      <c r="G1046" s="52" t="n">
        <f aca="false">IF($G$11=$E$11,$F$11,IF(U1046&lt;($F$11-$E$11)/($G$11-$E$11),$E$11+SQRT(U1046*($G$11-$E$11)*($F$11-$E$11)),$G$11-SQRT((1-U1046)*($G$11-$E$11)*($G$11-$F$11))))</f>
        <v>0.101852912142112</v>
      </c>
      <c r="H1046" s="53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-2230687195.15564</v>
      </c>
      <c r="I1046" s="53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-10337829.5327097</v>
      </c>
      <c r="J1046" s="53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276333890.800289</v>
      </c>
      <c r="K1046" s="53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618772791.012179</v>
      </c>
      <c r="L1046" s="53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746924575.469321</v>
      </c>
      <c r="M1046" s="53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926194569.373102</v>
      </c>
      <c r="N1046" s="53" t="n">
        <f aca="false">IF(COUNT('Business Case'!B11:G11)=0,"",H1046+NPV(G1046,I1046:M1046))</f>
        <v>-472898697.199834</v>
      </c>
      <c r="P1046" s="54" t="n">
        <f aca="true">RAND()</f>
        <v>0.754384263320262</v>
      </c>
      <c r="Q1046" s="54" t="n">
        <f aca="true">RAND()</f>
        <v>0.414308319506064</v>
      </c>
      <c r="R1046" s="54" t="n">
        <f aca="true">RAND()</f>
        <v>0.499606622365548</v>
      </c>
      <c r="S1046" s="54" t="n">
        <f aca="true">RAND()</f>
        <v>0.146419312168963</v>
      </c>
      <c r="T1046" s="54" t="n">
        <f aca="true">RAND()</f>
        <v>0.75823537715622</v>
      </c>
      <c r="U1046" s="54" t="n">
        <f aca="true">RAND()</f>
        <v>0.471827630080224</v>
      </c>
    </row>
    <row r="1047" customFormat="false" ht="15" hidden="false" customHeight="false" outlineLevel="0" collapsed="false">
      <c r="A1047" s="50" t="n">
        <v>967</v>
      </c>
      <c r="B1047" s="51" t="n">
        <f aca="false">1+IF($G$6=$E$6,$F$6,IF(P1047&lt;($F$6-$E$6)/($G$6-$E$6),$E$6+SQRT(P1047*($G$6-$E$6)*($F$6-$E$6)),$G$6-SQRT((1-P1047)*($G$6-$E$6)*($G$6-$F$6))))</f>
        <v>0.97921092340694</v>
      </c>
      <c r="C1047" s="51" t="n">
        <f aca="false">1+IF($G$7=$E$7,$F$7,IF(Q1047&lt;($F$7-$E$7)/($G$7-$E$7),$E$7+SQRT(Q1047*($G$7-$E$7)*($F$7-$E$7)),$G$7-SQRT((1-Q1047)*($G$7-$E$7)*($G$7-$F$7))))</f>
        <v>0.807619017828211</v>
      </c>
      <c r="D1047" s="51" t="n">
        <f aca="false">1+IF($G$8=$E$8,$F$8,IF(R1047&lt;($F$8-$E$8)/($G$8-$E$8),$E$8+SQRT(R1047*($G$8-$E$8)*($F$8-$E$8)),$G$8-SQRT((1-R1047)*($G$8-$E$8)*($G$8-$F$8))))</f>
        <v>0.987715497125344</v>
      </c>
      <c r="E1047" s="51" t="n">
        <f aca="false">1+IF($G$9=$E$9,$F$9,IF(S1047&lt;($F$9-$E$9)/($G$9-$E$9),$E$9+SQRT(S1047*($G$9-$E$9)*($F$9-$E$9)),$G$9-SQRT((1-S1047)*($G$9-$E$9)*($G$9-$F$9))))</f>
        <v>0.978874079085621</v>
      </c>
      <c r="F1047" s="51" t="n">
        <f aca="false">1+IF($G$10=$E$10,$F$10,IF(T1047&lt;($F$10-$E$10)/($G$10-$E$10),$E$10+SQRT(T1047*($G$10-$E$10)*($F$10-$E$10)),$G$10-SQRT((1-T1047)*($G$10-$E$10)*($G$10-$F$10))))</f>
        <v>1.09644281103501</v>
      </c>
      <c r="G1047" s="52" t="n">
        <f aca="false">IF($G$11=$E$11,$F$11,IF(U1047&lt;($F$11-$E$11)/($G$11-$E$11),$E$11+SQRT(U1047*($G$11-$E$11)*($F$11-$E$11)),$G$11-SQRT((1-U1047)*($G$11-$E$11)*($G$11-$F$11))))</f>
        <v>0.113331524218022</v>
      </c>
      <c r="H1047" s="53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-2192885622.07002</v>
      </c>
      <c r="I1047" s="53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-50448048.2406554</v>
      </c>
      <c r="J1047" s="53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188940672.908738</v>
      </c>
      <c r="K1047" s="53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483151534.609882</v>
      </c>
      <c r="L1047" s="53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590278837.820061</v>
      </c>
      <c r="M1047" s="53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740599683.368826</v>
      </c>
      <c r="N1047" s="53" t="n">
        <f aca="false">IF(COUNT('Business Case'!B11:G11)=0,"",H1047+NPV(G1047,I1047:M1047))</f>
        <v>-918477122.305125</v>
      </c>
      <c r="P1047" s="54" t="n">
        <f aca="true">RAND()</f>
        <v>0.418291359132004</v>
      </c>
      <c r="Q1047" s="54" t="n">
        <f aca="true">RAND()</f>
        <v>0.0857915036911768</v>
      </c>
      <c r="R1047" s="54" t="n">
        <f aca="true">RAND()</f>
        <v>0.18966116312158</v>
      </c>
      <c r="S1047" s="54" t="n">
        <f aca="true">RAND()</f>
        <v>0.248844814064194</v>
      </c>
      <c r="T1047" s="54" t="n">
        <f aca="true">RAND()</f>
        <v>0.68560252956228</v>
      </c>
      <c r="U1047" s="54" t="n">
        <f aca="true">RAND()</f>
        <v>0.814774610070413</v>
      </c>
    </row>
    <row r="1048" customFormat="false" ht="15" hidden="false" customHeight="false" outlineLevel="0" collapsed="false">
      <c r="A1048" s="50" t="n">
        <v>968</v>
      </c>
      <c r="B1048" s="51" t="n">
        <f aca="false">1+IF($G$6=$E$6,$F$6,IF(P1048&lt;($F$6-$E$6)/($G$6-$E$6),$E$6+SQRT(P1048*($G$6-$E$6)*($F$6-$E$6)),$G$6-SQRT((1-P1048)*($G$6-$E$6)*($G$6-$F$6))))</f>
        <v>0.991973325834812</v>
      </c>
      <c r="C1048" s="51" t="n">
        <f aca="false">1+IF($G$7=$E$7,$F$7,IF(Q1048&lt;($F$7-$E$7)/($G$7-$E$7),$E$7+SQRT(Q1048*($G$7-$E$7)*($F$7-$E$7)),$G$7-SQRT((1-Q1048)*($G$7-$E$7)*($G$7-$F$7))))</f>
        <v>0.957028826571506</v>
      </c>
      <c r="D1048" s="51" t="n">
        <f aca="false">1+IF($G$8=$E$8,$F$8,IF(R1048&lt;($F$8-$E$8)/($G$8-$E$8),$E$8+SQRT(R1048*($G$8-$E$8)*($F$8-$E$8)),$G$8-SQRT((1-R1048)*($G$8-$E$8)*($G$8-$F$8))))</f>
        <v>1.0299954852599</v>
      </c>
      <c r="E1048" s="51" t="n">
        <f aca="false">1+IF($G$9=$E$9,$F$9,IF(S1048&lt;($F$9-$E$9)/($G$9-$E$9),$E$9+SQRT(S1048*($G$9-$E$9)*($F$9-$E$9)),$G$9-SQRT((1-S1048)*($G$9-$E$9)*($G$9-$F$9))))</f>
        <v>0.946836581353313</v>
      </c>
      <c r="F1048" s="51" t="n">
        <f aca="false">1+IF($G$10=$E$10,$F$10,IF(T1048&lt;($F$10-$E$10)/($G$10-$E$10),$E$10+SQRT(T1048*($G$10-$E$10)*($F$10-$E$10)),$G$10-SQRT((1-T1048)*($G$10-$E$10)*($G$10-$F$10))))</f>
        <v>1.0840092224872</v>
      </c>
      <c r="G1048" s="52" t="n">
        <f aca="false">IF($G$11=$E$11,$F$11,IF(U1048&lt;($F$11-$E$11)/($G$11-$E$11),$E$11+SQRT(U1048*($G$11-$E$11)*($F$11-$E$11)),$G$11-SQRT((1-U1048)*($G$11-$E$11)*($G$11-$F$11))))</f>
        <v>0.096486630005321</v>
      </c>
      <c r="H1048" s="53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-2168018444.9744</v>
      </c>
      <c r="I1048" s="53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-19289285.3647548</v>
      </c>
      <c r="J1048" s="53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253676665.393494</v>
      </c>
      <c r="K1048" s="53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580843077.276102</v>
      </c>
      <c r="L1048" s="53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704641162.199412</v>
      </c>
      <c r="M1048" s="53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885093052.887499</v>
      </c>
      <c r="N1048" s="53" t="n">
        <f aca="false">IF(COUNT('Business Case'!B11:G11)=0,"",H1048+NPV(G1048,I1048:M1048))</f>
        <v>-488098101.027626</v>
      </c>
      <c r="P1048" s="54" t="n">
        <f aca="true">RAND()</f>
        <v>0.563939511007764</v>
      </c>
      <c r="Q1048" s="54" t="n">
        <f aca="true">RAND()</f>
        <v>0.489361612509077</v>
      </c>
      <c r="R1048" s="54" t="n">
        <f aca="true">RAND()</f>
        <v>0.673291194400228</v>
      </c>
      <c r="S1048" s="54" t="n">
        <f aca="true">RAND()</f>
        <v>0.0877466141146201</v>
      </c>
      <c r="T1048" s="54" t="n">
        <f aca="true">RAND()</f>
        <v>0.63262749040929</v>
      </c>
      <c r="U1048" s="54" t="n">
        <f aca="true">RAND()</f>
        <v>0.27180896893235</v>
      </c>
    </row>
    <row r="1049" customFormat="false" ht="15" hidden="false" customHeight="false" outlineLevel="0" collapsed="false">
      <c r="A1049" s="50" t="n">
        <v>969</v>
      </c>
      <c r="B1049" s="51" t="n">
        <f aca="false">1+IF($G$6=$E$6,$F$6,IF(P1049&lt;($F$6-$E$6)/($G$6-$E$6),$E$6+SQRT(P1049*($G$6-$E$6)*($F$6-$E$6)),$G$6-SQRT((1-P1049)*($G$6-$E$6)*($G$6-$F$6))))</f>
        <v>0.998107190230205</v>
      </c>
      <c r="C1049" s="51" t="n">
        <f aca="false">1+IF($G$7=$E$7,$F$7,IF(Q1049&lt;($F$7-$E$7)/($G$7-$E$7),$E$7+SQRT(Q1049*($G$7-$E$7)*($F$7-$E$7)),$G$7-SQRT((1-Q1049)*($G$7-$E$7)*($G$7-$F$7))))</f>
        <v>1.05529931440902</v>
      </c>
      <c r="D1049" s="51" t="n">
        <f aca="false">1+IF($G$8=$E$8,$F$8,IF(R1049&lt;($F$8-$E$8)/($G$8-$E$8),$E$8+SQRT(R1049*($G$8-$E$8)*($F$8-$E$8)),$G$8-SQRT((1-R1049)*($G$8-$E$8)*($G$8-$F$8))))</f>
        <v>1.00361889319139</v>
      </c>
      <c r="E1049" s="51" t="n">
        <f aca="false">1+IF($G$9=$E$9,$F$9,IF(S1049&lt;($F$9-$E$9)/($G$9-$E$9),$E$9+SQRT(S1049*($G$9-$E$9)*($F$9-$E$9)),$G$9-SQRT((1-S1049)*($G$9-$E$9)*($G$9-$F$9))))</f>
        <v>1.02192426668299</v>
      </c>
      <c r="F1049" s="51" t="n">
        <f aca="false">1+IF($G$10=$E$10,$F$10,IF(T1049&lt;($F$10-$E$10)/($G$10-$E$10),$E$10+SQRT(T1049*($G$10-$E$10)*($F$10-$E$10)),$G$10-SQRT((1-T1049)*($G$10-$E$10)*($G$10-$F$10))))</f>
        <v>1.10724118651295</v>
      </c>
      <c r="G1049" s="52" t="n">
        <f aca="false">IF($G$11=$E$11,$F$11,IF(U1049&lt;($F$11-$E$11)/($G$11-$E$11),$E$11+SQRT(U1049*($G$11-$E$11)*($F$11-$E$11)),$G$11-SQRT((1-U1049)*($G$11-$E$11)*($G$11-$F$11))))</f>
        <v>0.0960936593627121</v>
      </c>
      <c r="H1049" s="53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-2214482373.0259</v>
      </c>
      <c r="I1049" s="53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9901267.54075109</v>
      </c>
      <c r="J1049" s="53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330447451.506695</v>
      </c>
      <c r="K1049" s="53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706355694.798286</v>
      </c>
      <c r="L1049" s="53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849606534.154651</v>
      </c>
      <c r="M1049" s="53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1049818146.6771</v>
      </c>
      <c r="N1049" s="53" t="n">
        <f aca="false">IF(COUNT('Business Case'!B11:G11)=0,"",H1049+NPV(G1049,I1049:M1049))</f>
        <v>-141849722.762854</v>
      </c>
      <c r="P1049" s="54" t="n">
        <f aca="true">RAND()</f>
        <v>0.64166805165771</v>
      </c>
      <c r="Q1049" s="54" t="n">
        <f aca="true">RAND()</f>
        <v>0.867137483682938</v>
      </c>
      <c r="R1049" s="54" t="n">
        <f aca="true">RAND()</f>
        <v>0.380712150023159</v>
      </c>
      <c r="S1049" s="54" t="n">
        <f aca="true">RAND()</f>
        <v>0.562576174274935</v>
      </c>
      <c r="T1049" s="54" t="n">
        <f aca="true">RAND()</f>
        <v>0.728265615623598</v>
      </c>
      <c r="U1049" s="54" t="n">
        <f aca="true">RAND()</f>
        <v>0.259005871683012</v>
      </c>
    </row>
    <row r="1050" customFormat="false" ht="15" hidden="false" customHeight="false" outlineLevel="0" collapsed="false">
      <c r="A1050" s="50" t="n">
        <v>970</v>
      </c>
      <c r="B1050" s="51" t="n">
        <f aca="false">1+IF($G$6=$E$6,$F$6,IF(P1050&lt;($F$6-$E$6)/($G$6-$E$6),$E$6+SQRT(P1050*($G$6-$E$6)*($F$6-$E$6)),$G$6-SQRT((1-P1050)*($G$6-$E$6)*($G$6-$F$6))))</f>
        <v>0.989515227338316</v>
      </c>
      <c r="C1050" s="51" t="n">
        <f aca="false">1+IF($G$7=$E$7,$F$7,IF(Q1050&lt;($F$7-$E$7)/($G$7-$E$7),$E$7+SQRT(Q1050*($G$7-$E$7)*($F$7-$E$7)),$G$7-SQRT((1-Q1050)*($G$7-$E$7)*($G$7-$F$7))))</f>
        <v>0.984217441269075</v>
      </c>
      <c r="D1050" s="51" t="n">
        <f aca="false">1+IF($G$8=$E$8,$F$8,IF(R1050&lt;($F$8-$E$8)/($G$8-$E$8),$E$8+SQRT(R1050*($G$8-$E$8)*($F$8-$E$8)),$G$8-SQRT((1-R1050)*($G$8-$E$8)*($G$8-$F$8))))</f>
        <v>1.02166074935219</v>
      </c>
      <c r="E1050" s="51" t="n">
        <f aca="false">1+IF($G$9=$E$9,$F$9,IF(S1050&lt;($F$9-$E$9)/($G$9-$E$9),$E$9+SQRT(S1050*($G$9-$E$9)*($F$9-$E$9)),$G$9-SQRT((1-S1050)*($G$9-$E$9)*($G$9-$F$9))))</f>
        <v>1.04903049834881</v>
      </c>
      <c r="F1050" s="51" t="n">
        <f aca="false">1+IF($G$10=$E$10,$F$10,IF(T1050&lt;($F$10-$E$10)/($G$10-$E$10),$E$10+SQRT(T1050*($G$10-$E$10)*($F$10-$E$10)),$G$10-SQRT((1-T1050)*($G$10-$E$10)*($G$10-$F$10))))</f>
        <v>1.14126272314917</v>
      </c>
      <c r="G1050" s="52" t="n">
        <f aca="false">IF($G$11=$E$11,$F$11,IF(U1050&lt;($F$11-$E$11)/($G$11-$E$11),$E$11+SQRT(U1050*($G$11-$E$11)*($F$11-$E$11)),$G$11-SQRT((1-U1050)*($G$11-$E$11)*($G$11-$F$11))))</f>
        <v>0.1038373822063</v>
      </c>
      <c r="H1050" s="53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-2282525446.29834</v>
      </c>
      <c r="I1050" s="53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-30846744.804969</v>
      </c>
      <c r="J1050" s="53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252091799.414637</v>
      </c>
      <c r="K1050" s="53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592093479.791702</v>
      </c>
      <c r="L1050" s="53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720064247.761208</v>
      </c>
      <c r="M1050" s="53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905182807.190884</v>
      </c>
      <c r="N1050" s="53" t="n">
        <f aca="false">IF(COUNT('Business Case'!B11:G11)=0,"",H1050+NPV(G1050,I1050:M1050))</f>
        <v>-625995200.169431</v>
      </c>
      <c r="P1050" s="54" t="n">
        <f aca="true">RAND()</f>
        <v>0.53419839502869</v>
      </c>
      <c r="Q1050" s="54" t="n">
        <f aca="true">RAND()</f>
        <v>0.598367066085483</v>
      </c>
      <c r="R1050" s="54" t="n">
        <f aca="true">RAND()</f>
        <v>0.590864120529338</v>
      </c>
      <c r="S1050" s="54" t="n">
        <f aca="true">RAND()</f>
        <v>0.728137592968275</v>
      </c>
      <c r="T1050" s="54" t="n">
        <f aca="true">RAND()</f>
        <v>0.842349394974219</v>
      </c>
      <c r="U1050" s="54" t="n">
        <f aca="true">RAND()</f>
        <v>0.54367828678718</v>
      </c>
    </row>
    <row r="1051" customFormat="false" ht="15" hidden="false" customHeight="false" outlineLevel="0" collapsed="false">
      <c r="A1051" s="50" t="n">
        <v>971</v>
      </c>
      <c r="B1051" s="51" t="n">
        <f aca="false">1+IF($G$6=$E$6,$F$6,IF(P1051&lt;($F$6-$E$6)/($G$6-$E$6),$E$6+SQRT(P1051*($G$6-$E$6)*($F$6-$E$6)),$G$6-SQRT((1-P1051)*($G$6-$E$6)*($G$6-$F$6))))</f>
        <v>1.00172876095701</v>
      </c>
      <c r="C1051" s="51" t="n">
        <f aca="false">1+IF($G$7=$E$7,$F$7,IF(Q1051&lt;($F$7-$E$7)/($G$7-$E$7),$E$7+SQRT(Q1051*($G$7-$E$7)*($F$7-$E$7)),$G$7-SQRT((1-Q1051)*($G$7-$E$7)*($G$7-$F$7))))</f>
        <v>0.958249274434149</v>
      </c>
      <c r="D1051" s="51" t="n">
        <f aca="false">1+IF($G$8=$E$8,$F$8,IF(R1051&lt;($F$8-$E$8)/($G$8-$E$8),$E$8+SQRT(R1051*($G$8-$E$8)*($F$8-$E$8)),$G$8-SQRT((1-R1051)*($G$8-$E$8)*($G$8-$F$8))))</f>
        <v>1.02474374519997</v>
      </c>
      <c r="E1051" s="51" t="n">
        <f aca="false">1+IF($G$9=$E$9,$F$9,IF(S1051&lt;($F$9-$E$9)/($G$9-$E$9),$E$9+SQRT(S1051*($G$9-$E$9)*($F$9-$E$9)),$G$9-SQRT((1-S1051)*($G$9-$E$9)*($G$9-$F$9))))</f>
        <v>1.13885323635507</v>
      </c>
      <c r="F1051" s="51" t="n">
        <f aca="false">1+IF($G$10=$E$10,$F$10,IF(T1051&lt;($F$10-$E$10)/($G$10-$E$10),$E$10+SQRT(T1051*($G$10-$E$10)*($F$10-$E$10)),$G$10-SQRT((1-T1051)*($G$10-$E$10)*($G$10-$F$10))))</f>
        <v>1.03937104818541</v>
      </c>
      <c r="G1051" s="52" t="n">
        <f aca="false">IF($G$11=$E$11,$F$11,IF(U1051&lt;($F$11-$E$11)/($G$11-$E$11),$E$11+SQRT(U1051*($G$11-$E$11)*($F$11-$E$11)),$G$11-SQRT((1-U1051)*($G$11-$E$11)*($G$11-$F$11))))</f>
        <v>0.120057467394659</v>
      </c>
      <c r="H1051" s="53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-2078742096.37082</v>
      </c>
      <c r="I1051" s="53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-32096481.2689008</v>
      </c>
      <c r="J1051" s="53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251450592.188169</v>
      </c>
      <c r="K1051" s="53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586966218.05451</v>
      </c>
      <c r="L1051" s="53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714656255.672026</v>
      </c>
      <c r="M1051" s="53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897115161.230401</v>
      </c>
      <c r="N1051" s="53" t="n">
        <f aca="false">IF(COUNT('Business Case'!B11:G11)=0,"",H1051+NPV(G1051,I1051:M1051))</f>
        <v>-526236813.757842</v>
      </c>
      <c r="P1051" s="54" t="n">
        <f aca="true">RAND()</f>
        <v>0.689318330833933</v>
      </c>
      <c r="Q1051" s="54" t="n">
        <f aca="true">RAND()</f>
        <v>0.494019909227883</v>
      </c>
      <c r="R1051" s="54" t="n">
        <f aca="true">RAND()</f>
        <v>0.622433074231523</v>
      </c>
      <c r="S1051" s="54" t="n">
        <f aca="true">RAND()</f>
        <v>0.996686657606511</v>
      </c>
      <c r="T1051" s="54" t="n">
        <f aca="true">RAND()</f>
        <v>0.408472595433162</v>
      </c>
      <c r="U1051" s="54" t="n">
        <f aca="true">RAND()</f>
        <v>0.934097363594487</v>
      </c>
    </row>
    <row r="1052" customFormat="false" ht="15" hidden="false" customHeight="false" outlineLevel="0" collapsed="false">
      <c r="A1052" s="50" t="n">
        <v>972</v>
      </c>
      <c r="B1052" s="51" t="n">
        <f aca="false">1+IF($G$6=$E$6,$F$6,IF(P1052&lt;($F$6-$E$6)/($G$6-$E$6),$E$6+SQRT(P1052*($G$6-$E$6)*($F$6-$E$6)),$G$6-SQRT((1-P1052)*($G$6-$E$6)*($G$6-$F$6))))</f>
        <v>0.951250971833782</v>
      </c>
      <c r="C1052" s="51" t="n">
        <f aca="false">1+IF($G$7=$E$7,$F$7,IF(Q1052&lt;($F$7-$E$7)/($G$7-$E$7),$E$7+SQRT(Q1052*($G$7-$E$7)*($F$7-$E$7)),$G$7-SQRT((1-Q1052)*($G$7-$E$7)*($G$7-$F$7))))</f>
        <v>0.958843439670468</v>
      </c>
      <c r="D1052" s="51" t="n">
        <f aca="false">1+IF($G$8=$E$8,$F$8,IF(R1052&lt;($F$8-$E$8)/($G$8-$E$8),$E$8+SQRT(R1052*($G$8-$E$8)*($F$8-$E$8)),$G$8-SQRT((1-R1052)*($G$8-$E$8)*($G$8-$F$8))))</f>
        <v>1.0097346571207</v>
      </c>
      <c r="E1052" s="51" t="n">
        <f aca="false">1+IF($G$9=$E$9,$F$9,IF(S1052&lt;($F$9-$E$9)/($G$9-$E$9),$E$9+SQRT(S1052*($G$9-$E$9)*($F$9-$E$9)),$G$9-SQRT((1-S1052)*($G$9-$E$9)*($G$9-$F$9))))</f>
        <v>0.958464982102725</v>
      </c>
      <c r="F1052" s="51" t="n">
        <f aca="false">1+IF($G$10=$E$10,$F$10,IF(T1052&lt;($F$10-$E$10)/($G$10-$E$10),$E$10+SQRT(T1052*($G$10-$E$10)*($F$10-$E$10)),$G$10-SQRT((1-T1052)*($G$10-$E$10)*($G$10-$F$10))))</f>
        <v>1.22414294550231</v>
      </c>
      <c r="G1052" s="52" t="n">
        <f aca="false">IF($G$11=$E$11,$F$11,IF(U1052&lt;($F$11-$E$11)/($G$11-$E$11),$E$11+SQRT(U1052*($G$11-$E$11)*($F$11-$E$11)),$G$11-SQRT((1-U1052)*($G$11-$E$11)*($G$11-$F$11))))</f>
        <v>0.117306015888791</v>
      </c>
      <c r="H1052" s="53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-2448285891.00462</v>
      </c>
      <c r="I1052" s="53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-54544530.5674887</v>
      </c>
      <c r="J1052" s="53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196902256.948444</v>
      </c>
      <c r="K1052" s="53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509556191.739493</v>
      </c>
      <c r="L1052" s="53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624893989.630259</v>
      </c>
      <c r="M1052" s="53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798266100.916931</v>
      </c>
      <c r="N1052" s="53" t="n">
        <f aca="false">IF(COUNT('Business Case'!B11:G11)=0,"",H1052+NPV(G1052,I1052:M1052))</f>
        <v>-1114634570.01489</v>
      </c>
      <c r="P1052" s="54" t="n">
        <f aca="true">RAND()</f>
        <v>0.175110807593808</v>
      </c>
      <c r="Q1052" s="54" t="n">
        <f aca="true">RAND()</f>
        <v>0.496295750077327</v>
      </c>
      <c r="R1052" s="54" t="n">
        <f aca="true">RAND()</f>
        <v>0.456811191658866</v>
      </c>
      <c r="S1052" s="54" t="n">
        <f aca="true">RAND()</f>
        <v>0.13672616529088</v>
      </c>
      <c r="T1052" s="54" t="n">
        <f aca="true">RAND()</f>
        <v>0.991085503102713</v>
      </c>
      <c r="U1052" s="54" t="n">
        <f aca="true">RAND()</f>
        <v>0.892575178256248</v>
      </c>
    </row>
    <row r="1053" customFormat="false" ht="15" hidden="false" customHeight="false" outlineLevel="0" collapsed="false">
      <c r="A1053" s="50" t="n">
        <v>973</v>
      </c>
      <c r="B1053" s="51" t="n">
        <f aca="false">1+IF($G$6=$E$6,$F$6,IF(P1053&lt;($F$6-$E$6)/($G$6-$E$6),$E$6+SQRT(P1053*($G$6-$E$6)*($F$6-$E$6)),$G$6-SQRT((1-P1053)*($G$6-$E$6)*($G$6-$F$6))))</f>
        <v>1.03351376159248</v>
      </c>
      <c r="C1053" s="51" t="n">
        <f aca="false">1+IF($G$7=$E$7,$F$7,IF(Q1053&lt;($F$7-$E$7)/($G$7-$E$7),$E$7+SQRT(Q1053*($G$7-$E$7)*($F$7-$E$7)),$G$7-SQRT((1-Q1053)*($G$7-$E$7)*($G$7-$F$7))))</f>
        <v>0.794054821708339</v>
      </c>
      <c r="D1053" s="51" t="n">
        <f aca="false">1+IF($G$8=$E$8,$F$8,IF(R1053&lt;($F$8-$E$8)/($G$8-$E$8),$E$8+SQRT(R1053*($G$8-$E$8)*($F$8-$E$8)),$G$8-SQRT((1-R1053)*($G$8-$E$8)*($G$8-$F$8))))</f>
        <v>0.996983133823874</v>
      </c>
      <c r="E1053" s="51" t="n">
        <f aca="false">1+IF($G$9=$E$9,$F$9,IF(S1053&lt;($F$9-$E$9)/($G$9-$E$9),$E$9+SQRT(S1053*($G$9-$E$9)*($F$9-$E$9)),$G$9-SQRT((1-S1053)*($G$9-$E$9)*($G$9-$F$9))))</f>
        <v>1.00678845867981</v>
      </c>
      <c r="F1053" s="51" t="n">
        <f aca="false">1+IF($G$10=$E$10,$F$10,IF(T1053&lt;($F$10-$E$10)/($G$10-$E$10),$E$10+SQRT(T1053*($G$10-$E$10)*($F$10-$E$10)),$G$10-SQRT((1-T1053)*($G$10-$E$10)*($G$10-$F$10))))</f>
        <v>1.12878970694067</v>
      </c>
      <c r="G1053" s="52" t="n">
        <f aca="false">IF($G$11=$E$11,$F$11,IF(U1053&lt;($F$11-$E$11)/($G$11-$E$11),$E$11+SQRT(U1053*($G$11-$E$11)*($F$11-$E$11)),$G$11-SQRT((1-U1053)*($G$11-$E$11)*($G$11-$F$11))))</f>
        <v>0.0958124837240895</v>
      </c>
      <c r="H1053" s="53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-2257579413.88135</v>
      </c>
      <c r="I1053" s="53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-31668834.3639251</v>
      </c>
      <c r="J1053" s="53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235249976.592886</v>
      </c>
      <c r="K1053" s="53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558608272.896731</v>
      </c>
      <c r="L1053" s="53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675943447.083934</v>
      </c>
      <c r="M1053" s="53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831935751.692732</v>
      </c>
      <c r="N1053" s="53" t="n">
        <f aca="false">IF(COUNT('Business Case'!B11:G11)=0,"",H1053+NPV(G1053,I1053:M1053))</f>
        <v>-670760211.845965</v>
      </c>
      <c r="P1053" s="54" t="n">
        <f aca="true">RAND()</f>
        <v>0.963760525756062</v>
      </c>
      <c r="Q1053" s="54" t="n">
        <f aca="true">RAND()</f>
        <v>0.0655282184191661</v>
      </c>
      <c r="R1053" s="54" t="n">
        <f aca="true">RAND()</f>
        <v>0.294321981854935</v>
      </c>
      <c r="S1053" s="54" t="n">
        <f aca="true">RAND()</f>
        <v>0.453078784871903</v>
      </c>
      <c r="T1053" s="54" t="n">
        <f aca="true">RAND()</f>
        <v>0.804107531419627</v>
      </c>
      <c r="U1053" s="54" t="n">
        <f aca="true">RAND()</f>
        <v>0.250034641524596</v>
      </c>
    </row>
    <row r="1054" customFormat="false" ht="15" hidden="false" customHeight="false" outlineLevel="0" collapsed="false">
      <c r="A1054" s="50" t="n">
        <v>974</v>
      </c>
      <c r="B1054" s="51" t="n">
        <f aca="false">1+IF($G$6=$E$6,$F$6,IF(P1054&lt;($F$6-$E$6)/($G$6-$E$6),$E$6+SQRT(P1054*($G$6-$E$6)*($F$6-$E$6)),$G$6-SQRT((1-P1054)*($G$6-$E$6)*($G$6-$F$6))))</f>
        <v>0.95545770514114</v>
      </c>
      <c r="C1054" s="51" t="n">
        <f aca="false">1+IF($G$7=$E$7,$F$7,IF(Q1054&lt;($F$7-$E$7)/($G$7-$E$7),$E$7+SQRT(Q1054*($G$7-$E$7)*($F$7-$E$7)),$G$7-SQRT((1-Q1054)*($G$7-$E$7)*($G$7-$F$7))))</f>
        <v>0.941711777031992</v>
      </c>
      <c r="D1054" s="51" t="n">
        <f aca="false">1+IF($G$8=$E$8,$F$8,IF(R1054&lt;($F$8-$E$8)/($G$8-$E$8),$E$8+SQRT(R1054*($G$8-$E$8)*($F$8-$E$8)),$G$8-SQRT((1-R1054)*($G$8-$E$8)*($G$8-$F$8))))</f>
        <v>0.99187752478983</v>
      </c>
      <c r="E1054" s="51" t="n">
        <f aca="false">1+IF($G$9=$E$9,$F$9,IF(S1054&lt;($F$9-$E$9)/($G$9-$E$9),$E$9+SQRT(S1054*($G$9-$E$9)*($F$9-$E$9)),$G$9-SQRT((1-S1054)*($G$9-$E$9)*($G$9-$F$9))))</f>
        <v>0.957176730752111</v>
      </c>
      <c r="F1054" s="51" t="n">
        <f aca="false">1+IF($G$10=$E$10,$F$10,IF(T1054&lt;($F$10-$E$10)/($G$10-$E$10),$E$10+SQRT(T1054*($G$10-$E$10)*($F$10-$E$10)),$G$10-SQRT((1-T1054)*($G$10-$E$10)*($G$10-$F$10))))</f>
        <v>1.09245044150636</v>
      </c>
      <c r="G1054" s="52" t="n">
        <f aca="false">IF($G$11=$E$11,$F$11,IF(U1054&lt;($F$11-$E$11)/($G$11-$E$11),$E$11+SQRT(U1054*($G$11-$E$11)*($F$11-$E$11)),$G$11-SQRT((1-U1054)*($G$11-$E$11)*($G$11-$F$11))))</f>
        <v>0.103004046729902</v>
      </c>
      <c r="H1054" s="53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-2184900883.01272</v>
      </c>
      <c r="I1054" s="53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-33191882.5879056</v>
      </c>
      <c r="J1054" s="53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225615667.780176</v>
      </c>
      <c r="K1054" s="53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539045740.223576</v>
      </c>
      <c r="L1054" s="53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656410828.807871</v>
      </c>
      <c r="M1054" s="53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827438307.013343</v>
      </c>
      <c r="N1054" s="53" t="n">
        <f aca="false">IF(COUNT('Business Case'!B11:G11)=0,"",H1054+NPV(G1054,I1054:M1054))</f>
        <v>-677566269.88191</v>
      </c>
      <c r="P1054" s="54" t="n">
        <f aca="true">RAND()</f>
        <v>0.205037137301442</v>
      </c>
      <c r="Q1054" s="54" t="n">
        <f aca="true">RAND()</f>
        <v>0.432774690044173</v>
      </c>
      <c r="R1054" s="54" t="n">
        <f aca="true">RAND()</f>
        <v>0.233830277669705</v>
      </c>
      <c r="S1054" s="54" t="n">
        <f aca="true">RAND()</f>
        <v>0.130767141579975</v>
      </c>
      <c r="T1054" s="54" t="n">
        <f aca="true">RAND()</f>
        <v>0.669041821579457</v>
      </c>
      <c r="U1054" s="54" t="n">
        <f aca="true">RAND()</f>
        <v>0.514145671359109</v>
      </c>
    </row>
    <row r="1055" customFormat="false" ht="15" hidden="false" customHeight="false" outlineLevel="0" collapsed="false">
      <c r="A1055" s="50" t="n">
        <v>975</v>
      </c>
      <c r="B1055" s="51" t="n">
        <f aca="false">1+IF($G$6=$E$6,$F$6,IF(P1055&lt;($F$6-$E$6)/($G$6-$E$6),$E$6+SQRT(P1055*($G$6-$E$6)*($F$6-$E$6)),$G$6-SQRT((1-P1055)*($G$6-$E$6)*($G$6-$F$6))))</f>
        <v>1.00979300720109</v>
      </c>
      <c r="C1055" s="51" t="n">
        <f aca="false">1+IF($G$7=$E$7,$F$7,IF(Q1055&lt;($F$7-$E$7)/($G$7-$E$7),$E$7+SQRT(Q1055*($G$7-$E$7)*($F$7-$E$7)),$G$7-SQRT((1-Q1055)*($G$7-$E$7)*($G$7-$F$7))))</f>
        <v>0.816029010719368</v>
      </c>
      <c r="D1055" s="51" t="n">
        <f aca="false">1+IF($G$8=$E$8,$F$8,IF(R1055&lt;($F$8-$E$8)/($G$8-$E$8),$E$8+SQRT(R1055*($G$8-$E$8)*($F$8-$E$8)),$G$8-SQRT((1-R1055)*($G$8-$E$8)*($G$8-$F$8))))</f>
        <v>0.977908978027488</v>
      </c>
      <c r="E1055" s="51" t="n">
        <f aca="false">1+IF($G$9=$E$9,$F$9,IF(S1055&lt;($F$9-$E$9)/($G$9-$E$9),$E$9+SQRT(S1055*($G$9-$E$9)*($F$9-$E$9)),$G$9-SQRT((1-S1055)*($G$9-$E$9)*($G$9-$F$9))))</f>
        <v>0.931041967389999</v>
      </c>
      <c r="F1055" s="51" t="n">
        <f aca="false">1+IF($G$10=$E$10,$F$10,IF(T1055&lt;($F$10-$E$10)/($G$10-$E$10),$E$10+SQRT(T1055*($G$10-$E$10)*($F$10-$E$10)),$G$10-SQRT((1-T1055)*($G$10-$E$10)*($G$10-$F$10))))</f>
        <v>1.03063452434525</v>
      </c>
      <c r="G1055" s="52" t="n">
        <f aca="false">IF($G$11=$E$11,$F$11,IF(U1055&lt;($F$11-$E$11)/($G$11-$E$11),$E$11+SQRT(U1055*($G$11-$E$11)*($F$11-$E$11)),$G$11-SQRT((1-U1055)*($G$11-$E$11)*($G$11-$F$11))))</f>
        <v>0.118589405996813</v>
      </c>
      <c r="H1055" s="53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-2061269048.69051</v>
      </c>
      <c r="I1055" s="53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-11756042.2760846</v>
      </c>
      <c r="J1055" s="53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254662752.5953</v>
      </c>
      <c r="K1055" s="53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572613273.683947</v>
      </c>
      <c r="L1055" s="53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689897683.274465</v>
      </c>
      <c r="M1055" s="53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846527478.758112</v>
      </c>
      <c r="N1055" s="53" t="n">
        <f aca="false">IF(COUNT('Business Case'!B11:G11)=0,"",H1055+NPV(G1055,I1055:M1055))</f>
        <v>-535095171.368718</v>
      </c>
      <c r="P1055" s="54" t="n">
        <f aca="true">RAND()</f>
        <v>0.784453030675734</v>
      </c>
      <c r="Q1055" s="54" t="n">
        <f aca="true">RAND()</f>
        <v>0.09972393576678</v>
      </c>
      <c r="R1055" s="54" t="n">
        <f aca="true">RAND()</f>
        <v>0.103854807271844</v>
      </c>
      <c r="S1055" s="54" t="n">
        <f aca="true">RAND()</f>
        <v>0.0385441495776701</v>
      </c>
      <c r="T1055" s="54" t="n">
        <f aca="true">RAND()</f>
        <v>0.358383841210221</v>
      </c>
      <c r="U1055" s="54" t="n">
        <f aca="true">RAND()</f>
        <v>0.913198896329625</v>
      </c>
    </row>
    <row r="1056" customFormat="false" ht="15" hidden="false" customHeight="false" outlineLevel="0" collapsed="false">
      <c r="A1056" s="50" t="n">
        <v>976</v>
      </c>
      <c r="B1056" s="51" t="n">
        <f aca="false">1+IF($G$6=$E$6,$F$6,IF(P1056&lt;($F$6-$E$6)/($G$6-$E$6),$E$6+SQRT(P1056*($G$6-$E$6)*($F$6-$E$6)),$G$6-SQRT((1-P1056)*($G$6-$E$6)*($G$6-$F$6))))</f>
        <v>0.980837740714133</v>
      </c>
      <c r="C1056" s="51" t="n">
        <f aca="false">1+IF($G$7=$E$7,$F$7,IF(Q1056&lt;($F$7-$E$7)/($G$7-$E$7),$E$7+SQRT(Q1056*($G$7-$E$7)*($F$7-$E$7)),$G$7-SQRT((1-Q1056)*($G$7-$E$7)*($G$7-$F$7))))</f>
        <v>0.985907905983619</v>
      </c>
      <c r="D1056" s="51" t="n">
        <f aca="false">1+IF($G$8=$E$8,$F$8,IF(R1056&lt;($F$8-$E$8)/($G$8-$E$8),$E$8+SQRT(R1056*($G$8-$E$8)*($F$8-$E$8)),$G$8-SQRT((1-R1056)*($G$8-$E$8)*($G$8-$F$8))))</f>
        <v>1.01639491437851</v>
      </c>
      <c r="E1056" s="51" t="n">
        <f aca="false">1+IF($G$9=$E$9,$F$9,IF(S1056&lt;($F$9-$E$9)/($G$9-$E$9),$E$9+SQRT(S1056*($G$9-$E$9)*($F$9-$E$9)),$G$9-SQRT((1-S1056)*($G$9-$E$9)*($G$9-$F$9))))</f>
        <v>1.01709809425599</v>
      </c>
      <c r="F1056" s="51" t="n">
        <f aca="false">1+IF($G$10=$E$10,$F$10,IF(T1056&lt;($F$10-$E$10)/($G$10-$E$10),$E$10+SQRT(T1056*($G$10-$E$10)*($F$10-$E$10)),$G$10-SQRT((1-T1056)*($G$10-$E$10)*($G$10-$F$10))))</f>
        <v>1.00749413035075</v>
      </c>
      <c r="G1056" s="52" t="n">
        <f aca="false">IF($G$11=$E$11,$F$11,IF(U1056&lt;($F$11-$E$11)/($G$11-$E$11),$E$11+SQRT(U1056*($G$11-$E$11)*($F$11-$E$11)),$G$11-SQRT((1-U1056)*($G$11-$E$11)*($G$11-$F$11))))</f>
        <v>0.1153912602566</v>
      </c>
      <c r="H1056" s="53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-2014988260.7015</v>
      </c>
      <c r="I1056" s="53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-16435971.9763263</v>
      </c>
      <c r="J1056" s="53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262638911.095308</v>
      </c>
      <c r="K1056" s="53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592088500.68448</v>
      </c>
      <c r="L1056" s="53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718533523.714814</v>
      </c>
      <c r="M1056" s="53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902343864.750322</v>
      </c>
      <c r="N1056" s="53" t="n">
        <f aca="false">IF(COUNT('Business Case'!B11:G11)=0,"",H1056+NPV(G1056,I1056:M1056))</f>
        <v>-405018114.45175</v>
      </c>
      <c r="P1056" s="54" t="n">
        <f aca="true">RAND()</f>
        <v>0.435649354917693</v>
      </c>
      <c r="Q1056" s="54" t="n">
        <f aca="true">RAND()</f>
        <v>0.605506153362503</v>
      </c>
      <c r="R1056" s="54" t="n">
        <f aca="true">RAND()</f>
        <v>0.53401264388157</v>
      </c>
      <c r="S1056" s="54" t="n">
        <f aca="true">RAND()</f>
        <v>0.528988891989604</v>
      </c>
      <c r="T1056" s="54" t="n">
        <f aca="true">RAND()</f>
        <v>0.21587870914215</v>
      </c>
      <c r="U1056" s="54" t="n">
        <f aca="true">RAND()</f>
        <v>0.857723148739739</v>
      </c>
    </row>
    <row r="1057" customFormat="false" ht="15" hidden="false" customHeight="false" outlineLevel="0" collapsed="false">
      <c r="A1057" s="50" t="n">
        <v>977</v>
      </c>
      <c r="B1057" s="51" t="n">
        <f aca="false">1+IF($G$6=$E$6,$F$6,IF(P1057&lt;($F$6-$E$6)/($G$6-$E$6),$E$6+SQRT(P1057*($G$6-$E$6)*($F$6-$E$6)),$G$6-SQRT((1-P1057)*($G$6-$E$6)*($G$6-$F$6))))</f>
        <v>0.920064308841755</v>
      </c>
      <c r="C1057" s="51" t="n">
        <f aca="false">1+IF($G$7=$E$7,$F$7,IF(Q1057&lt;($F$7-$E$7)/($G$7-$E$7),$E$7+SQRT(Q1057*($G$7-$E$7)*($F$7-$E$7)),$G$7-SQRT((1-Q1057)*($G$7-$E$7)*($G$7-$F$7))))</f>
        <v>1.01736842770451</v>
      </c>
      <c r="D1057" s="51" t="n">
        <f aca="false">1+IF($G$8=$E$8,$F$8,IF(R1057&lt;($F$8-$E$8)/($G$8-$E$8),$E$8+SQRT(R1057*($G$8-$E$8)*($F$8-$E$8)),$G$8-SQRT((1-R1057)*($G$8-$E$8)*($G$8-$F$8))))</f>
        <v>1.06658794326687</v>
      </c>
      <c r="E1057" s="51" t="n">
        <f aca="false">1+IF($G$9=$E$9,$F$9,IF(S1057&lt;($F$9-$E$9)/($G$9-$E$9),$E$9+SQRT(S1057*($G$9-$E$9)*($F$9-$E$9)),$G$9-SQRT((1-S1057)*($G$9-$E$9)*($G$9-$F$9))))</f>
        <v>0.947126124724758</v>
      </c>
      <c r="F1057" s="51" t="n">
        <f aca="false">1+IF($G$10=$E$10,$F$10,IF(T1057&lt;($F$10-$E$10)/($G$10-$E$10),$E$10+SQRT(T1057*($G$10-$E$10)*($F$10-$E$10)),$G$10-SQRT((1-T1057)*($G$10-$E$10)*($G$10-$F$10))))</f>
        <v>1.14713988552202</v>
      </c>
      <c r="G1057" s="52" t="n">
        <f aca="false">IF($G$11=$E$11,$F$11,IF(U1057&lt;($F$11-$E$11)/($G$11-$E$11),$E$11+SQRT(U1057*($G$11-$E$11)*($F$11-$E$11)),$G$11-SQRT((1-U1057)*($G$11-$E$11)*($G$11-$F$11))))</f>
        <v>0.0904564237828254</v>
      </c>
      <c r="H1057" s="53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-2294279771.04404</v>
      </c>
      <c r="I1057" s="53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-86723117.4686853</v>
      </c>
      <c r="J1057" s="53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124473629.172224</v>
      </c>
      <c r="K1057" s="53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393027370.089234</v>
      </c>
      <c r="L1057" s="53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495775979.383891</v>
      </c>
      <c r="M1057" s="53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673699294.996174</v>
      </c>
      <c r="N1057" s="53" t="n">
        <f aca="false">IF(COUNT('Business Case'!B11:G11)=0,"",H1057+NPV(G1057,I1057:M1057))</f>
        <v>-1178446098.05187</v>
      </c>
      <c r="P1057" s="54" t="n">
        <f aca="true">RAND()</f>
        <v>0.0268384326198209</v>
      </c>
      <c r="Q1057" s="54" t="n">
        <f aca="true">RAND()</f>
        <v>0.739390607858165</v>
      </c>
      <c r="R1057" s="54" t="n">
        <f aca="true">RAND()</f>
        <v>0.925575630990785</v>
      </c>
      <c r="S1057" s="54" t="n">
        <f aca="true">RAND()</f>
        <v>0.0888348652629382</v>
      </c>
      <c r="T1057" s="54" t="n">
        <f aca="true">RAND()</f>
        <v>0.858930624661025</v>
      </c>
      <c r="U1057" s="54" t="n">
        <f aca="true">RAND()</f>
        <v>0.109336798326037</v>
      </c>
    </row>
    <row r="1058" customFormat="false" ht="15" hidden="false" customHeight="false" outlineLevel="0" collapsed="false">
      <c r="A1058" s="50" t="n">
        <v>978</v>
      </c>
      <c r="B1058" s="51" t="n">
        <f aca="false">1+IF($G$6=$E$6,$F$6,IF(P1058&lt;($F$6-$E$6)/($G$6-$E$6),$E$6+SQRT(P1058*($G$6-$E$6)*($F$6-$E$6)),$G$6-SQRT((1-P1058)*($G$6-$E$6)*($G$6-$F$6))))</f>
        <v>1.02344422684875</v>
      </c>
      <c r="C1058" s="51" t="n">
        <f aca="false">1+IF($G$7=$E$7,$F$7,IF(Q1058&lt;($F$7-$E$7)/($G$7-$E$7),$E$7+SQRT(Q1058*($G$7-$E$7)*($F$7-$E$7)),$G$7-SQRT((1-Q1058)*($G$7-$E$7)*($G$7-$F$7))))</f>
        <v>0.947663374355147</v>
      </c>
      <c r="D1058" s="51" t="n">
        <f aca="false">1+IF($G$8=$E$8,$F$8,IF(R1058&lt;($F$8-$E$8)/($G$8-$E$8),$E$8+SQRT(R1058*($G$8-$E$8)*($F$8-$E$8)),$G$8-SQRT((1-R1058)*($G$8-$E$8)*($G$8-$F$8))))</f>
        <v>1.03394533198329</v>
      </c>
      <c r="E1058" s="51" t="n">
        <f aca="false">1+IF($G$9=$E$9,$F$9,IF(S1058&lt;($F$9-$E$9)/($G$9-$E$9),$E$9+SQRT(S1058*($G$9-$E$9)*($F$9-$E$9)),$G$9-SQRT((1-S1058)*($G$9-$E$9)*($G$9-$F$9))))</f>
        <v>0.979551416354342</v>
      </c>
      <c r="F1058" s="51" t="n">
        <f aca="false">1+IF($G$10=$E$10,$F$10,IF(T1058&lt;($F$10-$E$10)/($G$10-$E$10),$E$10+SQRT(T1058*($G$10-$E$10)*($F$10-$E$10)),$G$10-SQRT((1-T1058)*($G$10-$E$10)*($G$10-$F$10))))</f>
        <v>1.16255441974934</v>
      </c>
      <c r="G1058" s="52" t="n">
        <f aca="false">IF($G$11=$E$11,$F$11,IF(U1058&lt;($F$11-$E$11)/($G$11-$E$11),$E$11+SQRT(U1058*($G$11-$E$11)*($F$11-$E$11)),$G$11-SQRT((1-U1058)*($G$11-$E$11)*($G$11-$F$11))))</f>
        <v>0.0905588245087197</v>
      </c>
      <c r="H1058" s="53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-2325108839.49868</v>
      </c>
      <c r="I1058" s="53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-13019873.6078485</v>
      </c>
      <c r="J1058" s="53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279786516.960256</v>
      </c>
      <c r="K1058" s="53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630720628.515828</v>
      </c>
      <c r="L1058" s="53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761841832.568818</v>
      </c>
      <c r="M1058" s="53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946196738.818734</v>
      </c>
      <c r="N1058" s="53" t="n">
        <f aca="false">IF(COUNT('Business Case'!B11:G11)=0,"",H1058+NPV(G1058,I1058:M1058))</f>
        <v>-463522827.524546</v>
      </c>
      <c r="P1058" s="54" t="n">
        <f aca="true">RAND()</f>
        <v>0.905972121645219</v>
      </c>
      <c r="Q1058" s="54" t="n">
        <f aca="true">RAND()</f>
        <v>0.454349237014649</v>
      </c>
      <c r="R1058" s="54" t="n">
        <f aca="true">RAND()</f>
        <v>0.709118722213493</v>
      </c>
      <c r="S1058" s="54" t="n">
        <f aca="true">RAND()</f>
        <v>0.253137113759277</v>
      </c>
      <c r="T1058" s="54" t="n">
        <f aca="true">RAND()</f>
        <v>0.898043606595009</v>
      </c>
      <c r="U1058" s="54" t="n">
        <f aca="true">RAND()</f>
        <v>0.111488775005939</v>
      </c>
    </row>
    <row r="1059" customFormat="false" ht="15" hidden="false" customHeight="false" outlineLevel="0" collapsed="false">
      <c r="A1059" s="50" t="n">
        <v>979</v>
      </c>
      <c r="B1059" s="51" t="n">
        <f aca="false">1+IF($G$6=$E$6,$F$6,IF(P1059&lt;($F$6-$E$6)/($G$6-$E$6),$E$6+SQRT(P1059*($G$6-$E$6)*($F$6-$E$6)),$G$6-SQRT((1-P1059)*($G$6-$E$6)*($G$6-$F$6))))</f>
        <v>0.992799583132526</v>
      </c>
      <c r="C1059" s="51" t="n">
        <f aca="false">1+IF($G$7=$E$7,$F$7,IF(Q1059&lt;($F$7-$E$7)/($G$7-$E$7),$E$7+SQRT(Q1059*($G$7-$E$7)*($F$7-$E$7)),$G$7-SQRT((1-Q1059)*($G$7-$E$7)*($G$7-$F$7))))</f>
        <v>0.787329645597869</v>
      </c>
      <c r="D1059" s="51" t="n">
        <f aca="false">1+IF($G$8=$E$8,$F$8,IF(R1059&lt;($F$8-$E$8)/($G$8-$E$8),$E$8+SQRT(R1059*($G$8-$E$8)*($F$8-$E$8)),$G$8-SQRT((1-R1059)*($G$8-$E$8)*($G$8-$F$8))))</f>
        <v>1.04279072540835</v>
      </c>
      <c r="E1059" s="51" t="n">
        <f aca="false">1+IF($G$9=$E$9,$F$9,IF(S1059&lt;($F$9-$E$9)/($G$9-$E$9),$E$9+SQRT(S1059*($G$9-$E$9)*($F$9-$E$9)),$G$9-SQRT((1-S1059)*($G$9-$E$9)*($G$9-$F$9))))</f>
        <v>1.06387003077184</v>
      </c>
      <c r="F1059" s="51" t="n">
        <f aca="false">1+IF($G$10=$E$10,$F$10,IF(T1059&lt;($F$10-$E$10)/($G$10-$E$10),$E$10+SQRT(T1059*($G$10-$E$10)*($F$10-$E$10)),$G$10-SQRT((1-T1059)*($G$10-$E$10)*($G$10-$F$10))))</f>
        <v>1.06446174126398</v>
      </c>
      <c r="G1059" s="52" t="n">
        <f aca="false">IF($G$11=$E$11,$F$11,IF(U1059&lt;($F$11-$E$11)/($G$11-$E$11),$E$11+SQRT(U1059*($G$11-$E$11)*($F$11-$E$11)),$G$11-SQRT((1-U1059)*($G$11-$E$11)*($G$11-$F$11))))</f>
        <v>0.0999543062732394</v>
      </c>
      <c r="H1059" s="53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-2128923482.52797</v>
      </c>
      <c r="I1059" s="53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-78310095.213231</v>
      </c>
      <c r="J1059" s="53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141629584.673409</v>
      </c>
      <c r="K1059" s="53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414792351.623247</v>
      </c>
      <c r="L1059" s="53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515119766.650605</v>
      </c>
      <c r="M1059" s="53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663697802.842235</v>
      </c>
      <c r="N1059" s="53" t="n">
        <f aca="false">IF(COUNT('Business Case'!B11:G11)=0,"",H1059+NPV(G1059,I1059:M1059))</f>
        <v>-1007298074.22883</v>
      </c>
      <c r="P1059" s="54" t="n">
        <f aca="true">RAND()</f>
        <v>0.57411750863804</v>
      </c>
      <c r="Q1059" s="54" t="n">
        <f aca="true">RAND()</f>
        <v>0.056492348149996</v>
      </c>
      <c r="R1059" s="54" t="n">
        <f aca="true">RAND()</f>
        <v>0.781806593379803</v>
      </c>
      <c r="S1059" s="54" t="n">
        <f aca="true">RAND()</f>
        <v>0.802176757353475</v>
      </c>
      <c r="T1059" s="54" t="n">
        <f aca="true">RAND()</f>
        <v>0.541007393936098</v>
      </c>
      <c r="U1059" s="54" t="n">
        <f aca="true">RAND()</f>
        <v>0.398174338846243</v>
      </c>
    </row>
    <row r="1060" customFormat="false" ht="15" hidden="false" customHeight="false" outlineLevel="0" collapsed="false">
      <c r="A1060" s="50" t="n">
        <v>980</v>
      </c>
      <c r="B1060" s="51" t="n">
        <f aca="false">1+IF($G$6=$E$6,$F$6,IF(P1060&lt;($F$6-$E$6)/($G$6-$E$6),$E$6+SQRT(P1060*($G$6-$E$6)*($F$6-$E$6)),$G$6-SQRT((1-P1060)*($G$6-$E$6)*($G$6-$F$6))))</f>
        <v>0.920719351817481</v>
      </c>
      <c r="C1060" s="51" t="n">
        <f aca="false">1+IF($G$7=$E$7,$F$7,IF(Q1060&lt;($F$7-$E$7)/($G$7-$E$7),$E$7+SQRT(Q1060*($G$7-$E$7)*($F$7-$E$7)),$G$7-SQRT((1-Q1060)*($G$7-$E$7)*($G$7-$F$7))))</f>
        <v>1.00729991029168</v>
      </c>
      <c r="D1060" s="51" t="n">
        <f aca="false">1+IF($G$8=$E$8,$F$8,IF(R1060&lt;($F$8-$E$8)/($G$8-$E$8),$E$8+SQRT(R1060*($G$8-$E$8)*($F$8-$E$8)),$G$8-SQRT((1-R1060)*($G$8-$E$8)*($G$8-$F$8))))</f>
        <v>0.984869400958714</v>
      </c>
      <c r="E1060" s="51" t="n">
        <f aca="false">1+IF($G$9=$E$9,$F$9,IF(S1060&lt;($F$9-$E$9)/($G$9-$E$9),$E$9+SQRT(S1060*($G$9-$E$9)*($F$9-$E$9)),$G$9-SQRT((1-S1060)*($G$9-$E$9)*($G$9-$F$9))))</f>
        <v>0.989201358894941</v>
      </c>
      <c r="F1060" s="51" t="n">
        <f aca="false">1+IF($G$10=$E$10,$F$10,IF(T1060&lt;($F$10-$E$10)/($G$10-$E$10),$E$10+SQRT(T1060*($G$10-$E$10)*($F$10-$E$10)),$G$10-SQRT((1-T1060)*($G$10-$E$10)*($G$10-$F$10))))</f>
        <v>1.07855978560929</v>
      </c>
      <c r="G1060" s="52" t="n">
        <f aca="false">IF($G$11=$E$11,$F$11,IF(U1060&lt;($F$11-$E$11)/($G$11-$E$11),$E$11+SQRT(U1060*($G$11-$E$11)*($F$11-$E$11)),$G$11-SQRT((1-U1060)*($G$11-$E$11)*($G$11-$F$11))))</f>
        <v>0.0949237197472582</v>
      </c>
      <c r="H1060" s="53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-2157119571.21857</v>
      </c>
      <c r="I1060" s="53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-44813137.5989867</v>
      </c>
      <c r="J1060" s="53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206972653.179995</v>
      </c>
      <c r="K1060" s="53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512686433.239441</v>
      </c>
      <c r="L1060" s="53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628667374.553887</v>
      </c>
      <c r="M1060" s="53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804955268.688543</v>
      </c>
      <c r="N1060" s="53" t="n">
        <f aca="false">IF(COUNT('Business Case'!B11:G11)=0,"",H1060+NPV(G1060,I1060:M1060))</f>
        <v>-685920201.479951</v>
      </c>
      <c r="P1060" s="54" t="n">
        <f aca="true">RAND()</f>
        <v>0.028619435982436</v>
      </c>
      <c r="Q1060" s="54" t="n">
        <f aca="true">RAND()</f>
        <v>0.698321250329434</v>
      </c>
      <c r="R1060" s="54" t="n">
        <f aca="true">RAND()</f>
        <v>0.162116683095939</v>
      </c>
      <c r="S1060" s="54" t="n">
        <f aca="true">RAND()</f>
        <v>0.318275297148164</v>
      </c>
      <c r="T1060" s="54" t="n">
        <f aca="true">RAND()</f>
        <v>0.608110038528886</v>
      </c>
      <c r="U1060" s="54" t="n">
        <f aca="true">RAND()</f>
        <v>0.222717411094704</v>
      </c>
    </row>
    <row r="1061" customFormat="false" ht="15" hidden="false" customHeight="false" outlineLevel="0" collapsed="false">
      <c r="A1061" s="50" t="n">
        <v>981</v>
      </c>
      <c r="B1061" s="51" t="n">
        <f aca="false">1+IF($G$6=$E$6,$F$6,IF(P1061&lt;($F$6-$E$6)/($G$6-$E$6),$E$6+SQRT(P1061*($G$6-$E$6)*($F$6-$E$6)),$G$6-SQRT((1-P1061)*($G$6-$E$6)*($G$6-$F$6))))</f>
        <v>0.919974622326295</v>
      </c>
      <c r="C1061" s="51" t="n">
        <f aca="false">1+IF($G$7=$E$7,$F$7,IF(Q1061&lt;($F$7-$E$7)/($G$7-$E$7),$E$7+SQRT(Q1061*($G$7-$E$7)*($F$7-$E$7)),$G$7-SQRT((1-Q1061)*($G$7-$E$7)*($G$7-$F$7))))</f>
        <v>0.982453344996313</v>
      </c>
      <c r="D1061" s="51" t="n">
        <f aca="false">1+IF($G$8=$E$8,$F$8,IF(R1061&lt;($F$8-$E$8)/($G$8-$E$8),$E$8+SQRT(R1061*($G$8-$E$8)*($F$8-$E$8)),$G$8-SQRT((1-R1061)*($G$8-$E$8)*($G$8-$F$8))))</f>
        <v>1.02863018045016</v>
      </c>
      <c r="E1061" s="51" t="n">
        <f aca="false">1+IF($G$9=$E$9,$F$9,IF(S1061&lt;($F$9-$E$9)/($G$9-$E$9),$E$9+SQRT(S1061*($G$9-$E$9)*($F$9-$E$9)),$G$9-SQRT((1-S1061)*($G$9-$E$9)*($G$9-$F$9))))</f>
        <v>1.12336614886126</v>
      </c>
      <c r="F1061" s="51" t="n">
        <f aca="false">1+IF($G$10=$E$10,$F$10,IF(T1061&lt;($F$10-$E$10)/($G$10-$E$10),$E$10+SQRT(T1061*($G$10-$E$10)*($F$10-$E$10)),$G$10-SQRT((1-T1061)*($G$10-$E$10)*($G$10-$F$10))))</f>
        <v>1.05748506703396</v>
      </c>
      <c r="G1061" s="52" t="n">
        <f aca="false">IF($G$11=$E$11,$F$11,IF(U1061&lt;($F$11-$E$11)/($G$11-$E$11),$E$11+SQRT(U1061*($G$11-$E$11)*($F$11-$E$11)),$G$11-SQRT((1-U1061)*($G$11-$E$11)*($G$11-$F$11))))</f>
        <v>0.10656612172126</v>
      </c>
      <c r="H1061" s="53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-2114970134.06793</v>
      </c>
      <c r="I1061" s="53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-89378937.0057644</v>
      </c>
      <c r="J1061" s="53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133587957.457578</v>
      </c>
      <c r="K1061" s="53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409429105.272619</v>
      </c>
      <c r="L1061" s="53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514987842.358826</v>
      </c>
      <c r="M1061" s="53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686788256.483503</v>
      </c>
      <c r="N1061" s="53" t="n">
        <f aca="false">IF(COUNT('Business Case'!B11:G11)=0,"",H1061+NPV(G1061,I1061:M1061))</f>
        <v>-1027070289.00037</v>
      </c>
      <c r="P1061" s="54" t="n">
        <f aca="true">RAND()</f>
        <v>0.0265990358052087</v>
      </c>
      <c r="Q1061" s="54" t="n">
        <f aca="true">RAND()</f>
        <v>0.590962163700788</v>
      </c>
      <c r="R1061" s="54" t="n">
        <f aca="true">RAND()</f>
        <v>0.660423257161578</v>
      </c>
      <c r="S1061" s="54" t="n">
        <f aca="true">RAND()</f>
        <v>0.981083679293854</v>
      </c>
      <c r="T1061" s="54" t="n">
        <f aca="true">RAND()</f>
        <v>0.505840007801097</v>
      </c>
      <c r="U1061" s="54" t="n">
        <f aca="true">RAND()</f>
        <v>0.63390223254479</v>
      </c>
    </row>
    <row r="1062" customFormat="false" ht="15" hidden="false" customHeight="false" outlineLevel="0" collapsed="false">
      <c r="A1062" s="50" t="n">
        <v>982</v>
      </c>
      <c r="B1062" s="51" t="n">
        <f aca="false">1+IF($G$6=$E$6,$F$6,IF(P1062&lt;($F$6-$E$6)/($G$6-$E$6),$E$6+SQRT(P1062*($G$6-$E$6)*($F$6-$E$6)),$G$6-SQRT((1-P1062)*($G$6-$E$6)*($G$6-$F$6))))</f>
        <v>1.02311224075941</v>
      </c>
      <c r="C1062" s="51" t="n">
        <f aca="false">1+IF($G$7=$E$7,$F$7,IF(Q1062&lt;($F$7-$E$7)/($G$7-$E$7),$E$7+SQRT(Q1062*($G$7-$E$7)*($F$7-$E$7)),$G$7-SQRT((1-Q1062)*($G$7-$E$7)*($G$7-$F$7))))</f>
        <v>0.965441089369299</v>
      </c>
      <c r="D1062" s="51" t="n">
        <f aca="false">1+IF($G$8=$E$8,$F$8,IF(R1062&lt;($F$8-$E$8)/($G$8-$E$8),$E$8+SQRT(R1062*($G$8-$E$8)*($F$8-$E$8)),$G$8-SQRT((1-R1062)*($G$8-$E$8)*($G$8-$F$8))))</f>
        <v>1.08215751390447</v>
      </c>
      <c r="E1062" s="51" t="n">
        <f aca="false">1+IF($G$9=$E$9,$F$9,IF(S1062&lt;($F$9-$E$9)/($G$9-$E$9),$E$9+SQRT(S1062*($G$9-$E$9)*($F$9-$E$9)),$G$9-SQRT((1-S1062)*($G$9-$E$9)*($G$9-$F$9))))</f>
        <v>0.967249364853977</v>
      </c>
      <c r="F1062" s="51" t="n">
        <f aca="false">1+IF($G$10=$E$10,$F$10,IF(T1062&lt;($F$10-$E$10)/($G$10-$E$10),$E$10+SQRT(T1062*($G$10-$E$10)*($F$10-$E$10)),$G$10-SQRT((1-T1062)*($G$10-$E$10)*($G$10-$F$10))))</f>
        <v>1.02107519264276</v>
      </c>
      <c r="G1062" s="52" t="n">
        <f aca="false">IF($G$11=$E$11,$F$11,IF(U1062&lt;($F$11-$E$11)/($G$11-$E$11),$E$11+SQRT(U1062*($G$11-$E$11)*($F$11-$E$11)),$G$11-SQRT((1-U1062)*($G$11-$E$11)*($G$11-$F$11))))</f>
        <v>0.0984649314186828</v>
      </c>
      <c r="H1062" s="53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-2042150385.28553</v>
      </c>
      <c r="I1062" s="53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-16646640.2936243</v>
      </c>
      <c r="J1062" s="53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257562296.629684</v>
      </c>
      <c r="K1062" s="53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582824993.185131</v>
      </c>
      <c r="L1062" s="53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708364771.006514</v>
      </c>
      <c r="M1062" s="53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896117164.664724</v>
      </c>
      <c r="N1062" s="53" t="n">
        <f aca="false">IF(COUNT('Business Case'!B11:G11)=0,"",H1062+NPV(G1062,I1062:M1062))</f>
        <v>-357274823.865793</v>
      </c>
      <c r="P1062" s="54" t="n">
        <f aca="true">RAND()</f>
        <v>0.90360645373604</v>
      </c>
      <c r="Q1062" s="54" t="n">
        <f aca="true">RAND()</f>
        <v>0.521918310559705</v>
      </c>
      <c r="R1062" s="54" t="n">
        <f aca="true">RAND()</f>
        <v>0.978776379328714</v>
      </c>
      <c r="S1062" s="54" t="n">
        <f aca="true">RAND()</f>
        <v>0.180899082930535</v>
      </c>
      <c r="T1062" s="54" t="n">
        <f aca="true">RAND()</f>
        <v>0.301245767686032</v>
      </c>
      <c r="U1062" s="54" t="n">
        <f aca="true">RAND()</f>
        <v>0.340953692296659</v>
      </c>
    </row>
    <row r="1063" customFormat="false" ht="15" hidden="false" customHeight="false" outlineLevel="0" collapsed="false">
      <c r="A1063" s="50" t="n">
        <v>983</v>
      </c>
      <c r="B1063" s="51" t="n">
        <f aca="false">1+IF($G$6=$E$6,$F$6,IF(P1063&lt;($F$6-$E$6)/($G$6-$E$6),$E$6+SQRT(P1063*($G$6-$E$6)*($F$6-$E$6)),$G$6-SQRT((1-P1063)*($G$6-$E$6)*($G$6-$F$6))))</f>
        <v>1.0085873392438</v>
      </c>
      <c r="C1063" s="51" t="n">
        <f aca="false">1+IF($G$7=$E$7,$F$7,IF(Q1063&lt;($F$7-$E$7)/($G$7-$E$7),$E$7+SQRT(Q1063*($G$7-$E$7)*($F$7-$E$7)),$G$7-SQRT((1-Q1063)*($G$7-$E$7)*($G$7-$F$7))))</f>
        <v>1.00547681546605</v>
      </c>
      <c r="D1063" s="51" t="n">
        <f aca="false">1+IF($G$8=$E$8,$F$8,IF(R1063&lt;($F$8-$E$8)/($G$8-$E$8),$E$8+SQRT(R1063*($G$8-$E$8)*($F$8-$E$8)),$G$8-SQRT((1-R1063)*($G$8-$E$8)*($G$8-$F$8))))</f>
        <v>1.01776231338252</v>
      </c>
      <c r="E1063" s="51" t="n">
        <f aca="false">1+IF($G$9=$E$9,$F$9,IF(S1063&lt;($F$9-$E$9)/($G$9-$E$9),$E$9+SQRT(S1063*($G$9-$E$9)*($F$9-$E$9)),$G$9-SQRT((1-S1063)*($G$9-$E$9)*($G$9-$F$9))))</f>
        <v>1.08212111420518</v>
      </c>
      <c r="F1063" s="51" t="n">
        <f aca="false">1+IF($G$10=$E$10,$F$10,IF(T1063&lt;($F$10-$E$10)/($G$10-$E$10),$E$10+SQRT(T1063*($G$10-$E$10)*($F$10-$E$10)),$G$10-SQRT((1-T1063)*($G$10-$E$10)*($G$10-$F$10))))</f>
        <v>0.99621109467076</v>
      </c>
      <c r="G1063" s="52" t="n">
        <f aca="false">IF($G$11=$E$11,$F$11,IF(U1063&lt;($F$11-$E$11)/($G$11-$E$11),$E$11+SQRT(U1063*($G$11-$E$11)*($F$11-$E$11)),$G$11-SQRT((1-U1063)*($G$11-$E$11)*($G$11-$F$11))))</f>
        <v>0.0987239405925298</v>
      </c>
      <c r="H1063" s="53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-1992422189.34152</v>
      </c>
      <c r="I1063" s="53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693446.651508153</v>
      </c>
      <c r="J1063" s="53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307457149.091388</v>
      </c>
      <c r="K1063" s="53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664031406.264807</v>
      </c>
      <c r="L1063" s="53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801333656.332313</v>
      </c>
      <c r="M1063" s="53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994095910.563817</v>
      </c>
      <c r="N1063" s="53" t="n">
        <f aca="false">IF(COUNT('Business Case'!B11:G11)=0,"",H1063+NPV(G1063,I1063:M1063))</f>
        <v>-65749941.0388157</v>
      </c>
      <c r="P1063" s="54" t="n">
        <f aca="true">RAND()</f>
        <v>0.771332203878966</v>
      </c>
      <c r="Q1063" s="54" t="n">
        <f aca="true">RAND()</f>
        <v>0.690563690846903</v>
      </c>
      <c r="R1063" s="54" t="n">
        <f aca="true">RAND()</f>
        <v>0.549130859987026</v>
      </c>
      <c r="S1063" s="54" t="n">
        <f aca="true">RAND()</f>
        <v>0.877132183020111</v>
      </c>
      <c r="T1063" s="54" t="n">
        <f aca="true">RAND()</f>
        <v>0.142364351377998</v>
      </c>
      <c r="U1063" s="54" t="n">
        <f aca="true">RAND()</f>
        <v>0.350585951312584</v>
      </c>
    </row>
    <row r="1064" customFormat="false" ht="15" hidden="false" customHeight="false" outlineLevel="0" collapsed="false">
      <c r="A1064" s="50" t="n">
        <v>984</v>
      </c>
      <c r="B1064" s="51" t="n">
        <f aca="false">1+IF($G$6=$E$6,$F$6,IF(P1064&lt;($F$6-$E$6)/($G$6-$E$6),$E$6+SQRT(P1064*($G$6-$E$6)*($F$6-$E$6)),$G$6-SQRT((1-P1064)*($G$6-$E$6)*($G$6-$F$6))))</f>
        <v>0.983974446878033</v>
      </c>
      <c r="C1064" s="51" t="n">
        <f aca="false">1+IF($G$7=$E$7,$F$7,IF(Q1064&lt;($F$7-$E$7)/($G$7-$E$7),$E$7+SQRT(Q1064*($G$7-$E$7)*($F$7-$E$7)),$G$7-SQRT((1-Q1064)*($G$7-$E$7)*($G$7-$F$7))))</f>
        <v>1.05294999294837</v>
      </c>
      <c r="D1064" s="51" t="n">
        <f aca="false">1+IF($G$8=$E$8,$F$8,IF(R1064&lt;($F$8-$E$8)/($G$8-$E$8),$E$8+SQRT(R1064*($G$8-$E$8)*($F$8-$E$8)),$G$8-SQRT((1-R1064)*($G$8-$E$8)*($G$8-$F$8))))</f>
        <v>1.02039136294959</v>
      </c>
      <c r="E1064" s="51" t="n">
        <f aca="false">1+IF($G$9=$E$9,$F$9,IF(S1064&lt;($F$9-$E$9)/($G$9-$E$9),$E$9+SQRT(S1064*($G$9-$E$9)*($F$9-$E$9)),$G$9-SQRT((1-S1064)*($G$9-$E$9)*($G$9-$F$9))))</f>
        <v>0.978828702143514</v>
      </c>
      <c r="F1064" s="51" t="n">
        <f aca="false">1+IF($G$10=$E$10,$F$10,IF(T1064&lt;($F$10-$E$10)/($G$10-$E$10),$E$10+SQRT(T1064*($G$10-$E$10)*($F$10-$E$10)),$G$10-SQRT((1-T1064)*($G$10-$E$10)*($G$10-$F$10))))</f>
        <v>1.14455870066583</v>
      </c>
      <c r="G1064" s="52" t="n">
        <f aca="false">IF($G$11=$E$11,$F$11,IF(U1064&lt;($F$11-$E$11)/($G$11-$E$11),$E$11+SQRT(U1064*($G$11-$E$11)*($F$11-$E$11)),$G$11-SQRT((1-U1064)*($G$11-$E$11)*($G$11-$F$11))))</f>
        <v>0.0976048354497737</v>
      </c>
      <c r="H1064" s="53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-2289117401.33166</v>
      </c>
      <c r="I1064" s="53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-8752375.1180712</v>
      </c>
      <c r="J1064" s="53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289850735.252227</v>
      </c>
      <c r="K1064" s="53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645681780.655817</v>
      </c>
      <c r="L1064" s="53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781022933.43057</v>
      </c>
      <c r="M1064" s="53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977960238.012826</v>
      </c>
      <c r="N1064" s="53" t="n">
        <f aca="false">IF(COUNT('Business Case'!B11:G11)=0,"",H1064+NPV(G1064,I1064:M1064))</f>
        <v>-416194233.450128</v>
      </c>
      <c r="P1064" s="54" t="n">
        <f aca="true">RAND()</f>
        <v>0.470113848564776</v>
      </c>
      <c r="Q1064" s="54" t="n">
        <f aca="true">RAND()</f>
        <v>0.860463646389309</v>
      </c>
      <c r="R1064" s="54" t="n">
        <f aca="true">RAND()</f>
        <v>0.577497660465093</v>
      </c>
      <c r="S1064" s="54" t="n">
        <f aca="true">RAND()</f>
        <v>0.248558571265232</v>
      </c>
      <c r="T1064" s="54" t="n">
        <f aca="true">RAND()</f>
        <v>0.851761765262964</v>
      </c>
      <c r="U1064" s="54" t="n">
        <f aca="true">RAND()</f>
        <v>0.309930231213608</v>
      </c>
    </row>
    <row r="1065" customFormat="false" ht="15" hidden="false" customHeight="false" outlineLevel="0" collapsed="false">
      <c r="A1065" s="50" t="n">
        <v>985</v>
      </c>
      <c r="B1065" s="51" t="n">
        <f aca="false">1+IF($G$6=$E$6,$F$6,IF(P1065&lt;($F$6-$E$6)/($G$6-$E$6),$E$6+SQRT(P1065*($G$6-$E$6)*($F$6-$E$6)),$G$6-SQRT((1-P1065)*($G$6-$E$6)*($G$6-$F$6))))</f>
        <v>0.972706677101479</v>
      </c>
      <c r="C1065" s="51" t="n">
        <f aca="false">1+IF($G$7=$E$7,$F$7,IF(Q1065&lt;($F$7-$E$7)/($G$7-$E$7),$E$7+SQRT(Q1065*($G$7-$E$7)*($F$7-$E$7)),$G$7-SQRT((1-Q1065)*($G$7-$E$7)*($G$7-$F$7))))</f>
        <v>0.967336553957193</v>
      </c>
      <c r="D1065" s="51" t="n">
        <f aca="false">1+IF($G$8=$E$8,$F$8,IF(R1065&lt;($F$8-$E$8)/($G$8-$E$8),$E$8+SQRT(R1065*($G$8-$E$8)*($F$8-$E$8)),$G$8-SQRT((1-R1065)*($G$8-$E$8)*($G$8-$F$8))))</f>
        <v>0.990306300850921</v>
      </c>
      <c r="E1065" s="51" t="n">
        <f aca="false">1+IF($G$9=$E$9,$F$9,IF(S1065&lt;($F$9-$E$9)/($G$9-$E$9),$E$9+SQRT(S1065*($G$9-$E$9)*($F$9-$E$9)),$G$9-SQRT((1-S1065)*($G$9-$E$9)*($G$9-$F$9))))</f>
        <v>1.02811685171845</v>
      </c>
      <c r="F1065" s="51" t="n">
        <f aca="false">1+IF($G$10=$E$10,$F$10,IF(T1065&lt;($F$10-$E$10)/($G$10-$E$10),$E$10+SQRT(T1065*($G$10-$E$10)*($F$10-$E$10)),$G$10-SQRT((1-T1065)*($G$10-$E$10)*($G$10-$F$10))))</f>
        <v>1.07907370410242</v>
      </c>
      <c r="G1065" s="52" t="n">
        <f aca="false">IF($G$11=$E$11,$F$11,IF(U1065&lt;($F$11-$E$11)/($G$11-$E$11),$E$11+SQRT(U1065*($G$11-$E$11)*($F$11-$E$11)),$G$11-SQRT((1-U1065)*($G$11-$E$11)*($G$11-$F$11))))</f>
        <v>0.0923380622667715</v>
      </c>
      <c r="H1065" s="53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-2158147408.20485</v>
      </c>
      <c r="I1065" s="53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-22588975.031855</v>
      </c>
      <c r="J1065" s="53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257705692.806892</v>
      </c>
      <c r="K1065" s="53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591954045.850759</v>
      </c>
      <c r="L1065" s="53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717904305.894339</v>
      </c>
      <c r="M1065" s="53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896757178.429656</v>
      </c>
      <c r="N1065" s="53" t="n">
        <f aca="false">IF(COUNT('Business Case'!B11:G11)=0,"",H1065+NPV(G1065,I1065:M1065))</f>
        <v>-427819500.096911</v>
      </c>
      <c r="P1065" s="54" t="n">
        <f aca="true">RAND()</f>
        <v>0.352417393009253</v>
      </c>
      <c r="Q1065" s="54" t="n">
        <f aca="true">RAND()</f>
        <v>0.529398763568199</v>
      </c>
      <c r="R1065" s="54" t="n">
        <f aca="true">RAND()</f>
        <v>0.216613051771328</v>
      </c>
      <c r="S1065" s="54" t="n">
        <f aca="true">RAND()</f>
        <v>0.603853284399398</v>
      </c>
      <c r="T1065" s="54" t="n">
        <f aca="true">RAND()</f>
        <v>0.610456018276461</v>
      </c>
      <c r="U1065" s="54" t="n">
        <f aca="true">RAND()</f>
        <v>0.152227780498729</v>
      </c>
    </row>
    <row r="1066" customFormat="false" ht="15" hidden="false" customHeight="false" outlineLevel="0" collapsed="false">
      <c r="A1066" s="50" t="n">
        <v>986</v>
      </c>
      <c r="B1066" s="51" t="n">
        <f aca="false">1+IF($G$6=$E$6,$F$6,IF(P1066&lt;($F$6-$E$6)/($G$6-$E$6),$E$6+SQRT(P1066*($G$6-$E$6)*($F$6-$E$6)),$G$6-SQRT((1-P1066)*($G$6-$E$6)*($G$6-$F$6))))</f>
        <v>0.958261578613911</v>
      </c>
      <c r="C1066" s="51" t="n">
        <f aca="false">1+IF($G$7=$E$7,$F$7,IF(Q1066&lt;($F$7-$E$7)/($G$7-$E$7),$E$7+SQRT(Q1066*($G$7-$E$7)*($F$7-$E$7)),$G$7-SQRT((1-Q1066)*($G$7-$E$7)*($G$7-$F$7))))</f>
        <v>0.982247538829454</v>
      </c>
      <c r="D1066" s="51" t="n">
        <f aca="false">1+IF($G$8=$E$8,$F$8,IF(R1066&lt;($F$8-$E$8)/($G$8-$E$8),$E$8+SQRT(R1066*($G$8-$E$8)*($F$8-$E$8)),$G$8-SQRT((1-R1066)*($G$8-$E$8)*($G$8-$F$8))))</f>
        <v>0.984759190655678</v>
      </c>
      <c r="E1066" s="51" t="n">
        <f aca="false">1+IF($G$9=$E$9,$F$9,IF(S1066&lt;($F$9-$E$9)/($G$9-$E$9),$E$9+SQRT(S1066*($G$9-$E$9)*($F$9-$E$9)),$G$9-SQRT((1-S1066)*($G$9-$E$9)*($G$9-$F$9))))</f>
        <v>0.975352991748609</v>
      </c>
      <c r="F1066" s="51" t="n">
        <f aca="false">1+IF($G$10=$E$10,$F$10,IF(T1066&lt;($F$10-$E$10)/($G$10-$E$10),$E$10+SQRT(T1066*($G$10-$E$10)*($F$10-$E$10)),$G$10-SQRT((1-T1066)*($G$10-$E$10)*($G$10-$F$10))))</f>
        <v>1.21090935012015</v>
      </c>
      <c r="G1066" s="52" t="n">
        <f aca="false">IF($G$11=$E$11,$F$11,IF(U1066&lt;($F$11-$E$11)/($G$11-$E$11),$E$11+SQRT(U1066*($G$11-$E$11)*($F$11-$E$11)),$G$11-SQRT((1-U1066)*($G$11-$E$11)*($G$11-$F$11))))</f>
        <v>0.0934682015378086</v>
      </c>
      <c r="H1066" s="53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-2421818700.2403</v>
      </c>
      <c r="I1066" s="53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-32797542.241629</v>
      </c>
      <c r="J1066" s="53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242985449.954779</v>
      </c>
      <c r="K1066" s="53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579313909.657195</v>
      </c>
      <c r="L1066" s="53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703771176.388911</v>
      </c>
      <c r="M1066" s="53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882683991.053268</v>
      </c>
      <c r="N1066" s="53" t="n">
        <f aca="false">IF(COUNT('Business Case'!B11:G11)=0,"",H1066+NPV(G1066,I1066:M1066))</f>
        <v>-748580841.240297</v>
      </c>
      <c r="P1066" s="54" t="n">
        <f aca="true">RAND()</f>
        <v>0.226294102838996</v>
      </c>
      <c r="Q1066" s="54" t="n">
        <f aca="true">RAND()</f>
        <v>0.590101282779881</v>
      </c>
      <c r="R1066" s="54" t="n">
        <f aca="true">RAND()</f>
        <v>0.161093511338367</v>
      </c>
      <c r="S1066" s="54" t="n">
        <f aca="true">RAND()</f>
        <v>0.227122934618634</v>
      </c>
      <c r="T1066" s="54" t="n">
        <f aca="true">RAND()</f>
        <v>0.979625614559615</v>
      </c>
      <c r="U1066" s="54" t="n">
        <f aca="true">RAND()</f>
        <v>0.181392452663029</v>
      </c>
    </row>
    <row r="1067" customFormat="false" ht="15" hidden="false" customHeight="false" outlineLevel="0" collapsed="false">
      <c r="A1067" s="50" t="n">
        <v>987</v>
      </c>
      <c r="B1067" s="51" t="n">
        <f aca="false">1+IF($G$6=$E$6,$F$6,IF(P1067&lt;($F$6-$E$6)/($G$6-$E$6),$E$6+SQRT(P1067*($G$6-$E$6)*($F$6-$E$6)),$G$6-SQRT((1-P1067)*($G$6-$E$6)*($G$6-$F$6))))</f>
        <v>0.985918141328455</v>
      </c>
      <c r="C1067" s="51" t="n">
        <f aca="false">1+IF($G$7=$E$7,$F$7,IF(Q1067&lt;($F$7-$E$7)/($G$7-$E$7),$E$7+SQRT(Q1067*($G$7-$E$7)*($F$7-$E$7)),$G$7-SQRT((1-Q1067)*($G$7-$E$7)*($G$7-$F$7))))</f>
        <v>1.1038512886254</v>
      </c>
      <c r="D1067" s="51" t="n">
        <f aca="false">1+IF($G$8=$E$8,$F$8,IF(R1067&lt;($F$8-$E$8)/($G$8-$E$8),$E$8+SQRT(R1067*($G$8-$E$8)*($F$8-$E$8)),$G$8-SQRT((1-R1067)*($G$8-$E$8)*($G$8-$F$8))))</f>
        <v>0.979686112149482</v>
      </c>
      <c r="E1067" s="51" t="n">
        <f aca="false">1+IF($G$9=$E$9,$F$9,IF(S1067&lt;($F$9-$E$9)/($G$9-$E$9),$E$9+SQRT(S1067*($G$9-$E$9)*($F$9-$E$9)),$G$9-SQRT((1-S1067)*($G$9-$E$9)*($G$9-$F$9))))</f>
        <v>0.952748586338387</v>
      </c>
      <c r="F1067" s="51" t="n">
        <f aca="false">1+IF($G$10=$E$10,$F$10,IF(T1067&lt;($F$10-$E$10)/($G$10-$E$10),$E$10+SQRT(T1067*($G$10-$E$10)*($F$10-$E$10)),$G$10-SQRT((1-T1067)*($G$10-$E$10)*($G$10-$F$10))))</f>
        <v>1.03214691070257</v>
      </c>
      <c r="G1067" s="52" t="n">
        <f aca="false">IF($G$11=$E$11,$F$11,IF(U1067&lt;($F$11-$E$11)/($G$11-$E$11),$E$11+SQRT(U1067*($G$11-$E$11)*($F$11-$E$11)),$G$11-SQRT((1-U1067)*($G$11-$E$11)*($G$11-$F$11))))</f>
        <v>0.0945351377845985</v>
      </c>
      <c r="H1067" s="53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-2064293821.40515</v>
      </c>
      <c r="I1067" s="53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42683916.6724405</v>
      </c>
      <c r="J1067" s="53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380481208.831529</v>
      </c>
      <c r="K1067" s="53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769885846.525746</v>
      </c>
      <c r="L1067" s="53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920096834.204824</v>
      </c>
      <c r="M1067" s="53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1126962230.81476</v>
      </c>
      <c r="N1067" s="53" t="n">
        <f aca="false">IF(COUNT('Business Case'!B11:G11)=0,"",H1067+NPV(G1067,I1067:M1067))</f>
        <v>237915297.118489</v>
      </c>
      <c r="P1067" s="54" t="n">
        <f aca="true">RAND()</f>
        <v>0.492128467289093</v>
      </c>
      <c r="Q1067" s="54" t="n">
        <f aca="true">RAND()</f>
        <v>0.968448836125393</v>
      </c>
      <c r="R1067" s="54" t="n">
        <f aca="true">RAND()</f>
        <v>0.117502033940219</v>
      </c>
      <c r="S1067" s="54" t="n">
        <f aca="true">RAND()</f>
        <v>0.111296534427931</v>
      </c>
      <c r="T1067" s="54" t="n">
        <f aca="true">RAND()</f>
        <v>0.367200419780894</v>
      </c>
      <c r="U1067" s="54" t="n">
        <f aca="true">RAND()</f>
        <v>0.211270230417262</v>
      </c>
    </row>
    <row r="1068" customFormat="false" ht="15" hidden="false" customHeight="false" outlineLevel="0" collapsed="false">
      <c r="A1068" s="50" t="n">
        <v>988</v>
      </c>
      <c r="B1068" s="51" t="n">
        <f aca="false">1+IF($G$6=$E$6,$F$6,IF(P1068&lt;($F$6-$E$6)/($G$6-$E$6),$E$6+SQRT(P1068*($G$6-$E$6)*($F$6-$E$6)),$G$6-SQRT((1-P1068)*($G$6-$E$6)*($G$6-$F$6))))</f>
        <v>1.01293121778856</v>
      </c>
      <c r="C1068" s="51" t="n">
        <f aca="false">1+IF($G$7=$E$7,$F$7,IF(Q1068&lt;($F$7-$E$7)/($G$7-$E$7),$E$7+SQRT(Q1068*($G$7-$E$7)*($F$7-$E$7)),$G$7-SQRT((1-Q1068)*($G$7-$E$7)*($G$7-$F$7))))</f>
        <v>0.89944538435176</v>
      </c>
      <c r="D1068" s="51" t="n">
        <f aca="false">1+IF($G$8=$E$8,$F$8,IF(R1068&lt;($F$8-$E$8)/($G$8-$E$8),$E$8+SQRT(R1068*($G$8-$E$8)*($F$8-$E$8)),$G$8-SQRT((1-R1068)*($G$8-$E$8)*($G$8-$F$8))))</f>
        <v>0.980036631914341</v>
      </c>
      <c r="E1068" s="51" t="n">
        <f aca="false">1+IF($G$9=$E$9,$F$9,IF(S1068&lt;($F$9-$E$9)/($G$9-$E$9),$E$9+SQRT(S1068*($G$9-$E$9)*($F$9-$E$9)),$G$9-SQRT((1-S1068)*($G$9-$E$9)*($G$9-$F$9))))</f>
        <v>1.10578969552739</v>
      </c>
      <c r="F1068" s="51" t="n">
        <f aca="false">1+IF($G$10=$E$10,$F$10,IF(T1068&lt;($F$10-$E$10)/($G$10-$E$10),$E$10+SQRT(T1068*($G$10-$E$10)*($F$10-$E$10)),$G$10-SQRT((1-T1068)*($G$10-$E$10)*($G$10-$F$10))))</f>
        <v>1.12494113514613</v>
      </c>
      <c r="G1068" s="52" t="n">
        <f aca="false">IF($G$11=$E$11,$F$11,IF(U1068&lt;($F$11-$E$11)/($G$11-$E$11),$E$11+SQRT(U1068*($G$11-$E$11)*($F$11-$E$11)),$G$11-SQRT((1-U1068)*($G$11-$E$11)*($G$11-$F$11))))</f>
        <v>0.128322464337179</v>
      </c>
      <c r="H1068" s="53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-2249882270.29227</v>
      </c>
      <c r="I1068" s="53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-21982576.3734849</v>
      </c>
      <c r="J1068" s="53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273002451.304575</v>
      </c>
      <c r="K1068" s="53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624234535.739942</v>
      </c>
      <c r="L1068" s="53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754049675.521253</v>
      </c>
      <c r="M1068" s="53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927227060.242023</v>
      </c>
      <c r="N1068" s="53" t="n">
        <f aca="false">IF(COUNT('Business Case'!B11:G11)=0,"",H1068+NPV(G1068,I1068:M1068))</f>
        <v>-648126062.960903</v>
      </c>
      <c r="P1068" s="54" t="n">
        <f aca="true">RAND()</f>
        <v>0.816787384714814</v>
      </c>
      <c r="Q1068" s="54" t="n">
        <f aca="true">RAND()</f>
        <v>0.294655269179416</v>
      </c>
      <c r="R1068" s="54" t="n">
        <f aca="true">RAND()</f>
        <v>0.120293234234351</v>
      </c>
      <c r="S1068" s="54" t="n">
        <f aca="true">RAND()</f>
        <v>0.947878639425039</v>
      </c>
      <c r="T1068" s="54" t="n">
        <f aca="true">RAND()</f>
        <v>0.791470404286164</v>
      </c>
      <c r="U1068" s="54" t="n">
        <f aca="true">RAND()</f>
        <v>0.998123916066643</v>
      </c>
    </row>
    <row r="1069" customFormat="false" ht="15" hidden="false" customHeight="false" outlineLevel="0" collapsed="false">
      <c r="A1069" s="50" t="n">
        <v>989</v>
      </c>
      <c r="B1069" s="51" t="n">
        <f aca="false">1+IF($G$6=$E$6,$F$6,IF(P1069&lt;($F$6-$E$6)/($G$6-$E$6),$E$6+SQRT(P1069*($G$6-$E$6)*($F$6-$E$6)),$G$6-SQRT((1-P1069)*($G$6-$E$6)*($G$6-$F$6))))</f>
        <v>0.999233337020268</v>
      </c>
      <c r="C1069" s="51" t="n">
        <f aca="false">1+IF($G$7=$E$7,$F$7,IF(Q1069&lt;($F$7-$E$7)/($G$7-$E$7),$E$7+SQRT(Q1069*($G$7-$E$7)*($F$7-$E$7)),$G$7-SQRT((1-Q1069)*($G$7-$E$7)*($G$7-$F$7))))</f>
        <v>0.913652250116777</v>
      </c>
      <c r="D1069" s="51" t="n">
        <f aca="false">1+IF($G$8=$E$8,$F$8,IF(R1069&lt;($F$8-$E$8)/($G$8-$E$8),$E$8+SQRT(R1069*($G$8-$E$8)*($F$8-$E$8)),$G$8-SQRT((1-R1069)*($G$8-$E$8)*($G$8-$F$8))))</f>
        <v>1.02654388880926</v>
      </c>
      <c r="E1069" s="51" t="n">
        <f aca="false">1+IF($G$9=$E$9,$F$9,IF(S1069&lt;($F$9-$E$9)/($G$9-$E$9),$E$9+SQRT(S1069*($G$9-$E$9)*($F$9-$E$9)),$G$9-SQRT((1-S1069)*($G$9-$E$9)*($G$9-$F$9))))</f>
        <v>1.01149316211279</v>
      </c>
      <c r="F1069" s="51" t="n">
        <f aca="false">1+IF($G$10=$E$10,$F$10,IF(T1069&lt;($F$10-$E$10)/($G$10-$E$10),$E$10+SQRT(T1069*($G$10-$E$10)*($F$10-$E$10)),$G$10-SQRT((1-T1069)*($G$10-$E$10)*($G$10-$F$10))))</f>
        <v>1.08085207109919</v>
      </c>
      <c r="G1069" s="52" t="n">
        <f aca="false">IF($G$11=$E$11,$F$11,IF(U1069&lt;($F$11-$E$11)/($G$11-$E$11),$E$11+SQRT(U1069*($G$11-$E$11)*($F$11-$E$11)),$G$11-SQRT((1-U1069)*($G$11-$E$11)*($G$11-$F$11))))</f>
        <v>0.103595641304266</v>
      </c>
      <c r="H1069" s="53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-2161704142.19839</v>
      </c>
      <c r="I1069" s="53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-31605593.7053532</v>
      </c>
      <c r="J1069" s="53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236035767.977303</v>
      </c>
      <c r="K1069" s="53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557719733.214919</v>
      </c>
      <c r="L1069" s="53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678485134.192906</v>
      </c>
      <c r="M1069" s="53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852019009.820297</v>
      </c>
      <c r="N1069" s="53" t="n">
        <f aca="false">IF(COUNT('Business Case'!B11:G11)=0,"",H1069+NPV(G1069,I1069:M1069))</f>
        <v>-603721384.379408</v>
      </c>
      <c r="P1069" s="54" t="n">
        <f aca="true">RAND()</f>
        <v>0.656483678411866</v>
      </c>
      <c r="Q1069" s="54" t="n">
        <f aca="true">RAND()</f>
        <v>0.338128029481198</v>
      </c>
      <c r="R1069" s="54" t="n">
        <f aca="true">RAND()</f>
        <v>0.640279981915583</v>
      </c>
      <c r="S1069" s="54" t="n">
        <f aca="true">RAND()</f>
        <v>0.488422822892928</v>
      </c>
      <c r="T1069" s="54" t="n">
        <f aca="true">RAND()</f>
        <v>0.618519708647575</v>
      </c>
      <c r="U1069" s="54" t="n">
        <f aca="true">RAND()</f>
        <v>0.535206561244681</v>
      </c>
    </row>
    <row r="1070" customFormat="false" ht="15" hidden="false" customHeight="false" outlineLevel="0" collapsed="false">
      <c r="A1070" s="50" t="n">
        <v>990</v>
      </c>
      <c r="B1070" s="51" t="n">
        <f aca="false">1+IF($G$6=$E$6,$F$6,IF(P1070&lt;($F$6-$E$6)/($G$6-$E$6),$E$6+SQRT(P1070*($G$6-$E$6)*($F$6-$E$6)),$G$6-SQRT((1-P1070)*($G$6-$E$6)*($G$6-$F$6))))</f>
        <v>0.969156336641526</v>
      </c>
      <c r="C1070" s="51" t="n">
        <f aca="false">1+IF($G$7=$E$7,$F$7,IF(Q1070&lt;($F$7-$E$7)/($G$7-$E$7),$E$7+SQRT(Q1070*($G$7-$E$7)*($F$7-$E$7)),$G$7-SQRT((1-Q1070)*($G$7-$E$7)*($G$7-$F$7))))</f>
        <v>0.882466082417161</v>
      </c>
      <c r="D1070" s="51" t="n">
        <f aca="false">1+IF($G$8=$E$8,$F$8,IF(R1070&lt;($F$8-$E$8)/($G$8-$E$8),$E$8+SQRT(R1070*($G$8-$E$8)*($F$8-$E$8)),$G$8-SQRT((1-R1070)*($G$8-$E$8)*($G$8-$F$8))))</f>
        <v>1.00169480006845</v>
      </c>
      <c r="E1070" s="51" t="n">
        <f aca="false">1+IF($G$9=$E$9,$F$9,IF(S1070&lt;($F$9-$E$9)/($G$9-$E$9),$E$9+SQRT(S1070*($G$9-$E$9)*($F$9-$E$9)),$G$9-SQRT((1-S1070)*($G$9-$E$9)*($G$9-$F$9))))</f>
        <v>1.06677798871051</v>
      </c>
      <c r="F1070" s="51" t="n">
        <f aca="false">1+IF($G$10=$E$10,$F$10,IF(T1070&lt;($F$10-$E$10)/($G$10-$E$10),$E$10+SQRT(T1070*($G$10-$E$10)*($F$10-$E$10)),$G$10-SQRT((1-T1070)*($G$10-$E$10)*($G$10-$F$10))))</f>
        <v>1.03841385827094</v>
      </c>
      <c r="G1070" s="52" t="n">
        <f aca="false">IF($G$11=$E$11,$F$11,IF(U1070&lt;($F$11-$E$11)/($G$11-$E$11),$E$11+SQRT(U1070*($G$11-$E$11)*($F$11-$E$11)),$G$11-SQRT((1-U1070)*($G$11-$E$11)*($G$11-$F$11))))</f>
        <v>0.0959778835025557</v>
      </c>
      <c r="H1070" s="53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-2076827716.54188</v>
      </c>
      <c r="I1070" s="53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-51881558.8132714</v>
      </c>
      <c r="J1070" s="53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196110133.553466</v>
      </c>
      <c r="K1070" s="53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496022518.83375</v>
      </c>
      <c r="L1070" s="53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608243773.194848</v>
      </c>
      <c r="M1070" s="53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770809236.175205</v>
      </c>
      <c r="N1070" s="53" t="n">
        <f aca="false">IF(COUNT('Business Case'!B11:G11)=0,"",H1070+NPV(G1070,I1070:M1070))</f>
        <v>-675082861.744989</v>
      </c>
      <c r="P1070" s="54" t="n">
        <f aca="true">RAND()</f>
        <v>0.318839926511741</v>
      </c>
      <c r="Q1070" s="54" t="n">
        <f aca="true">RAND()</f>
        <v>0.246621268390121</v>
      </c>
      <c r="R1070" s="54" t="n">
        <f aca="true">RAND()</f>
        <v>0.355739177761198</v>
      </c>
      <c r="S1070" s="54" t="n">
        <f aca="true">RAND()</f>
        <v>0.815309248984875</v>
      </c>
      <c r="T1070" s="54" t="n">
        <f aca="true">RAND()</f>
        <v>0.403084061709473</v>
      </c>
      <c r="U1070" s="54" t="n">
        <f aca="true">RAND()</f>
        <v>0.255292761221241</v>
      </c>
    </row>
    <row r="1071" customFormat="false" ht="15" hidden="false" customHeight="false" outlineLevel="0" collapsed="false">
      <c r="A1071" s="50" t="n">
        <v>991</v>
      </c>
      <c r="B1071" s="51" t="n">
        <f aca="false">1+IF($G$6=$E$6,$F$6,IF(P1071&lt;($F$6-$E$6)/($G$6-$E$6),$E$6+SQRT(P1071*($G$6-$E$6)*($F$6-$E$6)),$G$6-SQRT((1-P1071)*($G$6-$E$6)*($G$6-$F$6))))</f>
        <v>1.02004897463627</v>
      </c>
      <c r="C1071" s="51" t="n">
        <f aca="false">1+IF($G$7=$E$7,$F$7,IF(Q1071&lt;($F$7-$E$7)/($G$7-$E$7),$E$7+SQRT(Q1071*($G$7-$E$7)*($F$7-$E$7)),$G$7-SQRT((1-Q1071)*($G$7-$E$7)*($G$7-$F$7))))</f>
        <v>0.951932164096233</v>
      </c>
      <c r="D1071" s="51" t="n">
        <f aca="false">1+IF($G$8=$E$8,$F$8,IF(R1071&lt;($F$8-$E$8)/($G$8-$E$8),$E$8+SQRT(R1071*($G$8-$E$8)*($F$8-$E$8)),$G$8-SQRT((1-R1071)*($G$8-$E$8)*($G$8-$F$8))))</f>
        <v>1.00961728405275</v>
      </c>
      <c r="E1071" s="51" t="n">
        <f aca="false">1+IF($G$9=$E$9,$F$9,IF(S1071&lt;($F$9-$E$9)/($G$9-$E$9),$E$9+SQRT(S1071*($G$9-$E$9)*($F$9-$E$9)),$G$9-SQRT((1-S1071)*($G$9-$E$9)*($G$9-$F$9))))</f>
        <v>1.05069233799744</v>
      </c>
      <c r="F1071" s="51" t="n">
        <f aca="false">1+IF($G$10=$E$10,$F$10,IF(T1071&lt;($F$10-$E$10)/($G$10-$E$10),$E$10+SQRT(T1071*($G$10-$E$10)*($F$10-$E$10)),$G$10-SQRT((1-T1071)*($G$10-$E$10)*($G$10-$F$10))))</f>
        <v>1.1447489402084</v>
      </c>
      <c r="G1071" s="52" t="n">
        <f aca="false">IF($G$11=$E$11,$F$11,IF(U1071&lt;($F$11-$E$11)/($G$11-$E$11),$E$11+SQRT(U1071*($G$11-$E$11)*($F$11-$E$11)),$G$11-SQRT((1-U1071)*($G$11-$E$11)*($G$11-$F$11))))</f>
        <v>0.105254251588236</v>
      </c>
      <c r="H1071" s="53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-2289497880.4168</v>
      </c>
      <c r="I1071" s="53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-10887443.3128684</v>
      </c>
      <c r="J1071" s="53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292446001.321175</v>
      </c>
      <c r="K1071" s="53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653016892.965639</v>
      </c>
      <c r="L1071" s="53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787686403.485544</v>
      </c>
      <c r="M1071" s="53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972257396.182609</v>
      </c>
      <c r="N1071" s="53" t="n">
        <f aca="false">IF(COUNT('Business Case'!B11:G11)=0,"",H1071+NPV(G1071,I1071:M1071))</f>
        <v>-458968270.567567</v>
      </c>
      <c r="P1071" s="54" t="n">
        <f aca="true">RAND()</f>
        <v>0.88039147728814</v>
      </c>
      <c r="Q1071" s="54" t="n">
        <f aca="true">RAND()</f>
        <v>0.470146780046008</v>
      </c>
      <c r="R1071" s="54" t="n">
        <f aca="true">RAND()</f>
        <v>0.455397643866574</v>
      </c>
      <c r="S1071" s="54" t="n">
        <f aca="true">RAND()</f>
        <v>0.737013020468941</v>
      </c>
      <c r="T1071" s="54" t="n">
        <f aca="true">RAND()</f>
        <v>0.852296192169935</v>
      </c>
      <c r="U1071" s="54" t="n">
        <f aca="true">RAND()</f>
        <v>0.591765290361118</v>
      </c>
    </row>
    <row r="1072" customFormat="false" ht="15" hidden="false" customHeight="false" outlineLevel="0" collapsed="false">
      <c r="A1072" s="50" t="n">
        <v>992</v>
      </c>
      <c r="B1072" s="51" t="n">
        <f aca="false">1+IF($G$6=$E$6,$F$6,IF(P1072&lt;($F$6-$E$6)/($G$6-$E$6),$E$6+SQRT(P1072*($G$6-$E$6)*($F$6-$E$6)),$G$6-SQRT((1-P1072)*($G$6-$E$6)*($G$6-$F$6))))</f>
        <v>0.969313008423362</v>
      </c>
      <c r="C1072" s="51" t="n">
        <f aca="false">1+IF($G$7=$E$7,$F$7,IF(Q1072&lt;($F$7-$E$7)/($G$7-$E$7),$E$7+SQRT(Q1072*($G$7-$E$7)*($F$7-$E$7)),$G$7-SQRT((1-Q1072)*($G$7-$E$7)*($G$7-$F$7))))</f>
        <v>1.00503027486203</v>
      </c>
      <c r="D1072" s="51" t="n">
        <f aca="false">1+IF($G$8=$E$8,$F$8,IF(R1072&lt;($F$8-$E$8)/($G$8-$E$8),$E$8+SQRT(R1072*($G$8-$E$8)*($F$8-$E$8)),$G$8-SQRT((1-R1072)*($G$8-$E$8)*($G$8-$F$8))))</f>
        <v>1.02099507869006</v>
      </c>
      <c r="E1072" s="51" t="n">
        <f aca="false">1+IF($G$9=$E$9,$F$9,IF(S1072&lt;($F$9-$E$9)/($G$9-$E$9),$E$9+SQRT(S1072*($G$9-$E$9)*($F$9-$E$9)),$G$9-SQRT((1-S1072)*($G$9-$E$9)*($G$9-$F$9))))</f>
        <v>0.917441898541312</v>
      </c>
      <c r="F1072" s="51" t="n">
        <f aca="false">1+IF($G$10=$E$10,$F$10,IF(T1072&lt;($F$10-$E$10)/($G$10-$E$10),$E$10+SQRT(T1072*($G$10-$E$10)*($F$10-$E$10)),$G$10-SQRT((1-T1072)*($G$10-$E$10)*($G$10-$F$10))))</f>
        <v>1.2086159889625</v>
      </c>
      <c r="G1072" s="52" t="n">
        <f aca="false">IF($G$11=$E$11,$F$11,IF(U1072&lt;($F$11-$E$11)/($G$11-$E$11),$E$11+SQRT(U1072*($G$11-$E$11)*($F$11-$E$11)),$G$11-SQRT((1-U1072)*($G$11-$E$11)*($G$11-$F$11))))</f>
        <v>0.119874706253046</v>
      </c>
      <c r="H1072" s="53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-2417231977.92499</v>
      </c>
      <c r="I1072" s="53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-29189887.3314162</v>
      </c>
      <c r="J1072" s="53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243444015.781626</v>
      </c>
      <c r="K1072" s="53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576508718.342793</v>
      </c>
      <c r="L1072" s="53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701054655.097563</v>
      </c>
      <c r="M1072" s="53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886228484.874889</v>
      </c>
      <c r="N1072" s="53" t="n">
        <f aca="false">IF(COUNT('Business Case'!B11:G11)=0,"",H1072+NPV(G1072,I1072:M1072))</f>
        <v>-889812975.458641</v>
      </c>
      <c r="P1072" s="54" t="n">
        <f aca="true">RAND()</f>
        <v>0.320286209113138</v>
      </c>
      <c r="Q1072" s="54" t="n">
        <f aca="true">RAND()</f>
        <v>0.688648574717336</v>
      </c>
      <c r="R1072" s="54" t="n">
        <f aca="true">RAND()</f>
        <v>0.583881493920633</v>
      </c>
      <c r="S1072" s="54" t="n">
        <f aca="true">RAND()</f>
        <v>0.0121687929890175</v>
      </c>
      <c r="T1072" s="54" t="n">
        <f aca="true">RAND()</f>
        <v>0.97716484840597</v>
      </c>
      <c r="U1072" s="54" t="n">
        <f aca="true">RAND()</f>
        <v>0.93165228435859</v>
      </c>
    </row>
    <row r="1073" customFormat="false" ht="15" hidden="false" customHeight="false" outlineLevel="0" collapsed="false">
      <c r="A1073" s="50" t="n">
        <v>993</v>
      </c>
      <c r="B1073" s="51" t="n">
        <f aca="false">1+IF($G$6=$E$6,$F$6,IF(P1073&lt;($F$6-$E$6)/($G$6-$E$6),$E$6+SQRT(P1073*($G$6-$E$6)*($F$6-$E$6)),$G$6-SQRT((1-P1073)*($G$6-$E$6)*($G$6-$F$6))))</f>
        <v>1.02883704340952</v>
      </c>
      <c r="C1073" s="51" t="n">
        <f aca="false">1+IF($G$7=$E$7,$F$7,IF(Q1073&lt;($F$7-$E$7)/($G$7-$E$7),$E$7+SQRT(Q1073*($G$7-$E$7)*($F$7-$E$7)),$G$7-SQRT((1-Q1073)*($G$7-$E$7)*($G$7-$F$7))))</f>
        <v>1.05038372227804</v>
      </c>
      <c r="D1073" s="51" t="n">
        <f aca="false">1+IF($G$8=$E$8,$F$8,IF(R1073&lt;($F$8-$E$8)/($G$8-$E$8),$E$8+SQRT(R1073*($G$8-$E$8)*($F$8-$E$8)),$G$8-SQRT((1-R1073)*($G$8-$E$8)*($G$8-$F$8))))</f>
        <v>1.05168635028599</v>
      </c>
      <c r="E1073" s="51" t="n">
        <f aca="false">1+IF($G$9=$E$9,$F$9,IF(S1073&lt;($F$9-$E$9)/($G$9-$E$9),$E$9+SQRT(S1073*($G$9-$E$9)*($F$9-$E$9)),$G$9-SQRT((1-S1073)*($G$9-$E$9)*($G$9-$F$9))))</f>
        <v>1.05271790509621</v>
      </c>
      <c r="F1073" s="51" t="n">
        <f aca="false">1+IF($G$10=$E$10,$F$10,IF(T1073&lt;($F$10-$E$10)/($G$10-$E$10),$E$10+SQRT(T1073*($G$10-$E$10)*($F$10-$E$10)),$G$10-SQRT((1-T1073)*($G$10-$E$10)*($G$10-$F$10))))</f>
        <v>0.997720303201204</v>
      </c>
      <c r="G1073" s="52" t="n">
        <f aca="false">IF($G$11=$E$11,$F$11,IF(U1073&lt;($F$11-$E$11)/($G$11-$E$11),$E$11+SQRT(U1073*($G$11-$E$11)*($F$11-$E$11)),$G$11-SQRT((1-U1073)*($G$11-$E$11)*($G$11-$F$11))))</f>
        <v>0.107262486572666</v>
      </c>
      <c r="H1073" s="53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-1995440606.40241</v>
      </c>
      <c r="I1073" s="53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14154086.5581687</v>
      </c>
      <c r="J1073" s="53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333798813.282065</v>
      </c>
      <c r="K1073" s="53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703329555.166021</v>
      </c>
      <c r="L1073" s="53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847225879.90127</v>
      </c>
      <c r="M1073" s="53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1052640333.618</v>
      </c>
      <c r="N1073" s="53" t="n">
        <f aca="false">IF(COUNT('Business Case'!B11:G11)=0,"",H1073+NPV(G1073,I1073:M1073))</f>
        <v>3779340.11814356</v>
      </c>
      <c r="P1073" s="54" t="n">
        <f aca="true">RAND()</f>
        <v>0.940283902446591</v>
      </c>
      <c r="Q1073" s="54" t="n">
        <f aca="true">RAND()</f>
        <v>0.852986625375135</v>
      </c>
      <c r="R1073" s="54" t="n">
        <f aca="true">RAND()</f>
        <v>0.844386083420766</v>
      </c>
      <c r="S1073" s="54" t="n">
        <f aca="true">RAND()</f>
        <v>0.747631840296811</v>
      </c>
      <c r="T1073" s="54" t="n">
        <f aca="true">RAND()</f>
        <v>0.15181515584099</v>
      </c>
      <c r="U1073" s="54" t="n">
        <f aca="true">RAND()</f>
        <v>0.655336988761203</v>
      </c>
    </row>
    <row r="1074" customFormat="false" ht="15" hidden="false" customHeight="false" outlineLevel="0" collapsed="false">
      <c r="A1074" s="50" t="n">
        <v>994</v>
      </c>
      <c r="B1074" s="51" t="n">
        <f aca="false">1+IF($G$6=$E$6,$F$6,IF(P1074&lt;($F$6-$E$6)/($G$6-$E$6),$E$6+SQRT(P1074*($G$6-$E$6)*($F$6-$E$6)),$G$6-SQRT((1-P1074)*($G$6-$E$6)*($G$6-$F$6))))</f>
        <v>0.980263557284945</v>
      </c>
      <c r="C1074" s="51" t="n">
        <f aca="false">1+IF($G$7=$E$7,$F$7,IF(Q1074&lt;($F$7-$E$7)/($G$7-$E$7),$E$7+SQRT(Q1074*($G$7-$E$7)*($F$7-$E$7)),$G$7-SQRT((1-Q1074)*($G$7-$E$7)*($G$7-$F$7))))</f>
        <v>0.985657747893777</v>
      </c>
      <c r="D1074" s="51" t="n">
        <f aca="false">1+IF($G$8=$E$8,$F$8,IF(R1074&lt;($F$8-$E$8)/($G$8-$E$8),$E$8+SQRT(R1074*($G$8-$E$8)*($F$8-$E$8)),$G$8-SQRT((1-R1074)*($G$8-$E$8)*($G$8-$F$8))))</f>
        <v>1.05360774915747</v>
      </c>
      <c r="E1074" s="51" t="n">
        <f aca="false">1+IF($G$9=$E$9,$F$9,IF(S1074&lt;($F$9-$E$9)/($G$9-$E$9),$E$9+SQRT(S1074*($G$9-$E$9)*($F$9-$E$9)),$G$9-SQRT((1-S1074)*($G$9-$E$9)*($G$9-$F$9))))</f>
        <v>1.03532458847867</v>
      </c>
      <c r="F1074" s="51" t="n">
        <f aca="false">1+IF($G$10=$E$10,$F$10,IF(T1074&lt;($F$10-$E$10)/($G$10-$E$10),$E$10+SQRT(T1074*($G$10-$E$10)*($F$10-$E$10)),$G$10-SQRT((1-T1074)*($G$10-$E$10)*($G$10-$F$10))))</f>
        <v>1.02472041598491</v>
      </c>
      <c r="G1074" s="52" t="n">
        <f aca="false">IF($G$11=$E$11,$F$11,IF(U1074&lt;($F$11-$E$11)/($G$11-$E$11),$E$11+SQRT(U1074*($G$11-$E$11)*($F$11-$E$11)),$G$11-SQRT((1-U1074)*($G$11-$E$11)*($G$11-$F$11))))</f>
        <v>0.107771832453719</v>
      </c>
      <c r="H1074" s="53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-2049440831.96982</v>
      </c>
      <c r="I1074" s="53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-40019487.2728055</v>
      </c>
      <c r="J1074" s="53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219744258.086536</v>
      </c>
      <c r="K1074" s="53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530744024.245122</v>
      </c>
      <c r="L1074" s="53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650723962.399562</v>
      </c>
      <c r="M1074" s="53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834380089.090185</v>
      </c>
      <c r="N1074" s="53" t="n">
        <f aca="false">IF(COUNT('Business Case'!B11:G11)=0,"",H1074+NPV(G1074,I1074:M1074))</f>
        <v>-583802396.343792</v>
      </c>
      <c r="P1074" s="54" t="n">
        <f aca="true">RAND()</f>
        <v>0.429482575202239</v>
      </c>
      <c r="Q1074" s="54" t="n">
        <f aca="true">RAND()</f>
        <v>0.604447029124034</v>
      </c>
      <c r="R1074" s="54" t="n">
        <f aca="true">RAND()</f>
        <v>0.856517270784252</v>
      </c>
      <c r="S1074" s="54" t="n">
        <f aca="true">RAND()</f>
        <v>0.64932133313105</v>
      </c>
      <c r="T1074" s="54" t="n">
        <f aca="true">RAND()</f>
        <v>0.323321453679852</v>
      </c>
      <c r="U1074" s="54" t="n">
        <f aca="true">RAND()</f>
        <v>0.670605711689639</v>
      </c>
    </row>
    <row r="1075" customFormat="false" ht="15" hidden="false" customHeight="false" outlineLevel="0" collapsed="false">
      <c r="A1075" s="50" t="n">
        <v>995</v>
      </c>
      <c r="B1075" s="51" t="n">
        <f aca="false">1+IF($G$6=$E$6,$F$6,IF(P1075&lt;($F$6-$E$6)/($G$6-$E$6),$E$6+SQRT(P1075*($G$6-$E$6)*($F$6-$E$6)),$G$6-SQRT((1-P1075)*($G$6-$E$6)*($G$6-$F$6))))</f>
        <v>0.95684692601159</v>
      </c>
      <c r="C1075" s="51" t="n">
        <f aca="false">1+IF($G$7=$E$7,$F$7,IF(Q1075&lt;($F$7-$E$7)/($G$7-$E$7),$E$7+SQRT(Q1075*($G$7-$E$7)*($F$7-$E$7)),$G$7-SQRT((1-Q1075)*($G$7-$E$7)*($G$7-$F$7))))</f>
        <v>1.02268275380496</v>
      </c>
      <c r="D1075" s="51" t="n">
        <f aca="false">1+IF($G$8=$E$8,$F$8,IF(R1075&lt;($F$8-$E$8)/($G$8-$E$8),$E$8+SQRT(R1075*($G$8-$E$8)*($F$8-$E$8)),$G$8-SQRT((1-R1075)*($G$8-$E$8)*($G$8-$F$8))))</f>
        <v>1.05661636830729</v>
      </c>
      <c r="E1075" s="51" t="n">
        <f aca="false">1+IF($G$9=$E$9,$F$9,IF(S1075&lt;($F$9-$E$9)/($G$9-$E$9),$E$9+SQRT(S1075*($G$9-$E$9)*($F$9-$E$9)),$G$9-SQRT((1-S1075)*($G$9-$E$9)*($G$9-$F$9))))</f>
        <v>0.936509991213623</v>
      </c>
      <c r="F1075" s="51" t="n">
        <f aca="false">1+IF($G$10=$E$10,$F$10,IF(T1075&lt;($F$10-$E$10)/($G$10-$E$10),$E$10+SQRT(T1075*($G$10-$E$10)*($F$10-$E$10)),$G$10-SQRT((1-T1075)*($G$10-$E$10)*($G$10-$F$10))))</f>
        <v>0.993494429255975</v>
      </c>
      <c r="G1075" s="52" t="n">
        <f aca="false">IF($G$11=$E$11,$F$11,IF(U1075&lt;($F$11-$E$11)/($G$11-$E$11),$E$11+SQRT(U1075*($G$11-$E$11)*($F$11-$E$11)),$G$11-SQRT((1-U1075)*($G$11-$E$11)*($G$11-$F$11))))</f>
        <v>0.0901097069378656</v>
      </c>
      <c r="H1075" s="53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-1986988858.51195</v>
      </c>
      <c r="I1075" s="53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-34917860.5022004</v>
      </c>
      <c r="J1075" s="53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213413518.697586</v>
      </c>
      <c r="K1075" s="53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511419619.360171</v>
      </c>
      <c r="L1075" s="53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628015463.110641</v>
      </c>
      <c r="M1075" s="53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814018408.538618</v>
      </c>
      <c r="N1075" s="53" t="n">
        <f aca="false">IF(COUNT('Business Case'!B11:G11)=0,"",H1075+NPV(G1075,I1075:M1075))</f>
        <v>-471127202.107289</v>
      </c>
      <c r="P1075" s="54" t="n">
        <f aca="true">RAND()</f>
        <v>0.215438199797816</v>
      </c>
      <c r="Q1075" s="54" t="n">
        <f aca="true">RAND()</f>
        <v>0.759856575130545</v>
      </c>
      <c r="R1075" s="54" t="n">
        <f aca="true">RAND()</f>
        <v>0.874524033410106</v>
      </c>
      <c r="S1075" s="54" t="n">
        <f aca="true">RAND()</f>
        <v>0.0533191783367536</v>
      </c>
      <c r="T1075" s="54" t="n">
        <f aca="true">RAND()</f>
        <v>0.126117691753536</v>
      </c>
      <c r="U1075" s="54" t="n">
        <f aca="true">RAND()</f>
        <v>0.102206174369529</v>
      </c>
    </row>
    <row r="1076" customFormat="false" ht="15" hidden="false" customHeight="false" outlineLevel="0" collapsed="false">
      <c r="A1076" s="50" t="n">
        <v>996</v>
      </c>
      <c r="B1076" s="51" t="n">
        <f aca="false">1+IF($G$6=$E$6,$F$6,IF(P1076&lt;($F$6-$E$6)/($G$6-$E$6),$E$6+SQRT(P1076*($G$6-$E$6)*($F$6-$E$6)),$G$6-SQRT((1-P1076)*($G$6-$E$6)*($G$6-$F$6))))</f>
        <v>0.993535941910658</v>
      </c>
      <c r="C1076" s="51" t="n">
        <f aca="false">1+IF($G$7=$E$7,$F$7,IF(Q1076&lt;($F$7-$E$7)/($G$7-$E$7),$E$7+SQRT(Q1076*($G$7-$E$7)*($F$7-$E$7)),$G$7-SQRT((1-Q1076)*($G$7-$E$7)*($G$7-$F$7))))</f>
        <v>1.08898586412746</v>
      </c>
      <c r="D1076" s="51" t="n">
        <f aca="false">1+IF($G$8=$E$8,$F$8,IF(R1076&lt;($F$8-$E$8)/($G$8-$E$8),$E$8+SQRT(R1076*($G$8-$E$8)*($F$8-$E$8)),$G$8-SQRT((1-R1076)*($G$8-$E$8)*($G$8-$F$8))))</f>
        <v>0.999774866189815</v>
      </c>
      <c r="E1076" s="51" t="n">
        <f aca="false">1+IF($G$9=$E$9,$F$9,IF(S1076&lt;($F$9-$E$9)/($G$9-$E$9),$E$9+SQRT(S1076*($G$9-$E$9)*($F$9-$E$9)),$G$9-SQRT((1-S1076)*($G$9-$E$9)*($G$9-$F$9))))</f>
        <v>0.960101958026871</v>
      </c>
      <c r="F1076" s="51" t="n">
        <f aca="false">1+IF($G$10=$E$10,$F$10,IF(T1076&lt;($F$10-$E$10)/($G$10-$E$10),$E$10+SQRT(T1076*($G$10-$E$10)*($F$10-$E$10)),$G$10-SQRT((1-T1076)*($G$10-$E$10)*($G$10-$F$10))))</f>
        <v>1.2032989810379</v>
      </c>
      <c r="G1076" s="52" t="n">
        <f aca="false">IF($G$11=$E$11,$F$11,IF(U1076&lt;($F$11-$E$11)/($G$11-$E$11),$E$11+SQRT(U1076*($G$11-$E$11)*($F$11-$E$11)),$G$11-SQRT((1-U1076)*($G$11-$E$11)*($G$11-$F$11))))</f>
        <v>0.094228477042409</v>
      </c>
      <c r="H1076" s="53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-2406597962.07579</v>
      </c>
      <c r="I1076" s="53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15899516.9950285</v>
      </c>
      <c r="J1076" s="53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344743542.074519</v>
      </c>
      <c r="K1076" s="53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733752516.205904</v>
      </c>
      <c r="L1076" s="53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880759265.598568</v>
      </c>
      <c r="M1076" s="53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1086415674.61249</v>
      </c>
      <c r="N1076" s="53" t="n">
        <f aca="false">IF(COUNT('Business Case'!B11:G11)=0,"",H1076+NPV(G1076,I1076:M1076))</f>
        <v>-237172865.766524</v>
      </c>
      <c r="P1076" s="54" t="n">
        <f aca="true">RAND()</f>
        <v>0.583264828607594</v>
      </c>
      <c r="Q1076" s="54" t="n">
        <f aca="true">RAND()</f>
        <v>0.944848521833002</v>
      </c>
      <c r="R1076" s="54" t="n">
        <f aca="true">RAND()</f>
        <v>0.330338307228533</v>
      </c>
      <c r="S1076" s="54" t="n">
        <f aca="true">RAND()</f>
        <v>0.144489814346552</v>
      </c>
      <c r="T1076" s="54" t="n">
        <f aca="true">RAND()</f>
        <v>0.970920197705349</v>
      </c>
      <c r="U1076" s="54" t="n">
        <f aca="true">RAND()</f>
        <v>0.202449558946361</v>
      </c>
    </row>
    <row r="1077" customFormat="false" ht="15" hidden="false" customHeight="false" outlineLevel="0" collapsed="false">
      <c r="A1077" s="50" t="n">
        <v>997</v>
      </c>
      <c r="B1077" s="51" t="n">
        <f aca="false">1+IF($G$6=$E$6,$F$6,IF(P1077&lt;($F$6-$E$6)/($G$6-$E$6),$E$6+SQRT(P1077*($G$6-$E$6)*($F$6-$E$6)),$G$6-SQRT((1-P1077)*($G$6-$E$6)*($G$6-$F$6))))</f>
        <v>1.01574564244335</v>
      </c>
      <c r="C1077" s="51" t="n">
        <f aca="false">1+IF($G$7=$E$7,$F$7,IF(Q1077&lt;($F$7-$E$7)/($G$7-$E$7),$E$7+SQRT(Q1077*($G$7-$E$7)*($F$7-$E$7)),$G$7-SQRT((1-Q1077)*($G$7-$E$7)*($G$7-$F$7))))</f>
        <v>1.09321939137643</v>
      </c>
      <c r="D1077" s="51" t="n">
        <f aca="false">1+IF($G$8=$E$8,$F$8,IF(R1077&lt;($F$8-$E$8)/($G$8-$E$8),$E$8+SQRT(R1077*($G$8-$E$8)*($F$8-$E$8)),$G$8-SQRT((1-R1077)*($G$8-$E$8)*($G$8-$F$8))))</f>
        <v>1.01543948939472</v>
      </c>
      <c r="E1077" s="51" t="n">
        <f aca="false">1+IF($G$9=$E$9,$F$9,IF(S1077&lt;($F$9-$E$9)/($G$9-$E$9),$E$9+SQRT(S1077*($G$9-$E$9)*($F$9-$E$9)),$G$9-SQRT((1-S1077)*($G$9-$E$9)*($G$9-$F$9))))</f>
        <v>0.972193442266628</v>
      </c>
      <c r="F1077" s="51" t="n">
        <f aca="false">1+IF($G$10=$E$10,$F$10,IF(T1077&lt;($F$10-$E$10)/($G$10-$E$10),$E$10+SQRT(T1077*($G$10-$E$10)*($F$10-$E$10)),$G$10-SQRT((1-T1077)*($G$10-$E$10)*($G$10-$F$10))))</f>
        <v>1.22995617636587</v>
      </c>
      <c r="G1077" s="52" t="n">
        <f aca="false">IF($G$11=$E$11,$F$11,IF(U1077&lt;($F$11-$E$11)/($G$11-$E$11),$E$11+SQRT(U1077*($G$11-$E$11)*($F$11-$E$11)),$G$11-SQRT((1-U1077)*($G$11-$E$11)*($G$11-$F$11))))</f>
        <v>0.0854420128559776</v>
      </c>
      <c r="H1077" s="53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-2459912352.73173</v>
      </c>
      <c r="I1077" s="53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22436638.0971636</v>
      </c>
      <c r="J1077" s="53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363679639.385253</v>
      </c>
      <c r="K1077" s="53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766420449.491636</v>
      </c>
      <c r="L1077" s="53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918544675.297016</v>
      </c>
      <c r="M1077" s="53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1129615748.19844</v>
      </c>
      <c r="N1077" s="53" t="n">
        <f aca="false">IF(COUNT('Business Case'!B11:G11)=0,"",H1077+NPV(G1077,I1077:M1077))</f>
        <v>-119823090.089229</v>
      </c>
      <c r="P1077" s="54" t="n">
        <f aca="true">RAND()</f>
        <v>0.843551865117467</v>
      </c>
      <c r="Q1077" s="54" t="n">
        <f aca="true">RAND()</f>
        <v>0.952236481249433</v>
      </c>
      <c r="R1077" s="54" t="n">
        <f aca="true">RAND()</f>
        <v>0.523301336411642</v>
      </c>
      <c r="S1077" s="54" t="n">
        <f aca="true">RAND()</f>
        <v>0.2084757242522</v>
      </c>
      <c r="T1077" s="54" t="n">
        <f aca="true">RAND()</f>
        <v>0.994643268454983</v>
      </c>
      <c r="U1077" s="54" t="n">
        <f aca="true">RAND()</f>
        <v>0.0296155039246257</v>
      </c>
    </row>
    <row r="1078" customFormat="false" ht="15" hidden="false" customHeight="false" outlineLevel="0" collapsed="false">
      <c r="A1078" s="50" t="n">
        <v>998</v>
      </c>
      <c r="B1078" s="51" t="n">
        <f aca="false">1+IF($G$6=$E$6,$F$6,IF(P1078&lt;($F$6-$E$6)/($G$6-$E$6),$E$6+SQRT(P1078*($G$6-$E$6)*($F$6-$E$6)),$G$6-SQRT((1-P1078)*($G$6-$E$6)*($G$6-$F$6))))</f>
        <v>0.961485834904573</v>
      </c>
      <c r="C1078" s="51" t="n">
        <f aca="false">1+IF($G$7=$E$7,$F$7,IF(Q1078&lt;($F$7-$E$7)/($G$7-$E$7),$E$7+SQRT(Q1078*($G$7-$E$7)*($F$7-$E$7)),$G$7-SQRT((1-Q1078)*($G$7-$E$7)*($G$7-$F$7))))</f>
        <v>0.940946483286175</v>
      </c>
      <c r="D1078" s="51" t="n">
        <f aca="false">1+IF($G$8=$E$8,$F$8,IF(R1078&lt;($F$8-$E$8)/($G$8-$E$8),$E$8+SQRT(R1078*($G$8-$E$8)*($F$8-$E$8)),$G$8-SQRT((1-R1078)*($G$8-$E$8)*($G$8-$F$8))))</f>
        <v>1.00020068795358</v>
      </c>
      <c r="E1078" s="51" t="n">
        <f aca="false">1+IF($G$9=$E$9,$F$9,IF(S1078&lt;($F$9-$E$9)/($G$9-$E$9),$E$9+SQRT(S1078*($G$9-$E$9)*($F$9-$E$9)),$G$9-SQRT((1-S1078)*($G$9-$E$9)*($G$9-$F$9))))</f>
        <v>1.00417569300412</v>
      </c>
      <c r="F1078" s="51" t="n">
        <f aca="false">1+IF($G$10=$E$10,$F$10,IF(T1078&lt;($F$10-$E$10)/($G$10-$E$10),$E$10+SQRT(T1078*($G$10-$E$10)*($F$10-$E$10)),$G$10-SQRT((1-T1078)*($G$10-$E$10)*($G$10-$F$10))))</f>
        <v>0.974786643884804</v>
      </c>
      <c r="G1078" s="52" t="n">
        <f aca="false">IF($G$11=$E$11,$F$11,IF(U1078&lt;($F$11-$E$11)/($G$11-$E$11),$E$11+SQRT(U1078*($G$11-$E$11)*($F$11-$E$11)),$G$11-SQRT((1-U1078)*($G$11-$E$11)*($G$11-$F$11))))</f>
        <v>0.0932422139941108</v>
      </c>
      <c r="H1078" s="53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-1949573287.76961</v>
      </c>
      <c r="I1078" s="53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-27938498.4756574</v>
      </c>
      <c r="J1078" s="53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231295447.092251</v>
      </c>
      <c r="K1078" s="53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539268724.854399</v>
      </c>
      <c r="L1078" s="53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656946704.116968</v>
      </c>
      <c r="M1078" s="53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828913356.519931</v>
      </c>
      <c r="N1078" s="53" t="n">
        <f aca="false">IF(COUNT('Business Case'!B11:G11)=0,"",H1078+NPV(G1078,I1078:M1078))</f>
        <v>-378187995.388374</v>
      </c>
      <c r="P1078" s="54" t="n">
        <f aca="true">RAND()</f>
        <v>0.252033859594158</v>
      </c>
      <c r="Q1078" s="54" t="n">
        <f aca="true">RAND()</f>
        <v>0.430038576355371</v>
      </c>
      <c r="R1078" s="54" t="n">
        <f aca="true">RAND()</f>
        <v>0.336006487670726</v>
      </c>
      <c r="S1078" s="54" t="n">
        <f aca="true">RAND()</f>
        <v>0.432940573044566</v>
      </c>
      <c r="T1078" s="54" t="n">
        <f aca="true">RAND()</f>
        <v>0.0409585143381386</v>
      </c>
      <c r="U1078" s="54" t="n">
        <f aca="true">RAND()</f>
        <v>0.175356231465824</v>
      </c>
    </row>
    <row r="1079" customFormat="false" ht="15" hidden="false" customHeight="false" outlineLevel="0" collapsed="false">
      <c r="A1079" s="50" t="n">
        <v>999</v>
      </c>
      <c r="B1079" s="51" t="n">
        <f aca="false">1+IF($G$6=$E$6,$F$6,IF(P1079&lt;($F$6-$E$6)/($G$6-$E$6),$E$6+SQRT(P1079*($G$6-$E$6)*($F$6-$E$6)),$G$6-SQRT((1-P1079)*($G$6-$E$6)*($G$6-$F$6))))</f>
        <v>0.985147923599908</v>
      </c>
      <c r="C1079" s="51" t="n">
        <f aca="false">1+IF($G$7=$E$7,$F$7,IF(Q1079&lt;($F$7-$E$7)/($G$7-$E$7),$E$7+SQRT(Q1079*($G$7-$E$7)*($F$7-$E$7)),$G$7-SQRT((1-Q1079)*($G$7-$E$7)*($G$7-$F$7))))</f>
        <v>0.764893827673206</v>
      </c>
      <c r="D1079" s="51" t="n">
        <f aca="false">1+IF($G$8=$E$8,$F$8,IF(R1079&lt;($F$8-$E$8)/($G$8-$E$8),$E$8+SQRT(R1079*($G$8-$E$8)*($F$8-$E$8)),$G$8-SQRT((1-R1079)*($G$8-$E$8)*($G$8-$F$8))))</f>
        <v>0.954743032296742</v>
      </c>
      <c r="E1079" s="51" t="n">
        <f aca="false">1+IF($G$9=$E$9,$F$9,IF(S1079&lt;($F$9-$E$9)/($G$9-$E$9),$E$9+SQRT(S1079*($G$9-$E$9)*($F$9-$E$9)),$G$9-SQRT((1-S1079)*($G$9-$E$9)*($G$9-$F$9))))</f>
        <v>1.08255922693661</v>
      </c>
      <c r="F1079" s="51" t="n">
        <f aca="false">1+IF($G$10=$E$10,$F$10,IF(T1079&lt;($F$10-$E$10)/($G$10-$E$10),$E$10+SQRT(T1079*($G$10-$E$10)*($F$10-$E$10)),$G$10-SQRT((1-T1079)*($G$10-$E$10)*($G$10-$F$10))))</f>
        <v>0.98118989890152</v>
      </c>
      <c r="G1079" s="52" t="n">
        <f aca="false">IF($G$11=$E$11,$F$11,IF(U1079&lt;($F$11-$E$11)/($G$11-$E$11),$E$11+SQRT(U1079*($G$11-$E$11)*($F$11-$E$11)),$G$11-SQRT((1-U1079)*($G$11-$E$11)*($G$11-$F$11))))</f>
        <v>0.103952946132248</v>
      </c>
      <c r="H1079" s="53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-1962379797.80304</v>
      </c>
      <c r="I1079" s="53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-47767275.6431137</v>
      </c>
      <c r="J1079" s="53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195587540.741279</v>
      </c>
      <c r="K1079" s="53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488001852.070747</v>
      </c>
      <c r="L1079" s="53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595162244.243523</v>
      </c>
      <c r="M1079" s="53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738393904.489074</v>
      </c>
      <c r="N1079" s="53" t="n">
        <f aca="false">IF(COUNT('Business Case'!B11:G11)=0,"",H1079+NPV(G1079,I1079:M1079))</f>
        <v>-631396179.406977</v>
      </c>
      <c r="P1079" s="54" t="n">
        <f aca="true">RAND()</f>
        <v>0.483344592891716</v>
      </c>
      <c r="Q1079" s="54" t="n">
        <f aca="true">RAND()</f>
        <v>0.0311941397783689</v>
      </c>
      <c r="R1079" s="54" t="n">
        <f aca="true">RAND()</f>
        <v>0.00299951404905879</v>
      </c>
      <c r="S1079" s="54" t="n">
        <f aca="true">RAND()</f>
        <v>0.878713123429658</v>
      </c>
      <c r="T1079" s="54" t="n">
        <f aca="true">RAND()</f>
        <v>0.0648539862324676</v>
      </c>
      <c r="U1079" s="54" t="n">
        <f aca="true">RAND()</f>
        <v>0.547700656540273</v>
      </c>
    </row>
    <row r="1080" customFormat="false" ht="15" hidden="false" customHeight="false" outlineLevel="0" collapsed="false">
      <c r="A1080" s="50" t="n">
        <v>1000</v>
      </c>
      <c r="B1080" s="51" t="n">
        <f aca="false">1+IF($G$6=$E$6,$F$6,IF(P1080&lt;($F$6-$E$6)/($G$6-$E$6),$E$6+SQRT(P1080*($G$6-$E$6)*($F$6-$E$6)),$G$6-SQRT((1-P1080)*($G$6-$E$6)*($G$6-$F$6))))</f>
        <v>0.959936568640537</v>
      </c>
      <c r="C1080" s="51" t="n">
        <f aca="false">1+IF($G$7=$E$7,$F$7,IF(Q1080&lt;($F$7-$E$7)/($G$7-$E$7),$E$7+SQRT(Q1080*($G$7-$E$7)*($F$7-$E$7)),$G$7-SQRT((1-Q1080)*($G$7-$E$7)*($G$7-$F$7))))</f>
        <v>0.970974100685063</v>
      </c>
      <c r="D1080" s="51" t="n">
        <f aca="false">1+IF($G$8=$E$8,$F$8,IF(R1080&lt;($F$8-$E$8)/($G$8-$E$8),$E$8+SQRT(R1080*($G$8-$E$8)*($F$8-$E$8)),$G$8-SQRT((1-R1080)*($G$8-$E$8)*($G$8-$F$8))))</f>
        <v>1.01027084445282</v>
      </c>
      <c r="E1080" s="51" t="n">
        <f aca="false">1+IF($G$9=$E$9,$F$9,IF(S1080&lt;($F$9-$E$9)/($G$9-$E$9),$E$9+SQRT(S1080*($G$9-$E$9)*($F$9-$E$9)),$G$9-SQRT((1-S1080)*($G$9-$E$9)*($G$9-$F$9))))</f>
        <v>0.982923500944994</v>
      </c>
      <c r="F1080" s="51" t="n">
        <f aca="false">1+IF($G$10=$E$10,$F$10,IF(T1080&lt;($F$10-$E$10)/($G$10-$E$10),$E$10+SQRT(T1080*($G$10-$E$10)*($F$10-$E$10)),$G$10-SQRT((1-T1080)*($G$10-$E$10)*($G$10-$F$10))))</f>
        <v>1.00637112910963</v>
      </c>
      <c r="G1080" s="52" t="n">
        <f aca="false">IF($G$11=$E$11,$F$11,IF(U1080&lt;($F$11-$E$11)/($G$11-$E$11),$E$11+SQRT(U1080*($G$11-$E$11)*($F$11-$E$11)),$G$11-SQRT((1-U1080)*($G$11-$E$11)*($G$11-$F$11))))</f>
        <v>0.118829207867414</v>
      </c>
      <c r="H1080" s="53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-2012742258.21926</v>
      </c>
      <c r="I1080" s="53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-27458482.0252472</v>
      </c>
      <c r="J1080" s="53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233810563.342838</v>
      </c>
      <c r="K1080" s="53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545398165.166405</v>
      </c>
      <c r="L1080" s="53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664700308.721094</v>
      </c>
      <c r="M1080" s="53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841868848.430396</v>
      </c>
      <c r="N1080" s="53" t="n">
        <f aca="false">IF(COUNT('Business Case'!B11:G11)=0,"",H1080+NPV(G1080,I1080:M1080))</f>
        <v>-556674455.953264</v>
      </c>
      <c r="P1080" s="54" t="n">
        <f aca="true">RAND()</f>
        <v>0.239492817360121</v>
      </c>
      <c r="Q1080" s="54" t="n">
        <f aca="true">RAND()</f>
        <v>0.543903431422806</v>
      </c>
      <c r="R1080" s="54" t="n">
        <f aca="true">RAND()</f>
        <v>0.463245242986014</v>
      </c>
      <c r="S1080" s="54" t="n">
        <f aca="true">RAND()</f>
        <v>0.275052280358976</v>
      </c>
      <c r="T1080" s="54" t="n">
        <f aca="true">RAND()</f>
        <v>0.208599643582441</v>
      </c>
      <c r="U1080" s="54" t="n">
        <f aca="true">RAND()</f>
        <v>0.916808935420377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7" t="s">
        <v>739</v>
      </c>
    </row>
    <row r="2" customFormat="false" ht="15" hidden="false" customHeight="false" outlineLevel="0" collapsed="false">
      <c r="A2" s="3" t="s">
        <v>740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418</v>
      </c>
      <c r="B5" s="38" t="n">
        <v>20000</v>
      </c>
    </row>
    <row r="6" customFormat="false" ht="15" hidden="false" customHeight="false" outlineLevel="0" collapsed="false">
      <c r="A6" s="5" t="s">
        <v>442</v>
      </c>
      <c r="B6" s="38" t="n">
        <v>180000000</v>
      </c>
    </row>
    <row r="7" customFormat="false" ht="23.85" hidden="false" customHeight="false" outlineLevel="0" collapsed="false">
      <c r="A7" s="5" t="s">
        <v>741</v>
      </c>
      <c r="B7" s="38" t="n">
        <v>28000</v>
      </c>
    </row>
    <row r="8" customFormat="false" ht="23.85" hidden="false" customHeight="false" outlineLevel="0" collapsed="false">
      <c r="A8" s="5" t="s">
        <v>742</v>
      </c>
      <c r="B8" s="38" t="n">
        <v>36000</v>
      </c>
    </row>
    <row r="10" customFormat="false" ht="30" hidden="false" customHeight="true" outlineLevel="0" collapsed="false">
      <c r="A10" s="12" t="s">
        <v>743</v>
      </c>
      <c r="B10" s="12" t="s">
        <v>744</v>
      </c>
      <c r="C10" s="12" t="s">
        <v>622</v>
      </c>
      <c r="D10" s="12" t="s">
        <v>623</v>
      </c>
      <c r="E10" s="12" t="s">
        <v>423</v>
      </c>
      <c r="F10" s="12" t="s">
        <v>745</v>
      </c>
    </row>
    <row r="11" customFormat="false" ht="15" hidden="false" customHeight="false" outlineLevel="0" collapsed="false">
      <c r="A11" s="38" t="n">
        <v>28000</v>
      </c>
      <c r="B11" s="24" t="n">
        <v>42000</v>
      </c>
      <c r="C11" s="35" t="n">
        <f aca="false">IF(OR(A11="",B11=""),"",A11*B11)</f>
        <v>1176000000</v>
      </c>
      <c r="D11" s="35" t="n">
        <f aca="false">IF(C11="","",(A11-$B$5)*B11)</f>
        <v>336000000</v>
      </c>
      <c r="E11" s="41" t="n">
        <f aca="false">IF(D11="","",D11-$B$6)</f>
        <v>156000000</v>
      </c>
      <c r="F11" s="15" t="str">
        <f aca="false">IF(A11="","",IF(AND(A11&gt;=$B$7,A11&lt;=$B$8),"Yes","No"))</f>
        <v>Yes</v>
      </c>
    </row>
    <row r="12" customFormat="false" ht="15" hidden="false" customHeight="false" outlineLevel="0" collapsed="false">
      <c r="A12" s="38" t="n">
        <v>30000</v>
      </c>
      <c r="B12" s="24" t="n">
        <v>39000</v>
      </c>
      <c r="C12" s="35" t="n">
        <f aca="false">IF(OR(A12="",B12=""),"",A12*B12)</f>
        <v>1170000000</v>
      </c>
      <c r="D12" s="35" t="n">
        <f aca="false">IF(C12="","",(A12-$B$5)*B12)</f>
        <v>390000000</v>
      </c>
      <c r="E12" s="41" t="n">
        <f aca="false">IF(D12="","",D12-$B$6)</f>
        <v>210000000</v>
      </c>
      <c r="F12" s="15" t="str">
        <f aca="false">IF(A12="","",IF(AND(A12&gt;=$B$7,A12&lt;=$B$8),"Yes","No"))</f>
        <v>Yes</v>
      </c>
    </row>
    <row r="13" customFormat="false" ht="15" hidden="false" customHeight="false" outlineLevel="0" collapsed="false">
      <c r="A13" s="38" t="n">
        <v>32000</v>
      </c>
      <c r="B13" s="24" t="n">
        <v>36000</v>
      </c>
      <c r="C13" s="35" t="n">
        <f aca="false">IF(OR(A13="",B13=""),"",A13*B13)</f>
        <v>1152000000</v>
      </c>
      <c r="D13" s="35" t="n">
        <f aca="false">IF(C13="","",(A13-$B$5)*B13)</f>
        <v>432000000</v>
      </c>
      <c r="E13" s="41" t="n">
        <f aca="false">IF(D13="","",D13-$B$6)</f>
        <v>252000000</v>
      </c>
      <c r="F13" s="15" t="str">
        <f aca="false">IF(A13="","",IF(AND(A13&gt;=$B$7,A13&lt;=$B$8),"Yes","No"))</f>
        <v>Yes</v>
      </c>
    </row>
    <row r="14" customFormat="false" ht="15" hidden="false" customHeight="false" outlineLevel="0" collapsed="false">
      <c r="A14" s="38" t="n">
        <v>34000</v>
      </c>
      <c r="B14" s="24" t="n">
        <v>31000</v>
      </c>
      <c r="C14" s="35" t="n">
        <f aca="false">IF(OR(A14="",B14=""),"",A14*B14)</f>
        <v>1054000000</v>
      </c>
      <c r="D14" s="35" t="n">
        <f aca="false">IF(C14="","",(A14-$B$5)*B14)</f>
        <v>434000000</v>
      </c>
      <c r="E14" s="41" t="n">
        <f aca="false">IF(D14="","",D14-$B$6)</f>
        <v>254000000</v>
      </c>
      <c r="F14" s="15" t="str">
        <f aca="false">IF(A14="","",IF(AND(A14&gt;=$B$7,A14&lt;=$B$8),"Yes","No"))</f>
        <v>Yes</v>
      </c>
    </row>
    <row r="15" customFormat="false" ht="15" hidden="false" customHeight="false" outlineLevel="0" collapsed="false">
      <c r="A15" s="38" t="n">
        <v>36000</v>
      </c>
      <c r="B15" s="24" t="n">
        <v>26000</v>
      </c>
      <c r="C15" s="35" t="n">
        <f aca="false">IF(OR(A15="",B15=""),"",A15*B15)</f>
        <v>936000000</v>
      </c>
      <c r="D15" s="35" t="n">
        <f aca="false">IF(C15="","",(A15-$B$5)*B15)</f>
        <v>416000000</v>
      </c>
      <c r="E15" s="41" t="n">
        <f aca="false">IF(D15="","",D15-$B$6)</f>
        <v>236000000</v>
      </c>
      <c r="F15" s="15" t="str">
        <f aca="false">IF(A15="","",IF(AND(A15&gt;=$B$7,A15&lt;=$B$8),"Yes","No"))</f>
        <v>Yes</v>
      </c>
    </row>
    <row r="16" customFormat="false" ht="15" hidden="false" customHeight="false" outlineLevel="0" collapsed="false">
      <c r="A16" s="38"/>
      <c r="B16" s="24"/>
      <c r="C16" s="35" t="str">
        <f aca="false">IF(OR(A16="",B16=""),"",A16*B16)</f>
        <v/>
      </c>
      <c r="D16" s="35" t="str">
        <f aca="false">IF(C16="","",(A16-$B$5)*B16)</f>
        <v/>
      </c>
      <c r="E16" s="41" t="str">
        <f aca="false">IF(D16="","",D16-$B$6)</f>
        <v/>
      </c>
      <c r="F16" s="15" t="str">
        <f aca="false">IF(A16="","",IF(AND(A16&gt;=$B$7,A16&lt;=$B$8),"Yes","No"))</f>
        <v/>
      </c>
    </row>
    <row r="17" customFormat="false" ht="15" hidden="false" customHeight="false" outlineLevel="0" collapsed="false">
      <c r="A17" s="38"/>
      <c r="B17" s="24"/>
      <c r="C17" s="35" t="str">
        <f aca="false">IF(OR(A17="",B17=""),"",A17*B17)</f>
        <v/>
      </c>
      <c r="D17" s="35" t="str">
        <f aca="false">IF(C17="","",(A17-$B$5)*B17)</f>
        <v/>
      </c>
      <c r="E17" s="41" t="str">
        <f aca="false">IF(D17="","",D17-$B$6)</f>
        <v/>
      </c>
      <c r="F17" s="15" t="str">
        <f aca="false">IF(A17="","",IF(AND(A17&gt;=$B$7,A17&lt;=$B$8),"Yes","No"))</f>
        <v/>
      </c>
    </row>
    <row r="18" customFormat="false" ht="15" hidden="false" customHeight="false" outlineLevel="0" collapsed="false">
      <c r="A18" s="38"/>
      <c r="B18" s="24"/>
      <c r="C18" s="35" t="str">
        <f aca="false">IF(OR(A18="",B18=""),"",A18*B18)</f>
        <v/>
      </c>
      <c r="D18" s="35" t="str">
        <f aca="false">IF(C18="","",(A18-$B$5)*B18)</f>
        <v/>
      </c>
      <c r="E18" s="41" t="str">
        <f aca="false">IF(D18="","",D18-$B$6)</f>
        <v/>
      </c>
      <c r="F18" s="15" t="str">
        <f aca="false">IF(A18="","",IF(AND(A18&gt;=$B$7,A18&lt;=$B$8),"Yes","No"))</f>
        <v/>
      </c>
    </row>
    <row r="20" customFormat="false" ht="15" hidden="false" customHeight="false" outlineLevel="0" collapsed="false">
      <c r="A20" s="20" t="s">
        <v>746</v>
      </c>
      <c r="B20" s="48" t="n">
        <f aca="false">IFERROR(INDEX(A11:A18,MATCH(_xlfn.MAXIFS(E11:E18,F11:F18,"Yes"),E11:E18,0)),"")</f>
        <v>34000</v>
      </c>
      <c r="C20" s="5" t="s">
        <v>747</v>
      </c>
      <c r="D20" s="55" t="n">
        <f aca="false">IFERROR(_xlfn.MAXIFS(E11:E18,F11:F18,"Yes"),"")</f>
        <v>254000000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30"/>
  </cols>
  <sheetData>
    <row r="1" customFormat="false" ht="19.7" hidden="false" customHeight="false" outlineLevel="0" collapsed="false">
      <c r="A1" s="7" t="s">
        <v>748</v>
      </c>
    </row>
    <row r="2" customFormat="false" ht="15" hidden="false" customHeight="false" outlineLevel="0" collapsed="false">
      <c r="A2" s="3" t="s">
        <v>749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750</v>
      </c>
    </row>
    <row r="6" customFormat="false" ht="30" hidden="false" customHeight="true" outlineLevel="0" collapsed="false">
      <c r="A6" s="12" t="s">
        <v>751</v>
      </c>
      <c r="B6" s="12" t="s">
        <v>752</v>
      </c>
      <c r="C6" s="12" t="s">
        <v>753</v>
      </c>
      <c r="D6" s="12" t="s">
        <v>483</v>
      </c>
      <c r="E6" s="12" t="s">
        <v>754</v>
      </c>
      <c r="F6" s="12" t="s">
        <v>755</v>
      </c>
    </row>
    <row r="7" customFormat="false" ht="15" hidden="false" customHeight="false" outlineLevel="0" collapsed="false">
      <c r="A7" s="11" t="s">
        <v>756</v>
      </c>
      <c r="B7" s="56" t="n">
        <v>97200</v>
      </c>
      <c r="C7" s="56" t="n">
        <v>92000</v>
      </c>
      <c r="D7" s="11" t="s">
        <v>757</v>
      </c>
      <c r="E7" s="44" t="n">
        <f aca="false">IF(OR(B7="",C7="",B7=0),"",ABS(B7-C7)/ABS(B7))</f>
        <v>0.0534979423868313</v>
      </c>
      <c r="F7" s="16" t="str">
        <f aca="false">IF(E7="","",IF(E7&lt;0.1,"Yes","No"))</f>
        <v>Yes</v>
      </c>
    </row>
    <row r="8" customFormat="false" ht="15" hidden="false" customHeight="false" outlineLevel="0" collapsed="false">
      <c r="A8" s="11"/>
      <c r="B8" s="56"/>
      <c r="C8" s="56"/>
      <c r="D8" s="11"/>
      <c r="E8" s="44" t="str">
        <f aca="false">IF(OR(B8="",C8="",B8=0),"",ABS(B8-C8)/ABS(B8))</f>
        <v/>
      </c>
      <c r="F8" s="16" t="str">
        <f aca="false">IF(E8="","",IF(E8&lt;0.1,"Yes","No"))</f>
        <v/>
      </c>
    </row>
    <row r="9" customFormat="false" ht="15" hidden="false" customHeight="false" outlineLevel="0" collapsed="false">
      <c r="A9" s="11"/>
      <c r="B9" s="56"/>
      <c r="C9" s="56"/>
      <c r="D9" s="11"/>
      <c r="E9" s="44" t="str">
        <f aca="false">IF(OR(B9="",C9="",B9=0),"",ABS(B9-C9)/ABS(B9))</f>
        <v/>
      </c>
      <c r="F9" s="16" t="str">
        <f aca="false">IF(E9="","",IF(E9&lt;0.1,"Yes","No"))</f>
        <v/>
      </c>
    </row>
    <row r="10" customFormat="false" ht="15" hidden="false" customHeight="false" outlineLevel="0" collapsed="false">
      <c r="A10" s="11"/>
      <c r="B10" s="56"/>
      <c r="C10" s="56"/>
      <c r="D10" s="11"/>
      <c r="E10" s="44" t="str">
        <f aca="false">IF(OR(B10="",C10="",B10=0),"",ABS(B10-C10)/ABS(B10))</f>
        <v/>
      </c>
      <c r="F10" s="16" t="str">
        <f aca="false">IF(E10="","",IF(E10&lt;0.1,"Yes","No"))</f>
        <v/>
      </c>
    </row>
    <row r="11" customFormat="false" ht="15" hidden="false" customHeight="false" outlineLevel="0" collapsed="false">
      <c r="A11" s="11"/>
      <c r="B11" s="56"/>
      <c r="C11" s="56"/>
      <c r="D11" s="11"/>
      <c r="E11" s="44" t="str">
        <f aca="false">IF(OR(B11="",C11="",B11=0),"",ABS(B11-C11)/ABS(B11))</f>
        <v/>
      </c>
      <c r="F11" s="16" t="str">
        <f aca="false">IF(E11="","",IF(E11&lt;0.1,"Yes","No"))</f>
        <v/>
      </c>
    </row>
    <row r="12" customFormat="false" ht="15" hidden="false" customHeight="false" outlineLevel="0" collapsed="false">
      <c r="A12" s="11"/>
      <c r="B12" s="56"/>
      <c r="C12" s="56"/>
      <c r="D12" s="11"/>
      <c r="E12" s="44" t="str">
        <f aca="false">IF(OR(B12="",C12="",B12=0),"",ABS(B12-C12)/ABS(B12))</f>
        <v/>
      </c>
      <c r="F12" s="16" t="str">
        <f aca="false">IF(E12="","",IF(E12&lt;0.1,"Yes","No"))</f>
        <v/>
      </c>
    </row>
    <row r="13" customFormat="false" ht="15" hidden="false" customHeight="false" outlineLevel="0" collapsed="false">
      <c r="A13" s="11"/>
      <c r="B13" s="56"/>
      <c r="C13" s="56"/>
      <c r="D13" s="11"/>
      <c r="E13" s="44" t="str">
        <f aca="false">IF(OR(B13="",C13="",B13=0),"",ABS(B13-C13)/ABS(B13))</f>
        <v/>
      </c>
      <c r="F13" s="16" t="str">
        <f aca="false">IF(E13="","",IF(E13&lt;0.1,"Yes","No"))</f>
        <v/>
      </c>
    </row>
    <row r="14" customFormat="false" ht="15" hidden="false" customHeight="false" outlineLevel="0" collapsed="false">
      <c r="A14" s="11"/>
      <c r="B14" s="56"/>
      <c r="C14" s="56"/>
      <c r="D14" s="11"/>
      <c r="E14" s="44" t="str">
        <f aca="false">IF(OR(B14="",C14="",B14=0),"",ABS(B14-C14)/ABS(B14))</f>
        <v/>
      </c>
      <c r="F14" s="16" t="str">
        <f aca="false">IF(E14="","",IF(E14&lt;0.1,"Yes","No"))</f>
        <v/>
      </c>
    </row>
    <row r="16" customFormat="false" ht="15" hidden="false" customHeight="false" outlineLevel="0" collapsed="false">
      <c r="A16" s="17" t="s">
        <v>758</v>
      </c>
    </row>
    <row r="17" customFormat="false" ht="30" hidden="false" customHeight="true" outlineLevel="0" collapsed="false">
      <c r="A17" s="12" t="s">
        <v>759</v>
      </c>
      <c r="B17" s="12" t="s">
        <v>760</v>
      </c>
      <c r="C17" s="12" t="s">
        <v>761</v>
      </c>
      <c r="D17" s="12" t="s">
        <v>762</v>
      </c>
    </row>
    <row r="18" customFormat="false" ht="30" hidden="false" customHeight="true" outlineLevel="0" collapsed="false">
      <c r="A18" s="11"/>
      <c r="B18" s="11"/>
      <c r="C18" s="11"/>
      <c r="D18" s="11"/>
    </row>
    <row r="19" customFormat="false" ht="30" hidden="false" customHeight="true" outlineLevel="0" collapsed="false">
      <c r="A19" s="11"/>
      <c r="B19" s="11"/>
      <c r="C19" s="11"/>
      <c r="D19" s="11"/>
    </row>
    <row r="20" customFormat="false" ht="30" hidden="false" customHeight="true" outlineLevel="0" collapsed="false">
      <c r="A20" s="11"/>
      <c r="B20" s="11"/>
      <c r="C20" s="11"/>
      <c r="D20" s="11"/>
    </row>
    <row r="21" customFormat="false" ht="30" hidden="false" customHeight="true" outlineLevel="0" collapsed="false">
      <c r="A21" s="11"/>
      <c r="B21" s="11"/>
      <c r="C21" s="11"/>
      <c r="D21" s="11"/>
    </row>
    <row r="22" customFormat="false" ht="30" hidden="false" customHeight="true" outlineLevel="0" collapsed="false">
      <c r="A22" s="11"/>
      <c r="B22" s="11"/>
      <c r="C22" s="11"/>
      <c r="D22" s="11"/>
    </row>
    <row r="24" customFormat="false" ht="15" hidden="false" customHeight="false" outlineLevel="0" collapsed="false">
      <c r="A24" s="17" t="s">
        <v>763</v>
      </c>
    </row>
    <row r="25" customFormat="false" ht="30" hidden="false" customHeight="true" outlineLevel="0" collapsed="false">
      <c r="A25" s="12" t="s">
        <v>147</v>
      </c>
      <c r="B25" s="12" t="s">
        <v>764</v>
      </c>
      <c r="C25" s="12" t="s">
        <v>765</v>
      </c>
      <c r="D25" s="12" t="s">
        <v>766</v>
      </c>
      <c r="E25" s="12" t="s">
        <v>767</v>
      </c>
      <c r="F25" s="12" t="s">
        <v>768</v>
      </c>
      <c r="G25" s="12" t="s">
        <v>769</v>
      </c>
      <c r="H25" s="12" t="s">
        <v>770</v>
      </c>
    </row>
    <row r="26" customFormat="false" ht="23.85" hidden="false" customHeight="false" outlineLevel="0" collapsed="false">
      <c r="A26" s="11" t="s">
        <v>771</v>
      </c>
      <c r="B26" s="19" t="n">
        <v>4</v>
      </c>
      <c r="C26" s="19" t="n">
        <v>4</v>
      </c>
      <c r="D26" s="26" t="n">
        <f aca="false">IF(OR(B26="",C26=""),"",B26*C26)</f>
        <v>16</v>
      </c>
      <c r="E26" s="16" t="str">
        <f aca="false">IF(D26="","",IF(D26&gt;=15,"High",IF(D26&gt;=8,"Medium","Low")))</f>
        <v>High</v>
      </c>
      <c r="F26" s="11" t="s">
        <v>772</v>
      </c>
      <c r="G26" s="11" t="s">
        <v>773</v>
      </c>
      <c r="H26" s="11" t="s">
        <v>774</v>
      </c>
    </row>
    <row r="27" customFormat="false" ht="15" hidden="false" customHeight="false" outlineLevel="0" collapsed="false">
      <c r="A27" s="11"/>
      <c r="B27" s="19"/>
      <c r="C27" s="19"/>
      <c r="D27" s="26" t="str">
        <f aca="false">IF(OR(B27="",C27=""),"",B27*C27)</f>
        <v/>
      </c>
      <c r="E27" s="16" t="str">
        <f aca="false">IF(D27="","",IF(D27&gt;=15,"High",IF(D27&gt;=8,"Medium","Low")))</f>
        <v/>
      </c>
      <c r="F27" s="11"/>
      <c r="G27" s="11"/>
      <c r="H27" s="11"/>
    </row>
    <row r="28" customFormat="false" ht="15" hidden="false" customHeight="false" outlineLevel="0" collapsed="false">
      <c r="A28" s="11"/>
      <c r="B28" s="19"/>
      <c r="C28" s="19"/>
      <c r="D28" s="26" t="str">
        <f aca="false">IF(OR(B28="",C28=""),"",B28*C28)</f>
        <v/>
      </c>
      <c r="E28" s="16" t="str">
        <f aca="false">IF(D28="","",IF(D28&gt;=15,"High",IF(D28&gt;=8,"Medium","Low")))</f>
        <v/>
      </c>
      <c r="F28" s="11"/>
      <c r="G28" s="11"/>
      <c r="H28" s="11"/>
    </row>
    <row r="29" customFormat="false" ht="15" hidden="false" customHeight="false" outlineLevel="0" collapsed="false">
      <c r="A29" s="11"/>
      <c r="B29" s="19"/>
      <c r="C29" s="19"/>
      <c r="D29" s="26" t="str">
        <f aca="false">IF(OR(B29="",C29=""),"",B29*C29)</f>
        <v/>
      </c>
      <c r="E29" s="16" t="str">
        <f aca="false">IF(D29="","",IF(D29&gt;=15,"High",IF(D29&gt;=8,"Medium","Low")))</f>
        <v/>
      </c>
      <c r="F29" s="11"/>
      <c r="G29" s="11"/>
      <c r="H29" s="11"/>
    </row>
    <row r="30" customFormat="false" ht="15" hidden="false" customHeight="false" outlineLevel="0" collapsed="false">
      <c r="A30" s="11"/>
      <c r="B30" s="19"/>
      <c r="C30" s="19"/>
      <c r="D30" s="26" t="str">
        <f aca="false">IF(OR(B30="",C30=""),"",B30*C30)</f>
        <v/>
      </c>
      <c r="E30" s="16" t="str">
        <f aca="false">IF(D30="","",IF(D30&gt;=15,"High",IF(D30&gt;=8,"Medium","Low")))</f>
        <v/>
      </c>
      <c r="F30" s="11"/>
      <c r="G30" s="11"/>
      <c r="H30" s="11"/>
    </row>
    <row r="31" customFormat="false" ht="15" hidden="false" customHeight="false" outlineLevel="0" collapsed="false">
      <c r="A31" s="11"/>
      <c r="B31" s="19"/>
      <c r="C31" s="19"/>
      <c r="D31" s="26" t="str">
        <f aca="false">IF(OR(B31="",C31=""),"",B31*C31)</f>
        <v/>
      </c>
      <c r="E31" s="16" t="str">
        <f aca="false">IF(D31="","",IF(D31&gt;=15,"High",IF(D31&gt;=8,"Medium","Low")))</f>
        <v/>
      </c>
      <c r="F31" s="11"/>
      <c r="G31" s="11"/>
      <c r="H31" s="11"/>
    </row>
    <row r="32" customFormat="false" ht="15" hidden="false" customHeight="false" outlineLevel="0" collapsed="false">
      <c r="A32" s="11"/>
      <c r="B32" s="19"/>
      <c r="C32" s="19"/>
      <c r="D32" s="26" t="str">
        <f aca="false">IF(OR(B32="",C32=""),"",B32*C32)</f>
        <v/>
      </c>
      <c r="E32" s="16" t="str">
        <f aca="false">IF(D32="","",IF(D32&gt;=15,"High",IF(D32&gt;=8,"Medium","Low")))</f>
        <v/>
      </c>
      <c r="F32" s="11"/>
      <c r="G32" s="11"/>
      <c r="H32" s="11"/>
    </row>
    <row r="33" customFormat="false" ht="15" hidden="false" customHeight="false" outlineLevel="0" collapsed="false">
      <c r="A33" s="11"/>
      <c r="B33" s="19"/>
      <c r="C33" s="19"/>
      <c r="D33" s="26" t="str">
        <f aca="false">IF(OR(B33="",C33=""),"",B33*C33)</f>
        <v/>
      </c>
      <c r="E33" s="16" t="str">
        <f aca="false">IF(D33="","",IF(D33&gt;=15,"High",IF(D33&gt;=8,"Medium","Low")))</f>
        <v/>
      </c>
      <c r="F33" s="11"/>
      <c r="G33" s="11"/>
      <c r="H33" s="11"/>
    </row>
    <row r="34" customFormat="false" ht="15" hidden="false" customHeight="false" outlineLevel="0" collapsed="false">
      <c r="A34" s="11"/>
      <c r="B34" s="19"/>
      <c r="C34" s="19"/>
      <c r="D34" s="26" t="str">
        <f aca="false">IF(OR(B34="",C34=""),"",B34*C34)</f>
        <v/>
      </c>
      <c r="E34" s="16" t="str">
        <f aca="false">IF(D34="","",IF(D34&gt;=15,"High",IF(D34&gt;=8,"Medium","Low")))</f>
        <v/>
      </c>
      <c r="F34" s="11"/>
      <c r="G34" s="11"/>
      <c r="H34" s="11"/>
    </row>
    <row r="35" customFormat="false" ht="15" hidden="false" customHeight="false" outlineLevel="0" collapsed="false">
      <c r="A35" s="11"/>
      <c r="B35" s="19"/>
      <c r="C35" s="19"/>
      <c r="D35" s="26" t="str">
        <f aca="false">IF(OR(B35="",C35=""),"",B35*C35)</f>
        <v/>
      </c>
      <c r="E35" s="16" t="str">
        <f aca="false">IF(D35="","",IF(D35&gt;=15,"High",IF(D35&gt;=8,"Medium","Low")))</f>
        <v/>
      </c>
      <c r="F35" s="11"/>
      <c r="G35" s="11"/>
      <c r="H35" s="11"/>
    </row>
    <row r="37" customFormat="false" ht="15" hidden="false" customHeight="false" outlineLevel="0" collapsed="false">
      <c r="A37" s="20" t="s">
        <v>775</v>
      </c>
      <c r="B37" s="57" t="n">
        <f aca="false">COUNTIFS(E26:E35,"High",F26:F35,"")</f>
        <v>0</v>
      </c>
    </row>
  </sheetData>
  <conditionalFormatting sqref="F7:F14">
    <cfRule type="expression" priority="2" aboveAverage="0" equalAverage="0" bottom="0" percent="0" rank="0" text="" dxfId="0">
      <formula>F7="No"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F7="Yes"</formula>
    </cfRule>
  </conditionalFormatting>
  <conditionalFormatting sqref="E26:E35">
    <cfRule type="expression" priority="5" aboveAverage="0" equalAverage="0" bottom="0" percent="0" rank="0" text="" dxfId="0">
      <formula>E26="Low"</formula>
    </cfRule>
    <cfRule type="expression" priority="6" aboveAverage="0" equalAverage="0" bottom="0" percent="0" rank="0" text="" dxfId="1">
      <formula>E26="Medium"</formula>
    </cfRule>
    <cfRule type="expression" priority="7" aboveAverage="0" equalAverage="0" bottom="0" percent="0" rank="0" text="" dxfId="2">
      <formula>E26="High"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B26:C3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7" t="s">
        <v>776</v>
      </c>
    </row>
    <row r="2" customFormat="false" ht="15" hidden="false" customHeight="false" outlineLevel="0" collapsed="false">
      <c r="A2" s="3" t="s">
        <v>777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778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5" t="s">
        <v>779</v>
      </c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5" t="s">
        <v>780</v>
      </c>
      <c r="B7" s="11"/>
      <c r="C7" s="11"/>
      <c r="D7" s="11"/>
      <c r="E7" s="11"/>
      <c r="F7" s="11"/>
      <c r="G7" s="11"/>
      <c r="H7" s="11"/>
      <c r="I7" s="11"/>
    </row>
    <row r="9" customFormat="false" ht="30" hidden="false" customHeight="true" outlineLevel="0" collapsed="false">
      <c r="A9" s="12" t="s">
        <v>781</v>
      </c>
      <c r="B9" s="12" t="s">
        <v>782</v>
      </c>
      <c r="C9" s="12" t="s">
        <v>783</v>
      </c>
      <c r="D9" s="12" t="s">
        <v>784</v>
      </c>
      <c r="E9" s="12" t="s">
        <v>785</v>
      </c>
      <c r="F9" s="12" t="s">
        <v>786</v>
      </c>
      <c r="G9" s="12" t="s">
        <v>787</v>
      </c>
      <c r="H9" s="12" t="s">
        <v>788</v>
      </c>
      <c r="I9" s="12" t="s">
        <v>789</v>
      </c>
    </row>
    <row r="10" customFormat="false" ht="15" hidden="false" customHeight="false" outlineLevel="0" collapsed="false">
      <c r="A10" s="11" t="s">
        <v>790</v>
      </c>
      <c r="B10" s="38" t="n">
        <v>2000000</v>
      </c>
      <c r="C10" s="24" t="n">
        <v>400000</v>
      </c>
      <c r="D10" s="22" t="n">
        <v>0.02</v>
      </c>
      <c r="E10" s="22" t="n">
        <v>0.1</v>
      </c>
      <c r="F10" s="42" t="n">
        <f aca="false">IF(OR(C10="",D10=""),"",C10*D10)</f>
        <v>8000</v>
      </c>
      <c r="G10" s="42" t="n">
        <f aca="false">IF(OR(F10="",E10=""),"",F10*E10)</f>
        <v>800</v>
      </c>
      <c r="H10" s="35" t="n">
        <f aca="false">IFERROR(IF(G10&gt;0,B10/G10,""),"")</f>
        <v>2500</v>
      </c>
      <c r="I10" s="15" t="str">
        <f aca="false">IFERROR(IF(H10="","",IF('Unit Economics'!$E$13="","set LTV on Unit Economics",IF(H10&lt;='Unit Economics'!$E$13/3,"Fits (LTV/CAC ≥ 3)",IF(H10&lt;='Unit Economics'!$E$13,"Thin","Burns value")))),"")</f>
        <v>Thin</v>
      </c>
    </row>
    <row r="11" customFormat="false" ht="15" hidden="false" customHeight="false" outlineLevel="0" collapsed="false">
      <c r="A11" s="11" t="s">
        <v>791</v>
      </c>
      <c r="B11" s="38" t="n">
        <v>1500000</v>
      </c>
      <c r="C11" s="24" t="n">
        <v>900000</v>
      </c>
      <c r="D11" s="22" t="n">
        <v>0.01</v>
      </c>
      <c r="E11" s="22" t="n">
        <v>0.05</v>
      </c>
      <c r="F11" s="42" t="n">
        <f aca="false">IF(OR(C11="",D11=""),"",C11*D11)</f>
        <v>9000</v>
      </c>
      <c r="G11" s="42" t="n">
        <f aca="false">IF(OR(F11="",E11=""),"",F11*E11)</f>
        <v>450</v>
      </c>
      <c r="H11" s="35" t="n">
        <f aca="false">IFERROR(IF(G11&gt;0,B11/G11,""),"")</f>
        <v>3333.33333333333</v>
      </c>
      <c r="I11" s="15" t="str">
        <f aca="false">IFERROR(IF(H11="","",IF('Unit Economics'!$E$13="","set LTV on Unit Economics",IF(H11&lt;='Unit Economics'!$E$13/3,"Fits (LTV/CAC ≥ 3)",IF(H11&lt;='Unit Economics'!$E$13,"Thin","Burns value")))),"")</f>
        <v>Thin</v>
      </c>
    </row>
    <row r="12" customFormat="false" ht="15" hidden="false" customHeight="false" outlineLevel="0" collapsed="false">
      <c r="A12" s="11"/>
      <c r="B12" s="38"/>
      <c r="C12" s="24"/>
      <c r="D12" s="22"/>
      <c r="E12" s="22"/>
      <c r="F12" s="42" t="str">
        <f aca="false">IF(OR(C12="",D12=""),"",C12*D12)</f>
        <v/>
      </c>
      <c r="G12" s="42" t="str">
        <f aca="false">IF(OR(F12="",E12=""),"",F12*E12)</f>
        <v/>
      </c>
      <c r="H12" s="35" t="str">
        <f aca="false">IFERROR(IF(G12&gt;0,B12/G12,""),"")</f>
        <v/>
      </c>
      <c r="I12" s="15" t="str">
        <f aca="false">IFERROR(IF(H12="","",IF('Unit Economics'!$E$13="","set LTV on Unit Economics",IF(H12&lt;='Unit Economics'!$E$13/3,"Fits (LTV/CAC ≥ 3)",IF(H12&lt;='Unit Economics'!$E$13,"Thin","Burns value")))),"")</f>
        <v/>
      </c>
    </row>
    <row r="13" customFormat="false" ht="15" hidden="false" customHeight="false" outlineLevel="0" collapsed="false">
      <c r="A13" s="11"/>
      <c r="B13" s="38"/>
      <c r="C13" s="24"/>
      <c r="D13" s="22"/>
      <c r="E13" s="22"/>
      <c r="F13" s="42" t="str">
        <f aca="false">IF(OR(C13="",D13=""),"",C13*D13)</f>
        <v/>
      </c>
      <c r="G13" s="42" t="str">
        <f aca="false">IF(OR(F13="",E13=""),"",F13*E13)</f>
        <v/>
      </c>
      <c r="H13" s="35" t="str">
        <f aca="false">IFERROR(IF(G13&gt;0,B13/G13,""),"")</f>
        <v/>
      </c>
      <c r="I13" s="15" t="str">
        <f aca="false">IFERROR(IF(H13="","",IF('Unit Economics'!$E$13="","set LTV on Unit Economics",IF(H13&lt;='Unit Economics'!$E$13/3,"Fits (LTV/CAC ≥ 3)",IF(H13&lt;='Unit Economics'!$E$13,"Thin","Burns value")))),"")</f>
        <v/>
      </c>
    </row>
    <row r="14" customFormat="false" ht="15" hidden="false" customHeight="false" outlineLevel="0" collapsed="false">
      <c r="A14" s="11"/>
      <c r="B14" s="38"/>
      <c r="C14" s="24"/>
      <c r="D14" s="22"/>
      <c r="E14" s="22"/>
      <c r="F14" s="42" t="str">
        <f aca="false">IF(OR(C14="",D14=""),"",C14*D14)</f>
        <v/>
      </c>
      <c r="G14" s="42" t="str">
        <f aca="false">IF(OR(F14="",E14=""),"",F14*E14)</f>
        <v/>
      </c>
      <c r="H14" s="35" t="str">
        <f aca="false">IFERROR(IF(G14&gt;0,B14/G14,""),"")</f>
        <v/>
      </c>
      <c r="I14" s="15" t="str">
        <f aca="false">IFERROR(IF(H14="","",IF('Unit Economics'!$E$13="","set LTV on Unit Economics",IF(H14&lt;='Unit Economics'!$E$13/3,"Fits (LTV/CAC ≥ 3)",IF(H14&lt;='Unit Economics'!$E$13,"Thin","Burns value")))),"")</f>
        <v/>
      </c>
    </row>
    <row r="15" customFormat="false" ht="15" hidden="false" customHeight="false" outlineLevel="0" collapsed="false">
      <c r="A15" s="11"/>
      <c r="B15" s="38"/>
      <c r="C15" s="24"/>
      <c r="D15" s="22"/>
      <c r="E15" s="22"/>
      <c r="F15" s="42" t="str">
        <f aca="false">IF(OR(C15="",D15=""),"",C15*D15)</f>
        <v/>
      </c>
      <c r="G15" s="42" t="str">
        <f aca="false">IF(OR(F15="",E15=""),"",F15*E15)</f>
        <v/>
      </c>
      <c r="H15" s="35" t="str">
        <f aca="false">IFERROR(IF(G15&gt;0,B15/G15,""),"")</f>
        <v/>
      </c>
      <c r="I15" s="15" t="str">
        <f aca="false">IFERROR(IF(H15="","",IF('Unit Economics'!$E$13="","set LTV on Unit Economics",IF(H15&lt;='Unit Economics'!$E$13/3,"Fits (LTV/CAC ≥ 3)",IF(H15&lt;='Unit Economics'!$E$13,"Thin","Burns value")))),"")</f>
        <v/>
      </c>
    </row>
    <row r="16" customFormat="false" ht="15" hidden="false" customHeight="false" outlineLevel="0" collapsed="false">
      <c r="A16" s="11"/>
      <c r="B16" s="38"/>
      <c r="C16" s="24"/>
      <c r="D16" s="22"/>
      <c r="E16" s="22"/>
      <c r="F16" s="42" t="str">
        <f aca="false">IF(OR(C16="",D16=""),"",C16*D16)</f>
        <v/>
      </c>
      <c r="G16" s="42" t="str">
        <f aca="false">IF(OR(F16="",E16=""),"",F16*E16)</f>
        <v/>
      </c>
      <c r="H16" s="35" t="str">
        <f aca="false">IFERROR(IF(G16&gt;0,B16/G16,""),"")</f>
        <v/>
      </c>
      <c r="I16" s="15" t="str">
        <f aca="false">IFERROR(IF(H16="","",IF('Unit Economics'!$E$13="","set LTV on Unit Economics",IF(H16&lt;='Unit Economics'!$E$13/3,"Fits (LTV/CAC ≥ 3)",IF(H16&lt;='Unit Economics'!$E$13,"Thin","Burns value")))),"")</f>
        <v/>
      </c>
    </row>
    <row r="17" customFormat="false" ht="15" hidden="false" customHeight="false" outlineLevel="0" collapsed="false">
      <c r="A17" s="11"/>
      <c r="B17" s="38"/>
      <c r="C17" s="24"/>
      <c r="D17" s="22"/>
      <c r="E17" s="22"/>
      <c r="F17" s="42" t="str">
        <f aca="false">IF(OR(C17="",D17=""),"",C17*D17)</f>
        <v/>
      </c>
      <c r="G17" s="42" t="str">
        <f aca="false">IF(OR(F17="",E17=""),"",F17*E17)</f>
        <v/>
      </c>
      <c r="H17" s="35" t="str">
        <f aca="false">IFERROR(IF(G17&gt;0,B17/G17,""),"")</f>
        <v/>
      </c>
      <c r="I17" s="15" t="str">
        <f aca="false">IFERROR(IF(H17="","",IF('Unit Economics'!$E$13="","set LTV on Unit Economics",IF(H17&lt;='Unit Economics'!$E$13/3,"Fits (LTV/CAC ≥ 3)",IF(H17&lt;='Unit Economics'!$E$13,"Thin","Burns value")))),"")</f>
        <v/>
      </c>
    </row>
    <row r="18" customFormat="false" ht="15" hidden="false" customHeight="false" outlineLevel="0" collapsed="false">
      <c r="A18" s="20" t="s">
        <v>792</v>
      </c>
      <c r="B18" s="48" t="n">
        <f aca="false">SUM(B10:B17)</f>
        <v>3500000</v>
      </c>
      <c r="G18" s="23" t="n">
        <f aca="false">SUM(G10:G17)</f>
        <v>1250</v>
      </c>
      <c r="H18" s="48" t="n">
        <f aca="false">IFERROR(B18/G18,"")</f>
        <v>2800</v>
      </c>
    </row>
    <row r="20" customFormat="false" ht="15" hidden="false" customHeight="false" outlineLevel="0" collapsed="false">
      <c r="A20" s="17" t="s">
        <v>793</v>
      </c>
    </row>
    <row r="21" customFormat="false" ht="30" hidden="false" customHeight="true" outlineLevel="0" collapsed="false">
      <c r="A21" s="12" t="s">
        <v>794</v>
      </c>
      <c r="B21" s="12" t="s">
        <v>795</v>
      </c>
      <c r="C21" s="12" t="s">
        <v>796</v>
      </c>
      <c r="D21" s="12" t="s">
        <v>797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</sheetData>
  <mergeCells count="3">
    <mergeCell ref="B5:I5"/>
    <mergeCell ref="B6:I6"/>
    <mergeCell ref="B7:I7"/>
  </mergeCells>
  <conditionalFormatting sqref="I10:I17">
    <cfRule type="expression" priority="2" aboveAverage="0" equalAverage="0" bottom="0" percent="0" rank="0" text="" dxfId="0">
      <formula>LEFT(I10,4)="Fits"</formula>
    </cfRule>
    <cfRule type="expression" priority="3" aboveAverage="0" equalAverage="0" bottom="0" percent="0" rank="0" text="" dxfId="1">
      <formula>I10="Thin"</formula>
    </cfRule>
    <cfRule type="expression" priority="4" aboveAverage="0" equalAverage="0" bottom="0" percent="0" rank="0" text="" dxfId="2">
      <formula>I10="Burns value"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7" t="s">
        <v>798</v>
      </c>
    </row>
    <row r="2" customFormat="false" ht="15" hidden="false" customHeight="false" outlineLevel="0" collapsed="false">
      <c r="A2" s="3" t="s">
        <v>799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800</v>
      </c>
      <c r="C5" s="12" t="s">
        <v>801</v>
      </c>
      <c r="D5" s="12" t="s">
        <v>783</v>
      </c>
      <c r="E5" s="12" t="s">
        <v>802</v>
      </c>
      <c r="F5" s="12" t="s">
        <v>803</v>
      </c>
      <c r="G5" s="12" t="s">
        <v>804</v>
      </c>
      <c r="H5" s="12" t="s">
        <v>805</v>
      </c>
      <c r="I5" s="12" t="s">
        <v>368</v>
      </c>
      <c r="J5" s="12" t="s">
        <v>806</v>
      </c>
      <c r="K5" s="12" t="s">
        <v>471</v>
      </c>
    </row>
    <row r="6" customFormat="false" ht="15" hidden="false" customHeight="false" outlineLevel="0" collapsed="false">
      <c r="A6" s="11" t="s">
        <v>807</v>
      </c>
      <c r="B6" s="11" t="s">
        <v>808</v>
      </c>
      <c r="C6" s="11" t="s">
        <v>809</v>
      </c>
      <c r="D6" s="24" t="n">
        <v>5000</v>
      </c>
      <c r="E6" s="40" t="n">
        <v>2</v>
      </c>
      <c r="F6" s="31" t="n">
        <v>0.8</v>
      </c>
      <c r="G6" s="28" t="n">
        <v>4</v>
      </c>
      <c r="H6" s="23" t="n">
        <f aca="false">IF(OR(D6="",E6="",F6="",G6="",G6=0),"",D6*E6*F6/G6)</f>
        <v>2000</v>
      </c>
      <c r="I6" s="26" t="n">
        <f aca="false">IF(H6="","",RANK(H6,$H$6:$H$17))</f>
        <v>1</v>
      </c>
      <c r="J6" s="11"/>
      <c r="K6" s="11"/>
    </row>
    <row r="7" customFormat="false" ht="15" hidden="false" customHeight="false" outlineLevel="0" collapsed="false">
      <c r="A7" s="11" t="s">
        <v>810</v>
      </c>
      <c r="B7" s="11" t="s">
        <v>811</v>
      </c>
      <c r="C7" s="11" t="s">
        <v>174</v>
      </c>
      <c r="D7" s="24" t="n">
        <v>20000</v>
      </c>
      <c r="E7" s="40" t="n">
        <v>1</v>
      </c>
      <c r="F7" s="31" t="n">
        <v>0.5</v>
      </c>
      <c r="G7" s="28" t="n">
        <v>6</v>
      </c>
      <c r="H7" s="23" t="n">
        <f aca="false">IF(OR(D7="",E7="",F7="",G7="",G7=0),"",D7*E7*F7/G7)</f>
        <v>1666.66666666667</v>
      </c>
      <c r="I7" s="26" t="n">
        <f aca="false">IF(H7="","",RANK(H7,$H$6:$H$17))</f>
        <v>2</v>
      </c>
      <c r="J7" s="11"/>
      <c r="K7" s="11"/>
    </row>
    <row r="8" customFormat="false" ht="15" hidden="false" customHeight="false" outlineLevel="0" collapsed="false">
      <c r="A8" s="11"/>
      <c r="B8" s="11"/>
      <c r="C8" s="11"/>
      <c r="D8" s="24"/>
      <c r="E8" s="40"/>
      <c r="F8" s="31"/>
      <c r="G8" s="28"/>
      <c r="H8" s="23" t="str">
        <f aca="false">IF(OR(D8="",E8="",F8="",G8="",G8=0),"",D8*E8*F8/G8)</f>
        <v/>
      </c>
      <c r="I8" s="26" t="str">
        <f aca="false">IF(H8="","",RANK(H8,$H$6:$H$17))</f>
        <v/>
      </c>
      <c r="J8" s="11"/>
      <c r="K8" s="11"/>
    </row>
    <row r="9" customFormat="false" ht="15" hidden="false" customHeight="false" outlineLevel="0" collapsed="false">
      <c r="A9" s="11"/>
      <c r="B9" s="11"/>
      <c r="C9" s="11"/>
      <c r="D9" s="24"/>
      <c r="E9" s="40"/>
      <c r="F9" s="31"/>
      <c r="G9" s="28"/>
      <c r="H9" s="23" t="str">
        <f aca="false">IF(OR(D9="",E9="",F9="",G9="",G9=0),"",D9*E9*F9/G9)</f>
        <v/>
      </c>
      <c r="I9" s="26" t="str">
        <f aca="false">IF(H9="","",RANK(H9,$H$6:$H$17))</f>
        <v/>
      </c>
      <c r="J9" s="11"/>
      <c r="K9" s="11"/>
    </row>
    <row r="10" customFormat="false" ht="15" hidden="false" customHeight="false" outlineLevel="0" collapsed="false">
      <c r="A10" s="11"/>
      <c r="B10" s="11"/>
      <c r="C10" s="11"/>
      <c r="D10" s="24"/>
      <c r="E10" s="40"/>
      <c r="F10" s="31"/>
      <c r="G10" s="28"/>
      <c r="H10" s="23" t="str">
        <f aca="false">IF(OR(D10="",E10="",F10="",G10="",G10=0),"",D10*E10*F10/G10)</f>
        <v/>
      </c>
      <c r="I10" s="26" t="str">
        <f aca="false">IF(H10="","",RANK(H10,$H$6:$H$17))</f>
        <v/>
      </c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24"/>
      <c r="E11" s="40"/>
      <c r="F11" s="31"/>
      <c r="G11" s="28"/>
      <c r="H11" s="23" t="str">
        <f aca="false">IF(OR(D11="",E11="",F11="",G11="",G11=0),"",D11*E11*F11/G11)</f>
        <v/>
      </c>
      <c r="I11" s="26" t="str">
        <f aca="false">IF(H11="","",RANK(H11,$H$6:$H$17))</f>
        <v/>
      </c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24"/>
      <c r="E12" s="40"/>
      <c r="F12" s="31"/>
      <c r="G12" s="28"/>
      <c r="H12" s="23" t="str">
        <f aca="false">IF(OR(D12="",E12="",F12="",G12="",G12=0),"",D12*E12*F12/G12)</f>
        <v/>
      </c>
      <c r="I12" s="26" t="str">
        <f aca="false">IF(H12="","",RANK(H12,$H$6:$H$17))</f>
        <v/>
      </c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24"/>
      <c r="E13" s="40"/>
      <c r="F13" s="31"/>
      <c r="G13" s="28"/>
      <c r="H13" s="23" t="str">
        <f aca="false">IF(OR(D13="",E13="",F13="",G13="",G13=0),"",D13*E13*F13/G13)</f>
        <v/>
      </c>
      <c r="I13" s="26" t="str">
        <f aca="false">IF(H13="","",RANK(H13,$H$6:$H$17))</f>
        <v/>
      </c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24"/>
      <c r="E14" s="40"/>
      <c r="F14" s="31"/>
      <c r="G14" s="28"/>
      <c r="H14" s="23" t="str">
        <f aca="false">IF(OR(D14="",E14="",F14="",G14="",G14=0),"",D14*E14*F14/G14)</f>
        <v/>
      </c>
      <c r="I14" s="26" t="str">
        <f aca="false">IF(H14="","",RANK(H14,$H$6:$H$17))</f>
        <v/>
      </c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24"/>
      <c r="E15" s="40"/>
      <c r="F15" s="31"/>
      <c r="G15" s="28"/>
      <c r="H15" s="23" t="str">
        <f aca="false">IF(OR(D15="",E15="",F15="",G15="",G15=0),"",D15*E15*F15/G15)</f>
        <v/>
      </c>
      <c r="I15" s="26" t="str">
        <f aca="false">IF(H15="","",RANK(H15,$H$6:$H$17))</f>
        <v/>
      </c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24"/>
      <c r="E16" s="40"/>
      <c r="F16" s="31"/>
      <c r="G16" s="28"/>
      <c r="H16" s="23" t="str">
        <f aca="false">IF(OR(D16="",E16="",F16="",G16="",G16=0),"",D16*E16*F16/G16)</f>
        <v/>
      </c>
      <c r="I16" s="26" t="str">
        <f aca="false">IF(H16="","",RANK(H16,$H$6:$H$17))</f>
        <v/>
      </c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24"/>
      <c r="E17" s="40"/>
      <c r="F17" s="31"/>
      <c r="G17" s="28"/>
      <c r="H17" s="23" t="str">
        <f aca="false">IF(OR(D17="",E17="",F17="",G17="",G17=0),"",D17*E17*F17/G17)</f>
        <v/>
      </c>
      <c r="I17" s="26" t="str">
        <f aca="false">IF(H17="","",RANK(H17,$H$6:$H$17))</f>
        <v/>
      </c>
      <c r="J17" s="11"/>
      <c r="K17" s="11"/>
    </row>
    <row r="19" customFormat="false" ht="57.45" hidden="false" customHeight="false" outlineLevel="0" collapsed="false">
      <c r="A19" s="20" t="s">
        <v>812</v>
      </c>
      <c r="C19" s="57" t="n">
        <f aca="false">COUNTIFS(B6:B17,"&lt;&gt;",C6:C17,"")</f>
        <v>0</v>
      </c>
    </row>
  </sheetData>
  <dataValidations count="1">
    <dataValidation allowBlank="true" errorStyle="stop" operator="between" showDropDown="false" showErrorMessage="false" showInputMessage="false" sqref="K6:K17" type="list">
      <formula1>"now,next,later,dropped"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9" min="7" style="0" width="12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7" t="s">
        <v>813</v>
      </c>
    </row>
    <row r="2" customFormat="false" ht="15" hidden="false" customHeight="false" outlineLevel="0" collapsed="false">
      <c r="A2" s="3" t="s">
        <v>814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815</v>
      </c>
    </row>
    <row r="6" customFormat="false" ht="30" hidden="false" customHeight="true" outlineLevel="0" collapsed="false">
      <c r="A6" s="12" t="s">
        <v>816</v>
      </c>
      <c r="B6" s="12" t="s">
        <v>817</v>
      </c>
      <c r="C6" s="12" t="s">
        <v>818</v>
      </c>
      <c r="D6" s="12" t="s">
        <v>819</v>
      </c>
      <c r="E6" s="12" t="s">
        <v>435</v>
      </c>
      <c r="F6" s="12" t="s">
        <v>820</v>
      </c>
    </row>
    <row r="7" customFormat="false" ht="15" hidden="false" customHeight="false" outlineLevel="0" collapsed="false">
      <c r="A7" s="11" t="s">
        <v>821</v>
      </c>
      <c r="B7" s="11" t="s">
        <v>822</v>
      </c>
      <c r="C7" s="11" t="s">
        <v>823</v>
      </c>
      <c r="D7" s="11" t="s">
        <v>824</v>
      </c>
      <c r="E7" s="11" t="s">
        <v>825</v>
      </c>
      <c r="F7" s="11" t="s">
        <v>826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4" customFormat="false" ht="15" hidden="false" customHeight="false" outlineLevel="0" collapsed="false">
      <c r="A14" s="17" t="s">
        <v>827</v>
      </c>
    </row>
    <row r="15" customFormat="false" ht="30" hidden="false" customHeight="true" outlineLevel="0" collapsed="false">
      <c r="A15" s="12" t="s">
        <v>828</v>
      </c>
      <c r="B15" s="12"/>
      <c r="C15" s="12"/>
      <c r="D15" s="12"/>
      <c r="E15" s="12"/>
      <c r="F15" s="12"/>
      <c r="G15" s="12" t="s">
        <v>829</v>
      </c>
      <c r="H15" s="12" t="s">
        <v>830</v>
      </c>
      <c r="I15" s="12" t="s">
        <v>831</v>
      </c>
      <c r="J15" s="12" t="s">
        <v>832</v>
      </c>
      <c r="K15" s="12" t="s">
        <v>833</v>
      </c>
    </row>
    <row r="16" customFormat="false" ht="15" hidden="false" customHeight="true" outlineLevel="0" collapsed="false">
      <c r="A16" s="11" t="s">
        <v>834</v>
      </c>
      <c r="B16" s="11"/>
      <c r="C16" s="11"/>
      <c r="D16" s="11"/>
      <c r="E16" s="11"/>
      <c r="F16" s="11"/>
      <c r="G16" s="19" t="n">
        <v>5</v>
      </c>
      <c r="H16" s="19" t="n">
        <v>3</v>
      </c>
      <c r="I16" s="58" t="n">
        <v>-1</v>
      </c>
      <c r="J16" s="16" t="str">
        <f aca="false">IF(OR(G16="",H16=""),"",IF(G16&gt;=3,IF(H16&gt;=3,"Manage closely","Keep satisfied"),IF(H16&gt;=3,"Keep informed","Monitor")))</f>
        <v>Manage closely</v>
      </c>
      <c r="K16" s="11" t="s">
        <v>835</v>
      </c>
    </row>
    <row r="17" customFormat="false" ht="15" hidden="false" customHeight="true" outlineLevel="0" collapsed="false">
      <c r="A17" s="11" t="s">
        <v>836</v>
      </c>
      <c r="B17" s="11"/>
      <c r="C17" s="11"/>
      <c r="D17" s="11"/>
      <c r="E17" s="11"/>
      <c r="F17" s="11"/>
      <c r="G17" s="19" t="n">
        <v>3</v>
      </c>
      <c r="H17" s="19" t="n">
        <v>5</v>
      </c>
      <c r="I17" s="58" t="n">
        <v>1</v>
      </c>
      <c r="J17" s="16" t="str">
        <f aca="false">IF(OR(G17="",H17=""),"",IF(G17&gt;=3,IF(H17&gt;=3,"Manage closely","Keep satisfied"),IF(H17&gt;=3,"Keep informed","Monitor")))</f>
        <v>Manage closely</v>
      </c>
      <c r="K17" s="11" t="s">
        <v>837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9"/>
      <c r="H18" s="19"/>
      <c r="I18" s="58"/>
      <c r="J18" s="16" t="str">
        <f aca="false">IF(OR(G18="",H18=""),"",IF(G18&gt;=3,IF(H18&gt;=3,"Manage closely","Keep satisfied"),IF(H18&gt;=3,"Keep informed","Monitor")))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9"/>
      <c r="H19" s="19"/>
      <c r="I19" s="58"/>
      <c r="J19" s="16" t="str">
        <f aca="false">IF(OR(G19="",H19=""),"",IF(G19&gt;=3,IF(H19&gt;=3,"Manage closely","Keep satisfied"),IF(H19&gt;=3,"Keep informed","Monitor")))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9"/>
      <c r="H20" s="19"/>
      <c r="I20" s="58"/>
      <c r="J20" s="16" t="str">
        <f aca="false">IF(OR(G20="",H20=""),"",IF(G20&gt;=3,IF(H20&gt;=3,"Manage closely","Keep satisfied"),IF(H20&gt;=3,"Keep informed","Monitor")))</f>
        <v/>
      </c>
      <c r="K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9"/>
      <c r="H21" s="19"/>
      <c r="I21" s="58"/>
      <c r="J21" s="16" t="str">
        <f aca="false">IF(OR(G21="",H21=""),"",IF(G21&gt;=3,IF(H21&gt;=3,"Manage closely","Keep satisfied"),IF(H21&gt;=3,"Keep informed","Monitor")))</f>
        <v/>
      </c>
      <c r="K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9"/>
      <c r="H22" s="19"/>
      <c r="I22" s="58"/>
      <c r="J22" s="16" t="str">
        <f aca="false">IF(OR(G22="",H22=""),"",IF(G22&gt;=3,IF(H22&gt;=3,"Manage closely","Keep satisfied"),IF(H22&gt;=3,"Keep informed","Monitor")))</f>
        <v/>
      </c>
      <c r="K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9"/>
      <c r="H23" s="19"/>
      <c r="I23" s="58"/>
      <c r="J23" s="16" t="str">
        <f aca="false">IF(OR(G23="",H23=""),"",IF(G23&gt;=3,IF(H23&gt;=3,"Manage closely","Keep satisfied"),IF(H23&gt;=3,"Keep informed","Monitor")))</f>
        <v/>
      </c>
      <c r="K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9"/>
      <c r="H24" s="19"/>
      <c r="I24" s="58"/>
      <c r="J24" s="16" t="str">
        <f aca="false">IF(OR(G24="",H24=""),"",IF(G24&gt;=3,IF(H24&gt;=3,"Manage closely","Keep satisfied"),IF(H24&gt;=3,"Keep informed","Monitor")))</f>
        <v/>
      </c>
      <c r="K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9"/>
      <c r="H25" s="19"/>
      <c r="I25" s="58"/>
      <c r="J25" s="16" t="str">
        <f aca="false">IF(OR(G25="",H25=""),"",IF(G25&gt;=3,IF(H25&gt;=3,"Manage closely","Keep satisfied"),IF(H25&gt;=3,"Keep informed","Monitor")))</f>
        <v/>
      </c>
      <c r="K25" s="11"/>
    </row>
  </sheetData>
  <mergeCells count="11"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dataValidations count="2">
    <dataValidation allowBlank="true" error="Enter a whole number from 1 to 5." errorStyle="stop" errorTitle="StratOS" operator="between" showDropDown="false" showErrorMessage="false" showInputMessage="false" sqref="G16:H25" type="whole">
      <formula1>1</formula1>
      <formula2>5</formula2>
    </dataValidation>
    <dataValidation allowBlank="true" error="Enter a whole number from -2 to 2." errorStyle="stop" errorTitle="StratOS" operator="between" showDropDown="false" showErrorMessage="false" showInputMessage="false" sqref="I16:I2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19" min="5" style="0" width="3.2"/>
    <col collapsed="false" customWidth="true" hidden="false" outlineLevel="0" max="20" min="20" style="0" width="4"/>
  </cols>
  <sheetData>
    <row r="1" customFormat="false" ht="19.7" hidden="false" customHeight="false" outlineLevel="0" collapsed="false">
      <c r="A1" s="7" t="s">
        <v>838</v>
      </c>
    </row>
    <row r="2" customFormat="false" ht="15" hidden="false" customHeight="false" outlineLevel="0" collapsed="false">
      <c r="A2" s="3" t="s">
        <v>839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840</v>
      </c>
      <c r="B5" s="12" t="s">
        <v>768</v>
      </c>
      <c r="C5" s="12" t="s">
        <v>841</v>
      </c>
      <c r="D5" s="12" t="s">
        <v>842</v>
      </c>
      <c r="E5" s="12" t="s">
        <v>843</v>
      </c>
      <c r="F5" s="12" t="s">
        <v>844</v>
      </c>
      <c r="G5" s="12" t="s">
        <v>845</v>
      </c>
      <c r="H5" s="12" t="s">
        <v>846</v>
      </c>
      <c r="I5" s="12" t="s">
        <v>847</v>
      </c>
      <c r="J5" s="12" t="s">
        <v>848</v>
      </c>
      <c r="K5" s="12" t="s">
        <v>849</v>
      </c>
      <c r="L5" s="12" t="s">
        <v>850</v>
      </c>
      <c r="M5" s="12" t="s">
        <v>851</v>
      </c>
      <c r="N5" s="12" t="s">
        <v>852</v>
      </c>
      <c r="O5" s="12" t="s">
        <v>853</v>
      </c>
      <c r="P5" s="12" t="s">
        <v>854</v>
      </c>
      <c r="Q5" s="12" t="s">
        <v>855</v>
      </c>
      <c r="R5" s="12" t="s">
        <v>856</v>
      </c>
      <c r="S5" s="12" t="s">
        <v>857</v>
      </c>
    </row>
    <row r="6" customFormat="false" ht="15" hidden="false" customHeight="false" outlineLevel="0" collapsed="false">
      <c r="A6" s="11" t="s">
        <v>858</v>
      </c>
      <c r="B6" s="11" t="s">
        <v>824</v>
      </c>
      <c r="C6" s="19" t="n">
        <v>1</v>
      </c>
      <c r="D6" s="19" t="n">
        <v>8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customFormat="false" ht="15" hidden="false" customHeight="false" outlineLevel="0" collapsed="false">
      <c r="A7" s="11" t="s">
        <v>859</v>
      </c>
      <c r="B7" s="11" t="s">
        <v>860</v>
      </c>
      <c r="C7" s="19" t="n">
        <v>4</v>
      </c>
      <c r="D7" s="19" t="n">
        <v>14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customFormat="false" ht="15" hidden="false" customHeight="false" outlineLevel="0" collapsed="false">
      <c r="A8" s="11"/>
      <c r="B8" s="11"/>
      <c r="C8" s="19"/>
      <c r="D8" s="1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" hidden="false" customHeight="false" outlineLevel="0" collapsed="false">
      <c r="A9" s="11"/>
      <c r="B9" s="11"/>
      <c r="C9" s="19"/>
      <c r="D9" s="1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customFormat="false" ht="15" hidden="false" customHeight="false" outlineLevel="0" collapsed="false">
      <c r="A10" s="11"/>
      <c r="B10" s="11"/>
      <c r="C10" s="19"/>
      <c r="D10" s="1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customFormat="false" ht="15" hidden="false" customHeight="false" outlineLevel="0" collapsed="false">
      <c r="A11" s="11"/>
      <c r="B11" s="11"/>
      <c r="C11" s="19"/>
      <c r="D11" s="1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customFormat="false" ht="15" hidden="false" customHeight="false" outlineLevel="0" collapsed="false">
      <c r="A12" s="11"/>
      <c r="B12" s="11"/>
      <c r="C12" s="19"/>
      <c r="D12" s="1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customFormat="false" ht="15" hidden="false" customHeight="false" outlineLevel="0" collapsed="false">
      <c r="A13" s="11"/>
      <c r="B13" s="11"/>
      <c r="C13" s="19"/>
      <c r="D13" s="1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customFormat="false" ht="15" hidden="false" customHeight="false" outlineLevel="0" collapsed="false">
      <c r="A14" s="11"/>
      <c r="B14" s="11"/>
      <c r="C14" s="19"/>
      <c r="D14" s="1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customFormat="false" ht="15" hidden="false" customHeight="false" outlineLevel="0" collapsed="false">
      <c r="A15" s="11"/>
      <c r="B15" s="11"/>
      <c r="C15" s="19"/>
      <c r="D15" s="1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customFormat="false" ht="15" hidden="false" customHeight="false" outlineLevel="0" collapsed="false">
      <c r="A16" s="11"/>
      <c r="B16" s="11"/>
      <c r="C16" s="19"/>
      <c r="D16" s="1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customFormat="false" ht="15" hidden="false" customHeight="false" outlineLevel="0" collapsed="false">
      <c r="A17" s="11"/>
      <c r="B17" s="11"/>
      <c r="C17" s="19"/>
      <c r="D17" s="1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20" customFormat="false" ht="15" hidden="false" customHeight="false" outlineLevel="0" collapsed="false">
      <c r="A20" s="17" t="s">
        <v>861</v>
      </c>
    </row>
    <row r="21" customFormat="false" ht="30" hidden="false" customHeight="true" outlineLevel="0" collapsed="false">
      <c r="A21" s="12" t="s">
        <v>862</v>
      </c>
      <c r="B21" s="12" t="s">
        <v>863</v>
      </c>
      <c r="C21" s="12" t="s">
        <v>864</v>
      </c>
      <c r="D21" s="12" t="s">
        <v>102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7" customFormat="false" ht="15" hidden="false" customHeight="false" outlineLevel="0" collapsed="false">
      <c r="A27" s="11"/>
      <c r="B27" s="11"/>
      <c r="C27" s="11"/>
      <c r="D27" s="11"/>
    </row>
    <row r="29" customFormat="false" ht="15" hidden="false" customHeight="false" outlineLevel="0" collapsed="false">
      <c r="A29" s="17" t="s">
        <v>865</v>
      </c>
    </row>
    <row r="30" customFormat="false" ht="30" hidden="false" customHeight="true" outlineLevel="0" collapsed="false">
      <c r="A30" s="12" t="s">
        <v>866</v>
      </c>
      <c r="B30" s="12" t="s">
        <v>867</v>
      </c>
      <c r="C30" s="12" t="s">
        <v>868</v>
      </c>
      <c r="D30" s="12" t="s">
        <v>869</v>
      </c>
    </row>
    <row r="31" customFormat="false" ht="15" hidden="false" customHeight="false" outlineLevel="0" collapsed="false">
      <c r="A31" s="11"/>
      <c r="B31" s="11"/>
      <c r="C31" s="11"/>
      <c r="D31" s="11"/>
    </row>
    <row r="32" customFormat="false" ht="15" hidden="false" customHeight="false" outlineLevel="0" collapsed="false">
      <c r="A32" s="11"/>
      <c r="B32" s="11"/>
      <c r="C32" s="11"/>
      <c r="D32" s="11"/>
    </row>
    <row r="33" customFormat="false" ht="15" hidden="false" customHeight="false" outlineLevel="0" collapsed="false">
      <c r="A33" s="11"/>
      <c r="B33" s="11"/>
      <c r="C33" s="11"/>
      <c r="D33" s="11"/>
    </row>
    <row r="34" customFormat="false" ht="15" hidden="false" customHeight="false" outlineLevel="0" collapsed="false">
      <c r="A34" s="11"/>
      <c r="B34" s="11"/>
      <c r="C34" s="11"/>
      <c r="D34" s="11"/>
    </row>
  </sheetData>
  <conditionalFormatting sqref="E6:S6">
    <cfRule type="expression" priority="2" aboveAverage="0" equalAverage="0" bottom="0" percent="0" rank="0" text="" dxfId="3">
      <formula>AND(ISNUMBER($C6),ISNUMBER($D6),E$5*1&gt;=$C6,E$5*1&lt;=$D6)</formula>
    </cfRule>
  </conditionalFormatting>
  <conditionalFormatting sqref="E7:S7">
    <cfRule type="expression" priority="3" aboveAverage="0" equalAverage="0" bottom="0" percent="0" rank="0" text="" dxfId="3">
      <formula>AND(ISNUMBER($C7),ISNUMBER($D7),E$5*1&gt;=$C7,E$5*1&lt;=$D7)</formula>
    </cfRule>
  </conditionalFormatting>
  <conditionalFormatting sqref="E8:S8">
    <cfRule type="expression" priority="4" aboveAverage="0" equalAverage="0" bottom="0" percent="0" rank="0" text="" dxfId="3">
      <formula>AND(ISNUMBER($C8),ISNUMBER($D8),E$5*1&gt;=$C8,E$5*1&lt;=$D8)</formula>
    </cfRule>
  </conditionalFormatting>
  <conditionalFormatting sqref="E9:S9">
    <cfRule type="expression" priority="5" aboveAverage="0" equalAverage="0" bottom="0" percent="0" rank="0" text="" dxfId="3">
      <formula>AND(ISNUMBER($C9),ISNUMBER($D9),E$5*1&gt;=$C9,E$5*1&lt;=$D9)</formula>
    </cfRule>
  </conditionalFormatting>
  <conditionalFormatting sqref="E10:S10">
    <cfRule type="expression" priority="6" aboveAverage="0" equalAverage="0" bottom="0" percent="0" rank="0" text="" dxfId="3">
      <formula>AND(ISNUMBER($C10),ISNUMBER($D10),E$5*1&gt;=$C10,E$5*1&lt;=$D10)</formula>
    </cfRule>
  </conditionalFormatting>
  <conditionalFormatting sqref="E11:S11">
    <cfRule type="expression" priority="7" aboveAverage="0" equalAverage="0" bottom="0" percent="0" rank="0" text="" dxfId="3">
      <formula>AND(ISNUMBER($C11),ISNUMBER($D11),E$5*1&gt;=$C11,E$5*1&lt;=$D11)</formula>
    </cfRule>
  </conditionalFormatting>
  <conditionalFormatting sqref="E12:S12">
    <cfRule type="expression" priority="8" aboveAverage="0" equalAverage="0" bottom="0" percent="0" rank="0" text="" dxfId="3">
      <formula>AND(ISNUMBER($C12),ISNUMBER($D12),E$5*1&gt;=$C12,E$5*1&lt;=$D12)</formula>
    </cfRule>
  </conditionalFormatting>
  <conditionalFormatting sqref="E13:S13">
    <cfRule type="expression" priority="9" aboveAverage="0" equalAverage="0" bottom="0" percent="0" rank="0" text="" dxfId="3">
      <formula>AND(ISNUMBER($C13),ISNUMBER($D13),E$5*1&gt;=$C13,E$5*1&lt;=$D13)</formula>
    </cfRule>
  </conditionalFormatting>
  <conditionalFormatting sqref="E14:S14">
    <cfRule type="expression" priority="10" aboveAverage="0" equalAverage="0" bottom="0" percent="0" rank="0" text="" dxfId="3">
      <formula>AND(ISNUMBER($C14),ISNUMBER($D14),E$5*1&gt;=$C14,E$5*1&lt;=$D14)</formula>
    </cfRule>
  </conditionalFormatting>
  <conditionalFormatting sqref="E15:S15">
    <cfRule type="expression" priority="11" aboveAverage="0" equalAverage="0" bottom="0" percent="0" rank="0" text="" dxfId="3">
      <formula>AND(ISNUMBER($C15),ISNUMBER($D15),E$5*1&gt;=$C15,E$5*1&lt;=$D15)</formula>
    </cfRule>
  </conditionalFormatting>
  <conditionalFormatting sqref="E16:S16">
    <cfRule type="expression" priority="12" aboveAverage="0" equalAverage="0" bottom="0" percent="0" rank="0" text="" dxfId="3">
      <formula>AND(ISNUMBER($C16),ISNUMBER($D16),E$5*1&gt;=$C16,E$5*1&lt;=$D16)</formula>
    </cfRule>
  </conditionalFormatting>
  <conditionalFormatting sqref="E17:S17">
    <cfRule type="expression" priority="13" aboveAverage="0" equalAverage="0" bottom="0" percent="0" rank="0" text="" dxfId="3">
      <formula>AND(ISNUMBER($C17),ISNUMBER($D17),E$5*1&gt;=$C17,E$5*1&lt;=$D17)</formula>
    </cfRule>
  </conditionalFormatting>
  <dataValidations count="1">
    <dataValidation allowBlank="true" error="Enter a whole number from 1 to 15." errorStyle="stop" errorTitle="StratOS" operator="between" showDropDown="false" showErrorMessage="false" showInputMessage="false" sqref="C6:D17" type="whole">
      <formula1>1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7" t="s">
        <v>64</v>
      </c>
    </row>
    <row r="2" customFormat="false" ht="15" hidden="false" customHeight="false" outlineLevel="0" collapsed="false">
      <c r="A2" s="3" t="s">
        <v>870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871</v>
      </c>
      <c r="B5" s="12" t="s">
        <v>872</v>
      </c>
      <c r="C5" s="12" t="s">
        <v>873</v>
      </c>
      <c r="D5" s="12" t="s">
        <v>874</v>
      </c>
      <c r="E5" s="12" t="s">
        <v>875</v>
      </c>
      <c r="F5" s="12" t="s">
        <v>102</v>
      </c>
      <c r="G5" s="12" t="s">
        <v>876</v>
      </c>
      <c r="H5" s="12" t="s">
        <v>877</v>
      </c>
      <c r="I5" s="12" t="s">
        <v>471</v>
      </c>
      <c r="J5" s="12" t="s">
        <v>768</v>
      </c>
      <c r="K5" s="12" t="s">
        <v>800</v>
      </c>
      <c r="L5" s="12" t="s">
        <v>801</v>
      </c>
    </row>
    <row r="6" customFormat="false" ht="15" hidden="false" customHeight="false" outlineLevel="0" collapsed="false">
      <c r="A6" s="11" t="s">
        <v>878</v>
      </c>
      <c r="B6" s="11" t="s">
        <v>879</v>
      </c>
      <c r="C6" s="11" t="s">
        <v>880</v>
      </c>
      <c r="D6" s="11" t="s">
        <v>881</v>
      </c>
      <c r="E6" s="11" t="s">
        <v>882</v>
      </c>
      <c r="F6" s="60" t="n">
        <v>13000</v>
      </c>
      <c r="G6" s="60" t="n">
        <v>12400</v>
      </c>
      <c r="H6" s="44" t="n">
        <f aca="false">IF(AND(ISNUMBER(F6),ISNUMBER(G6),F6&lt;&gt;0,G6&lt;&gt;0),IF(E6="Lower",F6/G6,G6/F6),"")</f>
        <v>0.953846153846154</v>
      </c>
      <c r="I6" s="15" t="str">
        <f aca="false">IF(H6="",IF(C6="","","No actual yet"),IF(H6&gt;=1,"On target",IF(H6&gt;=0.9,"Caution","Below plan")))</f>
        <v>Caution</v>
      </c>
      <c r="J6" s="11" t="s">
        <v>883</v>
      </c>
      <c r="K6" s="11" t="s">
        <v>884</v>
      </c>
      <c r="L6" s="11" t="s">
        <v>27</v>
      </c>
    </row>
    <row r="7" customFormat="false" ht="23.85" hidden="false" customHeight="false" outlineLevel="0" collapsed="false">
      <c r="A7" s="11" t="s">
        <v>885</v>
      </c>
      <c r="B7" s="11" t="s">
        <v>886</v>
      </c>
      <c r="C7" s="11" t="s">
        <v>887</v>
      </c>
      <c r="D7" s="11" t="s">
        <v>888</v>
      </c>
      <c r="E7" s="11" t="s">
        <v>882</v>
      </c>
      <c r="F7" s="60" t="n">
        <v>0.95</v>
      </c>
      <c r="G7" s="60" t="n">
        <v>0.97</v>
      </c>
      <c r="H7" s="44" t="n">
        <f aca="false">IF(AND(ISNUMBER(F7),ISNUMBER(G7),F7&lt;&gt;0,G7&lt;&gt;0),IF(E7="Lower",F7/G7,G7/F7),"")</f>
        <v>1.02105263157895</v>
      </c>
      <c r="I7" s="15" t="str">
        <f aca="false">IF(H7="",IF(C7="","","No actual yet"),IF(H7&gt;=1,"On target",IF(H7&gt;=0.9,"Caution","Below plan")))</f>
        <v>On target</v>
      </c>
      <c r="J7" s="11" t="s">
        <v>889</v>
      </c>
      <c r="K7" s="11" t="s">
        <v>890</v>
      </c>
      <c r="L7" s="11" t="s">
        <v>891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60"/>
      <c r="G8" s="60"/>
      <c r="H8" s="44" t="str">
        <f aca="false">IF(AND(ISNUMBER(F8),ISNUMBER(G8),F8&lt;&gt;0,G8&lt;&gt;0),IF(E8="Lower",F8/G8,G8/F8),"")</f>
        <v/>
      </c>
      <c r="I8" s="15" t="str">
        <f aca="false">IF(H8="",IF(C8="","","No actual yet"),IF(H8&gt;=1,"On target",IF(H8&gt;=0.9,"Caution","Below plan")))</f>
        <v/>
      </c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60"/>
      <c r="G9" s="60"/>
      <c r="H9" s="44" t="str">
        <f aca="false">IF(AND(ISNUMBER(F9),ISNUMBER(G9),F9&lt;&gt;0,G9&lt;&gt;0),IF(E9="Lower",F9/G9,G9/F9),"")</f>
        <v/>
      </c>
      <c r="I9" s="15" t="str">
        <f aca="false">IF(H9="",IF(C9="","","No actual yet"),IF(H9&gt;=1,"On target",IF(H9&gt;=0.9,"Caution","Below plan")))</f>
        <v/>
      </c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60"/>
      <c r="G10" s="60"/>
      <c r="H10" s="44" t="str">
        <f aca="false">IF(AND(ISNUMBER(F10),ISNUMBER(G10),F10&lt;&gt;0,G10&lt;&gt;0),IF(E10="Lower",F10/G10,G10/F10),"")</f>
        <v/>
      </c>
      <c r="I10" s="15" t="str">
        <f aca="false">IF(H10="",IF(C10="","","No actual yet"),IF(H10&gt;=1,"On target",IF(H10&gt;=0.9,"Caution","Below plan")))</f>
        <v/>
      </c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60"/>
      <c r="G11" s="60"/>
      <c r="H11" s="44" t="str">
        <f aca="false">IF(AND(ISNUMBER(F11),ISNUMBER(G11),F11&lt;&gt;0,G11&lt;&gt;0),IF(E11="Lower",F11/G11,G11/F11),"")</f>
        <v/>
      </c>
      <c r="I11" s="15" t="str">
        <f aca="false">IF(H11="",IF(C11="","","No actual yet"),IF(H11&gt;=1,"On target",IF(H11&gt;=0.9,"Caution","Below plan")))</f>
        <v/>
      </c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60"/>
      <c r="G12" s="60"/>
      <c r="H12" s="44" t="str">
        <f aca="false">IF(AND(ISNUMBER(F12),ISNUMBER(G12),F12&lt;&gt;0,G12&lt;&gt;0),IF(E12="Lower",F12/G12,G12/F12),"")</f>
        <v/>
      </c>
      <c r="I12" s="15" t="str">
        <f aca="false">IF(H12="",IF(C12="","","No actual yet"),IF(H12&gt;=1,"On target",IF(H12&gt;=0.9,"Caution","Below plan")))</f>
        <v/>
      </c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60"/>
      <c r="G13" s="60"/>
      <c r="H13" s="44" t="str">
        <f aca="false">IF(AND(ISNUMBER(F13),ISNUMBER(G13),F13&lt;&gt;0,G13&lt;&gt;0),IF(E13="Lower",F13/G13,G13/F13),"")</f>
        <v/>
      </c>
      <c r="I13" s="15" t="str">
        <f aca="false">IF(H13="",IF(C13="","","No actual yet"),IF(H13&gt;=1,"On target",IF(H13&gt;=0.9,"Caution","Below plan")))</f>
        <v/>
      </c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60"/>
      <c r="G14" s="60"/>
      <c r="H14" s="44" t="str">
        <f aca="false">IF(AND(ISNUMBER(F14),ISNUMBER(G14),F14&lt;&gt;0,G14&lt;&gt;0),IF(E14="Lower",F14/G14,G14/F14),"")</f>
        <v/>
      </c>
      <c r="I14" s="15" t="str">
        <f aca="false">IF(H14="",IF(C14="","","No actual yet"),IF(H14&gt;=1,"On target",IF(H14&gt;=0.9,"Caution","Below plan")))</f>
        <v/>
      </c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60"/>
      <c r="G15" s="60"/>
      <c r="H15" s="44" t="str">
        <f aca="false">IF(AND(ISNUMBER(F15),ISNUMBER(G15),F15&lt;&gt;0,G15&lt;&gt;0),IF(E15="Lower",F15/G15,G15/F15),"")</f>
        <v/>
      </c>
      <c r="I15" s="15" t="str">
        <f aca="false">IF(H15="",IF(C15="","","No actual yet"),IF(H15&gt;=1,"On target",IF(H15&gt;=0.9,"Caution","Below plan")))</f>
        <v/>
      </c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60"/>
      <c r="G16" s="60"/>
      <c r="H16" s="44" t="str">
        <f aca="false">IF(AND(ISNUMBER(F16),ISNUMBER(G16),F16&lt;&gt;0,G16&lt;&gt;0),IF(E16="Lower",F16/G16,G16/F16),"")</f>
        <v/>
      </c>
      <c r="I16" s="15" t="str">
        <f aca="false">IF(H16="",IF(C16="","","No actual yet"),IF(H16&gt;=1,"On target",IF(H16&gt;=0.9,"Caution","Below plan")))</f>
        <v/>
      </c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60"/>
      <c r="G17" s="60"/>
      <c r="H17" s="44" t="str">
        <f aca="false">IF(AND(ISNUMBER(F17),ISNUMBER(G17),F17&lt;&gt;0,G17&lt;&gt;0),IF(E17="Lower",F17/G17,G17/F17),"")</f>
        <v/>
      </c>
      <c r="I17" s="15" t="str">
        <f aca="false">IF(H17="",IF(C17="","","No actual yet"),IF(H17&gt;=1,"On target",IF(H17&gt;=0.9,"Caution","Below plan")))</f>
        <v/>
      </c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60"/>
      <c r="G18" s="60"/>
      <c r="H18" s="44" t="str">
        <f aca="false">IF(AND(ISNUMBER(F18),ISNUMBER(G18),F18&lt;&gt;0,G18&lt;&gt;0),IF(E18="Lower",F18/G18,G18/F18),"")</f>
        <v/>
      </c>
      <c r="I18" s="15" t="str">
        <f aca="false">IF(H18="",IF(C18="","","No actual yet"),IF(H18&gt;=1,"On target",IF(H18&gt;=0.9,"Caution","Below plan")))</f>
        <v/>
      </c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60"/>
      <c r="G19" s="60"/>
      <c r="H19" s="44" t="str">
        <f aca="false">IF(AND(ISNUMBER(F19),ISNUMBER(G19),F19&lt;&gt;0,G19&lt;&gt;0),IF(E19="Lower",F19/G19,G19/F19),"")</f>
        <v/>
      </c>
      <c r="I19" s="15" t="str">
        <f aca="false">IF(H19="",IF(C19="","","No actual yet"),IF(H19&gt;=1,"On target",IF(H19&gt;=0.9,"Caution","Below plan")))</f>
        <v/>
      </c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60"/>
      <c r="G20" s="60"/>
      <c r="H20" s="44" t="str">
        <f aca="false">IF(AND(ISNUMBER(F20),ISNUMBER(G20),F20&lt;&gt;0,G20&lt;&gt;0),IF(E20="Lower",F20/G20,G20/F20),"")</f>
        <v/>
      </c>
      <c r="I20" s="15" t="str">
        <f aca="false">IF(H20="",IF(C20="","","No actual yet"),IF(H20&gt;=1,"On target",IF(H20&gt;=0.9,"Caution","Below plan")))</f>
        <v/>
      </c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60"/>
      <c r="G21" s="60"/>
      <c r="H21" s="44" t="str">
        <f aca="false">IF(AND(ISNUMBER(F21),ISNUMBER(G21),F21&lt;&gt;0,G21&lt;&gt;0),IF(E21="Lower",F21/G21,G21/F21),"")</f>
        <v/>
      </c>
      <c r="I21" s="15" t="str">
        <f aca="false">IF(H21="",IF(C21="","","No actual yet"),IF(H21&gt;=1,"On target",IF(H21&gt;=0.9,"Caution","Below plan")))</f>
        <v/>
      </c>
      <c r="J21" s="11"/>
      <c r="K21" s="11"/>
      <c r="L21" s="11"/>
    </row>
    <row r="23" customFormat="false" ht="15" hidden="false" customHeight="false" outlineLevel="0" collapsed="false">
      <c r="A23" s="20" t="s">
        <v>892</v>
      </c>
    </row>
    <row r="24" customFormat="false" ht="15" hidden="false" customHeight="false" outlineLevel="0" collapsed="false">
      <c r="B24" s="5" t="s">
        <v>878</v>
      </c>
      <c r="C24" s="26" t="n">
        <f aca="false">COUNTIFS($A$6:$A$21,B24,$C$6:$C$21,"&lt;&gt;")</f>
        <v>1</v>
      </c>
      <c r="D24" s="15" t="str">
        <f aca="false">IF(C24=0,"Add a measure","OK")</f>
        <v>OK</v>
      </c>
    </row>
    <row r="25" customFormat="false" ht="23.85" hidden="false" customHeight="false" outlineLevel="0" collapsed="false">
      <c r="B25" s="5" t="s">
        <v>893</v>
      </c>
      <c r="C25" s="26" t="n">
        <f aca="false">COUNTIFS($A$6:$A$21,B25,$C$6:$C$21,"&lt;&gt;")</f>
        <v>0</v>
      </c>
      <c r="D25" s="15" t="str">
        <f aca="false">IF(C25=0,"Add a measure","OK")</f>
        <v>Add a measure</v>
      </c>
    </row>
    <row r="26" customFormat="false" ht="15" hidden="false" customHeight="false" outlineLevel="0" collapsed="false">
      <c r="B26" s="5" t="s">
        <v>885</v>
      </c>
      <c r="C26" s="26" t="n">
        <f aca="false">COUNTIFS($A$6:$A$21,B26,$C$6:$C$21,"&lt;&gt;")</f>
        <v>1</v>
      </c>
      <c r="D26" s="15" t="str">
        <f aca="false">IF(C26=0,"Add a measure","OK")</f>
        <v>OK</v>
      </c>
    </row>
    <row r="27" customFormat="false" ht="23.85" hidden="false" customHeight="false" outlineLevel="0" collapsed="false">
      <c r="B27" s="5" t="s">
        <v>894</v>
      </c>
      <c r="C27" s="26" t="n">
        <f aca="false">COUNTIFS($A$6:$A$21,B27,$C$6:$C$21,"&lt;&gt;")</f>
        <v>0</v>
      </c>
      <c r="D27" s="15" t="str">
        <f aca="false">IF(C27=0,"Add a measure","OK")</f>
        <v>Add a measure</v>
      </c>
    </row>
    <row r="29" customFormat="false" ht="15" hidden="false" customHeight="false" outlineLevel="0" collapsed="false">
      <c r="B29" s="5" t="s">
        <v>895</v>
      </c>
      <c r="C29" s="26" t="n">
        <f aca="false">COUNTA(C6:C21)</f>
        <v>2</v>
      </c>
    </row>
    <row r="30" customFormat="false" ht="15" hidden="false" customHeight="false" outlineLevel="0" collapsed="false">
      <c r="B30" s="5" t="s">
        <v>896</v>
      </c>
      <c r="C30" s="44" t="n">
        <f aca="false">IF(C29=0,"",COUNTIFS(D6:D21,"Leading",C6:C21,"&lt;&gt;")/C29)</f>
        <v>0.5</v>
      </c>
      <c r="D30" s="15" t="str">
        <f aca="false">IF(C30="","",IF(C30&gt;=1/3,"OK","Add leading measures"))</f>
        <v>OK</v>
      </c>
    </row>
    <row r="31" customFormat="false" ht="15" hidden="false" customHeight="false" outlineLevel="0" collapsed="false">
      <c r="B31" s="5" t="s">
        <v>897</v>
      </c>
      <c r="C31" s="26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7" t="s">
        <v>66</v>
      </c>
    </row>
    <row r="2" customFormat="false" ht="15" hidden="false" customHeight="false" outlineLevel="0" collapsed="false">
      <c r="A2" s="3" t="s">
        <v>898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871</v>
      </c>
      <c r="C5" s="12" t="s">
        <v>872</v>
      </c>
      <c r="D5" s="12" t="s">
        <v>899</v>
      </c>
      <c r="E5" s="12" t="s">
        <v>900</v>
      </c>
    </row>
    <row r="6" customFormat="false" ht="15" hidden="false" customHeight="false" outlineLevel="0" collapsed="false">
      <c r="A6" s="11" t="s">
        <v>901</v>
      </c>
      <c r="B6" s="11" t="s">
        <v>878</v>
      </c>
      <c r="C6" s="11" t="s">
        <v>879</v>
      </c>
      <c r="D6" s="11"/>
      <c r="E6" s="15" t="str">
        <f aca="false">IF(A6="","",IF(AND(B6&lt;&gt;"Financial",D6=""),"Drives nothing",IF(AND(B6&lt;&gt;"Learning and growth",COUNTIF($D$6:$D$21,"*"&amp;A6&amp;"*")=0),"Nothing drives it","OK")))</f>
        <v>OK</v>
      </c>
    </row>
    <row r="7" customFormat="false" ht="15" hidden="false" customHeight="false" outlineLevel="0" collapsed="false">
      <c r="A7" s="11" t="s">
        <v>463</v>
      </c>
      <c r="B7" s="11" t="s">
        <v>893</v>
      </c>
      <c r="C7" s="11" t="s">
        <v>902</v>
      </c>
      <c r="D7" s="11" t="s">
        <v>901</v>
      </c>
      <c r="E7" s="15" t="str">
        <f aca="false">IF(A7="","",IF(AND(B7&lt;&gt;"Financial",D7=""),"Drives nothing",IF(AND(B7&lt;&gt;"Learning and growth",COUNTIF($D$6:$D$21,"*"&amp;A7&amp;"*")=0),"Nothing drives it","OK")))</f>
        <v>OK</v>
      </c>
    </row>
    <row r="8" customFormat="false" ht="15" hidden="false" customHeight="false" outlineLevel="0" collapsed="false">
      <c r="A8" s="11" t="s">
        <v>807</v>
      </c>
      <c r="B8" s="11" t="s">
        <v>885</v>
      </c>
      <c r="C8" s="11" t="s">
        <v>886</v>
      </c>
      <c r="D8" s="11" t="s">
        <v>463</v>
      </c>
      <c r="E8" s="15" t="str">
        <f aca="false">IF(A8="","",IF(AND(B8&lt;&gt;"Financial",D8=""),"Drives nothing",IF(AND(B8&lt;&gt;"Learning and growth",COUNTIF($D$6:$D$21,"*"&amp;A8&amp;"*")=0),"Nothing drives it","OK")))</f>
        <v>OK</v>
      </c>
    </row>
    <row r="9" customFormat="false" ht="15" hidden="false" customHeight="false" outlineLevel="0" collapsed="false">
      <c r="A9" s="11" t="s">
        <v>903</v>
      </c>
      <c r="B9" s="11" t="s">
        <v>894</v>
      </c>
      <c r="C9" s="11" t="s">
        <v>904</v>
      </c>
      <c r="D9" s="11" t="s">
        <v>807</v>
      </c>
      <c r="E9" s="15" t="str">
        <f aca="false">IF(A9="","",IF(AND(B9&lt;&gt;"Financial",D9=""),"Drives nothing",IF(AND(B9&lt;&gt;"Learning and growth",COUNTIF($D$6:$D$21,"*"&amp;A9&amp;"*")=0),"Nothing drives it","OK")))</f>
        <v>OK</v>
      </c>
    </row>
    <row r="10" customFormat="false" ht="15" hidden="false" customHeight="false" outlineLevel="0" collapsed="false">
      <c r="A10" s="11"/>
      <c r="B10" s="11"/>
      <c r="C10" s="11"/>
      <c r="D10" s="11"/>
      <c r="E10" s="15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5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5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5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5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5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5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5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5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5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5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5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7" t="s">
        <v>905</v>
      </c>
    </row>
    <row r="2" customFormat="false" ht="15" hidden="false" customHeight="false" outlineLevel="0" collapsed="false">
      <c r="A2" s="3" t="s">
        <v>906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221</v>
      </c>
      <c r="B5" s="12" t="s">
        <v>907</v>
      </c>
      <c r="C5" s="12" t="s">
        <v>908</v>
      </c>
      <c r="D5" s="12" t="s">
        <v>909</v>
      </c>
      <c r="E5" s="12" t="s">
        <v>910</v>
      </c>
      <c r="F5" s="12" t="s">
        <v>911</v>
      </c>
      <c r="G5" s="12" t="s">
        <v>912</v>
      </c>
    </row>
    <row r="6" customFormat="false" ht="15" hidden="false" customHeight="false" outlineLevel="0" collapsed="false">
      <c r="A6" s="11" t="s">
        <v>913</v>
      </c>
      <c r="B6" s="11" t="s">
        <v>914</v>
      </c>
      <c r="C6" s="38" t="n">
        <v>279</v>
      </c>
      <c r="D6" s="28" t="n">
        <v>4.2</v>
      </c>
      <c r="E6" s="28" t="n">
        <v>14</v>
      </c>
      <c r="F6" s="19" t="n">
        <v>5</v>
      </c>
      <c r="G6" s="15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>Premium differentiator</v>
      </c>
    </row>
    <row r="7" customFormat="false" ht="15" hidden="false" customHeight="false" outlineLevel="0" collapsed="false">
      <c r="A7" s="11" t="s">
        <v>915</v>
      </c>
      <c r="B7" s="11" t="s">
        <v>914</v>
      </c>
      <c r="C7" s="38" t="n">
        <v>239</v>
      </c>
      <c r="D7" s="28" t="n">
        <v>3.4</v>
      </c>
      <c r="E7" s="28" t="n">
        <v>16.5</v>
      </c>
      <c r="F7" s="19" t="n">
        <v>4</v>
      </c>
      <c r="G7" s="15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>Low-cost / economy</v>
      </c>
    </row>
    <row r="8" customFormat="false" ht="15" hidden="false" customHeight="false" outlineLevel="0" collapsed="false">
      <c r="A8" s="11" t="s">
        <v>916</v>
      </c>
      <c r="B8" s="11" t="s">
        <v>914</v>
      </c>
      <c r="C8" s="38" t="n">
        <v>264</v>
      </c>
      <c r="D8" s="28" t="n">
        <v>4</v>
      </c>
      <c r="E8" s="28" t="n">
        <v>12</v>
      </c>
      <c r="F8" s="19" t="n">
        <v>5</v>
      </c>
      <c r="G8" s="15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>Low-cost / economy</v>
      </c>
    </row>
    <row r="9" customFormat="false" ht="15" hidden="false" customHeight="false" outlineLevel="0" collapsed="false">
      <c r="A9" s="11" t="s">
        <v>917</v>
      </c>
      <c r="B9" s="11" t="s">
        <v>914</v>
      </c>
      <c r="C9" s="38" t="n">
        <v>319</v>
      </c>
      <c r="D9" s="28" t="n">
        <v>5.1</v>
      </c>
      <c r="E9" s="28" t="n">
        <v>11</v>
      </c>
      <c r="F9" s="19" t="n">
        <v>6</v>
      </c>
      <c r="G9" s="15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>Premium differentiator</v>
      </c>
    </row>
    <row r="10" customFormat="false" ht="15" hidden="false" customHeight="false" outlineLevel="0" collapsed="false">
      <c r="A10" s="11" t="s">
        <v>918</v>
      </c>
      <c r="B10" s="11" t="s">
        <v>914</v>
      </c>
      <c r="C10" s="38" t="n">
        <v>299</v>
      </c>
      <c r="D10" s="28" t="n">
        <v>3.6</v>
      </c>
      <c r="E10" s="28" t="n">
        <v>9.5</v>
      </c>
      <c r="F10" s="19" t="n">
        <v>5</v>
      </c>
      <c r="G10" s="15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>Stuck in the middle</v>
      </c>
    </row>
    <row r="11" customFormat="false" ht="15" hidden="false" customHeight="false" outlineLevel="0" collapsed="false">
      <c r="A11" s="11"/>
      <c r="B11" s="11"/>
      <c r="C11" s="38"/>
      <c r="D11" s="28"/>
      <c r="E11" s="28"/>
      <c r="F11" s="19"/>
      <c r="G11" s="15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11"/>
      <c r="B12" s="11"/>
      <c r="C12" s="38"/>
      <c r="D12" s="28"/>
      <c r="E12" s="28"/>
      <c r="F12" s="19"/>
      <c r="G12" s="15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11"/>
      <c r="B13" s="11"/>
      <c r="C13" s="38"/>
      <c r="D13" s="28"/>
      <c r="E13" s="28"/>
      <c r="F13" s="19"/>
      <c r="G13" s="15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11"/>
      <c r="B14" s="11"/>
      <c r="C14" s="38"/>
      <c r="D14" s="28"/>
      <c r="E14" s="28"/>
      <c r="F14" s="19"/>
      <c r="G14" s="15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11"/>
      <c r="B15" s="11"/>
      <c r="C15" s="38"/>
      <c r="D15" s="28"/>
      <c r="E15" s="28"/>
      <c r="F15" s="19"/>
      <c r="G15" s="15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11"/>
      <c r="B16" s="11"/>
      <c r="C16" s="38"/>
      <c r="D16" s="28"/>
      <c r="E16" s="28"/>
      <c r="F16" s="19"/>
      <c r="G16" s="15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11"/>
      <c r="B17" s="11"/>
      <c r="C17" s="38"/>
      <c r="D17" s="28"/>
      <c r="E17" s="28"/>
      <c r="F17" s="19"/>
      <c r="G17" s="15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11"/>
      <c r="B18" s="11"/>
      <c r="C18" s="38"/>
      <c r="D18" s="28"/>
      <c r="E18" s="28"/>
      <c r="F18" s="19"/>
      <c r="G18" s="15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11"/>
      <c r="B19" s="11"/>
      <c r="C19" s="38"/>
      <c r="D19" s="28"/>
      <c r="E19" s="28"/>
      <c r="F19" s="19"/>
      <c r="G19" s="15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11"/>
      <c r="B20" s="11"/>
      <c r="C20" s="38"/>
      <c r="D20" s="28"/>
      <c r="E20" s="28"/>
      <c r="F20" s="19"/>
      <c r="G20" s="15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11"/>
      <c r="B21" s="11"/>
      <c r="C21" s="38"/>
      <c r="D21" s="28"/>
      <c r="E21" s="28"/>
      <c r="F21" s="19"/>
      <c r="G21" s="15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11"/>
      <c r="B22" s="11"/>
      <c r="C22" s="38"/>
      <c r="D22" s="28"/>
      <c r="E22" s="28"/>
      <c r="F22" s="19"/>
      <c r="G22" s="15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11"/>
      <c r="B23" s="11"/>
      <c r="C23" s="38"/>
      <c r="D23" s="28"/>
      <c r="E23" s="28"/>
      <c r="F23" s="19"/>
      <c r="G23" s="15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11"/>
      <c r="B24" s="11"/>
      <c r="C24" s="38"/>
      <c r="D24" s="28"/>
      <c r="E24" s="28"/>
      <c r="F24" s="19"/>
      <c r="G24" s="15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11"/>
      <c r="B25" s="11"/>
      <c r="C25" s="38"/>
      <c r="D25" s="28"/>
      <c r="E25" s="28"/>
      <c r="F25" s="19"/>
      <c r="G25" s="15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11"/>
      <c r="B26" s="11"/>
      <c r="C26" s="38"/>
      <c r="D26" s="28"/>
      <c r="E26" s="28"/>
      <c r="F26" s="19"/>
      <c r="G26" s="15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11"/>
      <c r="B27" s="11"/>
      <c r="C27" s="38"/>
      <c r="D27" s="28"/>
      <c r="E27" s="28"/>
      <c r="F27" s="19"/>
      <c r="G27" s="15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11"/>
      <c r="B28" s="11"/>
      <c r="C28" s="38"/>
      <c r="D28" s="28"/>
      <c r="E28" s="28"/>
      <c r="F28" s="19"/>
      <c r="G28" s="15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11"/>
      <c r="B29" s="11"/>
      <c r="C29" s="38"/>
      <c r="D29" s="28"/>
      <c r="E29" s="28"/>
      <c r="F29" s="19"/>
      <c r="G29" s="15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20" t="s">
        <v>919</v>
      </c>
      <c r="C31" s="20" t="s">
        <v>439</v>
      </c>
      <c r="D31" s="20" t="s">
        <v>920</v>
      </c>
    </row>
    <row r="32" customFormat="false" ht="15" hidden="false" customHeight="false" outlineLevel="0" collapsed="false">
      <c r="A32" s="5" t="s">
        <v>914</v>
      </c>
      <c r="C32" s="35" t="n">
        <f aca="false">IFERROR(SUMPRODUCT(($B$6:$B$29="Camera")*$C$6:$C$29*$E$6:$E$29)/SUMIF($B$6:$B$29,"Camera",$E$6:$E$29),"")</f>
        <v>275.666666666667</v>
      </c>
      <c r="D32" s="47" t="n">
        <f aca="false">IFERROR(SUMPRODUCT(($B$6:$B$29="Camera")*$D$6:$D$29*$E$6:$E$29)/SUMIF($B$6:$B$29,"Camera",$E$6:$E$29),"")</f>
        <v>4.01904761904762</v>
      </c>
    </row>
    <row r="33" customFormat="false" ht="15" hidden="false" customHeight="false" outlineLevel="0" collapsed="false">
      <c r="A33" s="5" t="s">
        <v>921</v>
      </c>
      <c r="C33" s="35" t="str">
        <f aca="false">IFERROR(SUMPRODUCT(($B$6:$B$29="Drone")*$C$6:$C$29*$E$6:$E$29)/SUMIF($B$6:$B$29,"Drone",$E$6:$E$29),"")</f>
        <v/>
      </c>
      <c r="D33" s="47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7" t="s">
        <v>922</v>
      </c>
    </row>
    <row r="2" customFormat="false" ht="15" hidden="false" customHeight="false" outlineLevel="0" collapsed="false">
      <c r="A2" s="3" t="s">
        <v>923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4" t="s">
        <v>924</v>
      </c>
      <c r="D4" s="31" t="n">
        <v>0.15</v>
      </c>
    </row>
    <row r="5" customFormat="false" ht="30" hidden="false" customHeight="true" outlineLevel="0" collapsed="false">
      <c r="A5" s="12" t="s">
        <v>925</v>
      </c>
      <c r="B5" s="12" t="s">
        <v>926</v>
      </c>
      <c r="C5" s="12" t="s">
        <v>816</v>
      </c>
      <c r="D5" s="12" t="s">
        <v>198</v>
      </c>
      <c r="E5" s="12" t="s">
        <v>95</v>
      </c>
      <c r="F5" s="12" t="s">
        <v>927</v>
      </c>
      <c r="G5" s="12" t="s">
        <v>928</v>
      </c>
      <c r="H5" s="12" t="s">
        <v>929</v>
      </c>
      <c r="I5" s="12" t="s">
        <v>930</v>
      </c>
      <c r="J5" s="12" t="s">
        <v>931</v>
      </c>
      <c r="K5" s="12" t="s">
        <v>932</v>
      </c>
      <c r="L5" s="12" t="s">
        <v>933</v>
      </c>
      <c r="M5" s="12" t="s">
        <v>934</v>
      </c>
      <c r="N5" s="12" t="s">
        <v>935</v>
      </c>
    </row>
    <row r="6" customFormat="false" ht="15" hidden="false" customHeight="false" outlineLevel="0" collapsed="false">
      <c r="A6" s="61" t="s">
        <v>936</v>
      </c>
      <c r="B6" s="20" t="s">
        <v>937</v>
      </c>
      <c r="C6" s="5" t="s">
        <v>938</v>
      </c>
      <c r="D6" s="5" t="s">
        <v>939</v>
      </c>
      <c r="E6" s="11" t="s">
        <v>940</v>
      </c>
      <c r="F6" s="11" t="s">
        <v>940</v>
      </c>
      <c r="G6" s="11"/>
      <c r="H6" s="11"/>
      <c r="I6" s="11"/>
      <c r="J6" s="11"/>
      <c r="K6" s="11"/>
      <c r="L6" s="11"/>
      <c r="M6" s="11"/>
      <c r="N6" s="11"/>
    </row>
    <row r="7" customFormat="false" ht="23.85" hidden="false" customHeight="false" outlineLevel="0" collapsed="false">
      <c r="A7" s="61" t="s">
        <v>941</v>
      </c>
      <c r="B7" s="20"/>
      <c r="C7" s="5" t="s">
        <v>942</v>
      </c>
      <c r="D7" s="5" t="s">
        <v>939</v>
      </c>
      <c r="E7" s="11" t="s">
        <v>943</v>
      </c>
      <c r="F7" s="11" t="s">
        <v>943</v>
      </c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61" t="s">
        <v>944</v>
      </c>
      <c r="B8" s="20" t="s">
        <v>945</v>
      </c>
      <c r="C8" s="5" t="s">
        <v>946</v>
      </c>
      <c r="D8" s="5" t="s">
        <v>947</v>
      </c>
      <c r="E8" s="28"/>
      <c r="F8" s="28"/>
      <c r="G8" s="28"/>
      <c r="H8" s="28"/>
      <c r="I8" s="28"/>
      <c r="J8" s="28"/>
      <c r="K8" s="28"/>
      <c r="L8" s="28"/>
      <c r="M8" s="28"/>
      <c r="N8" s="28"/>
    </row>
    <row r="9" customFormat="false" ht="15" hidden="false" customHeight="false" outlineLevel="0" collapsed="false">
      <c r="A9" s="61" t="s">
        <v>948</v>
      </c>
      <c r="B9" s="20"/>
      <c r="C9" s="5" t="s">
        <v>949</v>
      </c>
      <c r="D9" s="5" t="s">
        <v>947</v>
      </c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61" t="s">
        <v>950</v>
      </c>
      <c r="B10" s="20"/>
      <c r="C10" s="5" t="s">
        <v>951</v>
      </c>
      <c r="D10" s="5" t="s">
        <v>952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61" t="s">
        <v>953</v>
      </c>
      <c r="B11" s="20"/>
      <c r="C11" s="5" t="s">
        <v>954</v>
      </c>
      <c r="D11" s="5" t="s">
        <v>952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customFormat="false" ht="15" hidden="false" customHeight="false" outlineLevel="0" collapsed="false">
      <c r="A12" s="61" t="s">
        <v>955</v>
      </c>
      <c r="B12" s="20"/>
      <c r="C12" s="5" t="s">
        <v>956</v>
      </c>
      <c r="D12" s="5" t="s">
        <v>957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false" outlineLevel="0" collapsed="false">
      <c r="A13" s="61" t="s">
        <v>958</v>
      </c>
      <c r="B13" s="20"/>
      <c r="C13" s="5" t="s">
        <v>959</v>
      </c>
      <c r="D13" s="5" t="s">
        <v>957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5" hidden="false" customHeight="false" outlineLevel="0" collapsed="false">
      <c r="A14" s="61" t="s">
        <v>960</v>
      </c>
      <c r="B14" s="20" t="s">
        <v>961</v>
      </c>
      <c r="C14" s="5" t="s">
        <v>962</v>
      </c>
      <c r="D14" s="5" t="s">
        <v>613</v>
      </c>
      <c r="E14" s="62" t="n">
        <v>264</v>
      </c>
      <c r="F14" s="62" t="n">
        <v>249</v>
      </c>
      <c r="G14" s="62"/>
      <c r="H14" s="62"/>
      <c r="I14" s="62"/>
      <c r="J14" s="62"/>
      <c r="K14" s="62"/>
      <c r="L14" s="62"/>
      <c r="M14" s="62"/>
      <c r="N14" s="62"/>
    </row>
    <row r="15" customFormat="false" ht="15" hidden="false" customHeight="false" outlineLevel="0" collapsed="false">
      <c r="A15" s="61" t="s">
        <v>963</v>
      </c>
      <c r="B15" s="20"/>
      <c r="C15" s="5" t="s">
        <v>964</v>
      </c>
      <c r="D15" s="5" t="s">
        <v>613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</row>
    <row r="16" customFormat="false" ht="15" hidden="false" customHeight="false" outlineLevel="0" collapsed="false">
      <c r="A16" s="61" t="s">
        <v>965</v>
      </c>
      <c r="B16" s="20"/>
      <c r="C16" s="5" t="s">
        <v>966</v>
      </c>
      <c r="D16" s="5" t="s">
        <v>613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customFormat="false" ht="15" hidden="false" customHeight="false" outlineLevel="0" collapsed="false">
      <c r="A17" s="61" t="s">
        <v>967</v>
      </c>
      <c r="B17" s="20"/>
      <c r="C17" s="5" t="s">
        <v>968</v>
      </c>
      <c r="D17" s="5" t="s">
        <v>613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</row>
    <row r="18" customFormat="false" ht="15" hidden="false" customHeight="false" outlineLevel="0" collapsed="false">
      <c r="A18" s="61" t="s">
        <v>969</v>
      </c>
      <c r="B18" s="20"/>
      <c r="C18" s="5" t="s">
        <v>970</v>
      </c>
      <c r="D18" s="5" t="s">
        <v>613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customFormat="false" ht="15" hidden="false" customHeight="false" outlineLevel="0" collapsed="false">
      <c r="A19" s="61" t="s">
        <v>971</v>
      </c>
      <c r="B19" s="20"/>
      <c r="C19" s="5" t="s">
        <v>972</v>
      </c>
      <c r="D19" s="5" t="s">
        <v>613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customFormat="false" ht="15" hidden="false" customHeight="false" outlineLevel="0" collapsed="false">
      <c r="A20" s="61" t="s">
        <v>973</v>
      </c>
      <c r="B20" s="20"/>
      <c r="C20" s="5" t="s">
        <v>974</v>
      </c>
      <c r="D20" s="5" t="s">
        <v>613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</row>
    <row r="21" customFormat="false" ht="15" hidden="false" customHeight="false" outlineLevel="0" collapsed="false">
      <c r="A21" s="61" t="s">
        <v>975</v>
      </c>
      <c r="B21" s="20"/>
      <c r="C21" s="5" t="s">
        <v>976</v>
      </c>
      <c r="D21" s="5" t="s">
        <v>613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</row>
    <row r="22" customFormat="false" ht="15" hidden="false" customHeight="false" outlineLevel="0" collapsed="false">
      <c r="A22" s="61" t="s">
        <v>977</v>
      </c>
      <c r="B22" s="20"/>
      <c r="C22" s="5" t="s">
        <v>978</v>
      </c>
      <c r="D22" s="5" t="s">
        <v>957</v>
      </c>
      <c r="E22" s="24" t="n">
        <v>7500</v>
      </c>
      <c r="F22" s="24" t="n">
        <v>6800</v>
      </c>
      <c r="G22" s="24"/>
      <c r="H22" s="24"/>
      <c r="I22" s="24"/>
      <c r="J22" s="24"/>
      <c r="K22" s="24"/>
      <c r="L22" s="24"/>
      <c r="M22" s="24"/>
      <c r="N22" s="24"/>
    </row>
    <row r="23" customFormat="false" ht="15" hidden="false" customHeight="false" outlineLevel="0" collapsed="false">
      <c r="A23" s="61" t="s">
        <v>979</v>
      </c>
      <c r="B23" s="20"/>
      <c r="C23" s="5" t="s">
        <v>980</v>
      </c>
      <c r="D23" s="5" t="s">
        <v>957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customFormat="false" ht="15" hidden="false" customHeight="false" outlineLevel="0" collapsed="false">
      <c r="A24" s="61" t="s">
        <v>981</v>
      </c>
      <c r="B24" s="20"/>
      <c r="C24" s="5" t="s">
        <v>982</v>
      </c>
      <c r="D24" s="5" t="s">
        <v>957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A25" s="61" t="s">
        <v>983</v>
      </c>
      <c r="B25" s="20"/>
      <c r="C25" s="5" t="s">
        <v>984</v>
      </c>
      <c r="D25" s="5" t="s">
        <v>957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customFormat="false" ht="15" hidden="false" customHeight="false" outlineLevel="0" collapsed="false">
      <c r="A26" s="61" t="s">
        <v>985</v>
      </c>
      <c r="B26" s="20"/>
      <c r="C26" s="5" t="s">
        <v>986</v>
      </c>
      <c r="D26" s="5" t="s">
        <v>957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customFormat="false" ht="15" hidden="false" customHeight="false" outlineLevel="0" collapsed="false">
      <c r="A27" s="61" t="s">
        <v>987</v>
      </c>
      <c r="B27" s="20"/>
      <c r="C27" s="5" t="s">
        <v>988</v>
      </c>
      <c r="D27" s="5" t="s">
        <v>957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customFormat="false" ht="15" hidden="false" customHeight="false" outlineLevel="0" collapsed="false">
      <c r="A28" s="61" t="s">
        <v>989</v>
      </c>
      <c r="B28" s="20"/>
      <c r="C28" s="5" t="s">
        <v>990</v>
      </c>
      <c r="D28" s="5" t="s">
        <v>957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15" hidden="false" customHeight="false" outlineLevel="0" collapsed="false">
      <c r="A29" s="61" t="s">
        <v>991</v>
      </c>
      <c r="B29" s="20"/>
      <c r="C29" s="5" t="s">
        <v>992</v>
      </c>
      <c r="D29" s="5" t="s">
        <v>957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customFormat="false" ht="23.85" hidden="false" customHeight="false" outlineLevel="0" collapsed="false">
      <c r="A30" s="61" t="s">
        <v>993</v>
      </c>
      <c r="B30" s="20"/>
      <c r="C30" s="5" t="s">
        <v>994</v>
      </c>
      <c r="D30" s="5" t="s">
        <v>995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3.85" hidden="false" customHeight="false" outlineLevel="0" collapsed="false">
      <c r="A31" s="61" t="s">
        <v>996</v>
      </c>
      <c r="B31" s="20"/>
      <c r="C31" s="5" t="s">
        <v>997</v>
      </c>
      <c r="D31" s="5" t="s">
        <v>995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23.85" hidden="false" customHeight="false" outlineLevel="0" collapsed="false">
      <c r="A32" s="61" t="s">
        <v>998</v>
      </c>
      <c r="B32" s="20"/>
      <c r="C32" s="5" t="s">
        <v>999</v>
      </c>
      <c r="D32" s="5" t="s">
        <v>995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23.85" hidden="false" customHeight="false" outlineLevel="0" collapsed="false">
      <c r="A33" s="61" t="s">
        <v>1000</v>
      </c>
      <c r="B33" s="20"/>
      <c r="C33" s="5" t="s">
        <v>1001</v>
      </c>
      <c r="D33" s="5" t="s">
        <v>995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23.85" hidden="false" customHeight="false" outlineLevel="0" collapsed="false">
      <c r="A34" s="61" t="s">
        <v>1002</v>
      </c>
      <c r="B34" s="20"/>
      <c r="C34" s="5" t="s">
        <v>1003</v>
      </c>
      <c r="D34" s="5" t="s">
        <v>995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23.85" hidden="false" customHeight="false" outlineLevel="0" collapsed="false">
      <c r="A35" s="61" t="s">
        <v>1004</v>
      </c>
      <c r="B35" s="20"/>
      <c r="C35" s="5" t="s">
        <v>1005</v>
      </c>
      <c r="D35" s="5" t="s">
        <v>995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23.85" hidden="false" customHeight="false" outlineLevel="0" collapsed="false">
      <c r="A36" s="61" t="s">
        <v>1006</v>
      </c>
      <c r="B36" s="20"/>
      <c r="C36" s="5" t="s">
        <v>1007</v>
      </c>
      <c r="D36" s="5" t="s">
        <v>995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23.85" hidden="false" customHeight="false" outlineLevel="0" collapsed="false">
      <c r="A37" s="61" t="s">
        <v>1008</v>
      </c>
      <c r="B37" s="20"/>
      <c r="C37" s="5" t="s">
        <v>1009</v>
      </c>
      <c r="D37" s="5" t="s">
        <v>995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61" t="s">
        <v>1010</v>
      </c>
      <c r="B38" s="20"/>
      <c r="C38" s="5" t="s">
        <v>1011</v>
      </c>
      <c r="D38" s="5" t="s">
        <v>1012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61" t="s">
        <v>1013</v>
      </c>
      <c r="B39" s="20"/>
      <c r="C39" s="5" t="s">
        <v>1014</v>
      </c>
      <c r="D39" s="5" t="s">
        <v>1012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false" outlineLevel="0" collapsed="false">
      <c r="A40" s="61" t="s">
        <v>1015</v>
      </c>
      <c r="B40" s="20"/>
      <c r="C40" s="5" t="s">
        <v>1016</v>
      </c>
      <c r="D40" s="5" t="s">
        <v>1012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61" t="s">
        <v>1017</v>
      </c>
      <c r="B41" s="20"/>
      <c r="C41" s="5" t="s">
        <v>1018</v>
      </c>
      <c r="D41" s="5" t="s">
        <v>1012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customFormat="false" ht="15" hidden="false" customHeight="false" outlineLevel="0" collapsed="false">
      <c r="A42" s="61" t="s">
        <v>1019</v>
      </c>
      <c r="B42" s="20"/>
      <c r="C42" s="5" t="s">
        <v>1020</v>
      </c>
      <c r="D42" s="5" t="s">
        <v>1012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61" t="s">
        <v>1021</v>
      </c>
      <c r="B43" s="20"/>
      <c r="C43" s="5" t="s">
        <v>1022</v>
      </c>
      <c r="D43" s="5" t="s">
        <v>1012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customFormat="false" ht="15" hidden="false" customHeight="false" outlineLevel="0" collapsed="false">
      <c r="A44" s="61" t="s">
        <v>1023</v>
      </c>
      <c r="B44" s="20"/>
      <c r="C44" s="5" t="s">
        <v>1024</v>
      </c>
      <c r="D44" s="5" t="s">
        <v>1012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61" t="s">
        <v>1025</v>
      </c>
      <c r="B45" s="20"/>
      <c r="C45" s="5" t="s">
        <v>1026</v>
      </c>
      <c r="D45" s="5" t="s">
        <v>1012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customFormat="false" ht="15" hidden="false" customHeight="false" outlineLevel="0" collapsed="false">
      <c r="A46" s="61" t="s">
        <v>1027</v>
      </c>
      <c r="B46" s="20" t="s">
        <v>1028</v>
      </c>
      <c r="C46" s="5" t="s">
        <v>1029</v>
      </c>
      <c r="D46" s="5" t="s">
        <v>952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61" t="s">
        <v>1030</v>
      </c>
      <c r="B47" s="20"/>
      <c r="C47" s="5" t="s">
        <v>1031</v>
      </c>
      <c r="D47" s="5" t="s">
        <v>952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customFormat="false" ht="15" hidden="false" customHeight="false" outlineLevel="0" collapsed="false">
      <c r="A48" s="61" t="s">
        <v>1032</v>
      </c>
      <c r="B48" s="20"/>
      <c r="C48" s="5" t="s">
        <v>1033</v>
      </c>
      <c r="D48" s="5" t="s">
        <v>1034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61" t="s">
        <v>1035</v>
      </c>
      <c r="B49" s="20"/>
      <c r="C49" s="5" t="s">
        <v>1036</v>
      </c>
      <c r="D49" s="5" t="s">
        <v>1034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customFormat="false" ht="15" hidden="false" customHeight="false" outlineLevel="0" collapsed="false">
      <c r="A50" s="61" t="s">
        <v>1037</v>
      </c>
      <c r="B50" s="20"/>
      <c r="C50" s="5" t="s">
        <v>1038</v>
      </c>
      <c r="D50" s="5" t="s">
        <v>1039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false" outlineLevel="0" collapsed="false">
      <c r="A51" s="61" t="s">
        <v>1040</v>
      </c>
      <c r="B51" s="20"/>
      <c r="C51" s="5" t="s">
        <v>1041</v>
      </c>
      <c r="D51" s="5" t="s">
        <v>1039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false" outlineLevel="0" collapsed="false">
      <c r="A52" s="61" t="s">
        <v>1042</v>
      </c>
      <c r="B52" s="20" t="s">
        <v>1043</v>
      </c>
      <c r="C52" s="5" t="s">
        <v>1044</v>
      </c>
      <c r="D52" s="5" t="s">
        <v>1039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61" t="s">
        <v>1045</v>
      </c>
      <c r="B53" s="20"/>
      <c r="C53" s="5" t="s">
        <v>1046</v>
      </c>
      <c r="D53" s="5" t="s">
        <v>1047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customFormat="false" ht="15" hidden="false" customHeight="false" outlineLevel="0" collapsed="false">
      <c r="A54" s="61" t="s">
        <v>1048</v>
      </c>
      <c r="B54" s="20"/>
      <c r="C54" s="5" t="s">
        <v>1049</v>
      </c>
      <c r="D54" s="5" t="s">
        <v>1039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1" t="s">
        <v>1050</v>
      </c>
      <c r="B55" s="20" t="s">
        <v>1051</v>
      </c>
      <c r="C55" s="5" t="s">
        <v>1052</v>
      </c>
      <c r="D55" s="5" t="s">
        <v>957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customFormat="false" ht="15" hidden="false" customHeight="false" outlineLevel="0" collapsed="false">
      <c r="A56" s="61" t="s">
        <v>1053</v>
      </c>
      <c r="B56" s="20"/>
      <c r="C56" s="5" t="s">
        <v>1054</v>
      </c>
      <c r="D56" s="5" t="s">
        <v>939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customFormat="false" ht="15" hidden="false" customHeight="false" outlineLevel="0" collapsed="false">
      <c r="A57" s="61" t="s">
        <v>1055</v>
      </c>
      <c r="B57" s="20" t="s">
        <v>1056</v>
      </c>
      <c r="C57" s="5" t="s">
        <v>1057</v>
      </c>
      <c r="D57" s="5" t="s">
        <v>957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customFormat="false" ht="15" hidden="false" customHeight="false" outlineLevel="0" collapsed="false">
      <c r="A58" s="61" t="s">
        <v>1058</v>
      </c>
      <c r="B58" s="20"/>
      <c r="C58" s="5" t="s">
        <v>1059</v>
      </c>
      <c r="D58" s="5" t="s">
        <v>957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customFormat="false" ht="15" hidden="false" customHeight="false" outlineLevel="0" collapsed="false">
      <c r="A59" s="61" t="s">
        <v>1060</v>
      </c>
      <c r="B59" s="20"/>
      <c r="C59" s="5" t="s">
        <v>1061</v>
      </c>
      <c r="D59" s="5" t="s">
        <v>1062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customFormat="false" ht="15" hidden="false" customHeight="false" outlineLevel="0" collapsed="false">
      <c r="A60" s="61" t="s">
        <v>1063</v>
      </c>
      <c r="B60" s="20"/>
      <c r="C60" s="5" t="s">
        <v>1064</v>
      </c>
      <c r="D60" s="5" t="s">
        <v>1062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customFormat="false" ht="15" hidden="false" customHeight="false" outlineLevel="0" collapsed="false">
      <c r="A61" s="61" t="s">
        <v>1065</v>
      </c>
      <c r="B61" s="20"/>
      <c r="C61" s="5" t="s">
        <v>1066</v>
      </c>
      <c r="D61" s="5" t="s">
        <v>613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</row>
    <row r="62" customFormat="false" ht="23.85" hidden="false" customHeight="false" outlineLevel="0" collapsed="false">
      <c r="A62" s="61" t="s">
        <v>1067</v>
      </c>
      <c r="B62" s="20" t="s">
        <v>1068</v>
      </c>
      <c r="C62" s="5" t="s">
        <v>1069</v>
      </c>
      <c r="D62" s="5" t="s">
        <v>613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</row>
    <row r="63" customFormat="false" ht="15" hidden="false" customHeight="false" outlineLevel="0" collapsed="false">
      <c r="A63" s="61" t="s">
        <v>1070</v>
      </c>
      <c r="B63" s="20"/>
      <c r="C63" s="5" t="s">
        <v>1071</v>
      </c>
      <c r="D63" s="5" t="s">
        <v>1034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5" hidden="false" customHeight="false" outlineLevel="0" collapsed="false">
      <c r="A64" s="61" t="s">
        <v>1072</v>
      </c>
      <c r="B64" s="20"/>
      <c r="C64" s="5" t="s">
        <v>1073</v>
      </c>
      <c r="D64" s="5" t="s">
        <v>613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</row>
    <row r="65" customFormat="false" ht="15" hidden="false" customHeight="false" outlineLevel="0" collapsed="false">
      <c r="A65" s="61" t="s">
        <v>1074</v>
      </c>
      <c r="B65" s="20"/>
      <c r="C65" s="5" t="s">
        <v>1075</v>
      </c>
      <c r="D65" s="5" t="s">
        <v>939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customFormat="false" ht="15" hidden="false" customHeight="false" outlineLevel="0" collapsed="false">
      <c r="A66" s="61" t="s">
        <v>1076</v>
      </c>
      <c r="B66" s="20"/>
      <c r="C66" s="5" t="s">
        <v>1077</v>
      </c>
      <c r="D66" s="5" t="s">
        <v>1078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8" customFormat="false" ht="35.05" hidden="false" customHeight="false" outlineLevel="0" collapsed="false">
      <c r="B68" s="20" t="s">
        <v>1079</v>
      </c>
    </row>
    <row r="69" customFormat="false" ht="15" hidden="false" customHeight="false" outlineLevel="0" collapsed="false">
      <c r="A69" s="12" t="s">
        <v>1080</v>
      </c>
      <c r="B69" s="12" t="s">
        <v>926</v>
      </c>
      <c r="C69" s="12" t="s">
        <v>816</v>
      </c>
      <c r="D69" s="12" t="s">
        <v>198</v>
      </c>
      <c r="E69" s="12" t="s">
        <v>95</v>
      </c>
      <c r="F69" s="12" t="s">
        <v>927</v>
      </c>
      <c r="G69" s="12" t="s">
        <v>928</v>
      </c>
      <c r="H69" s="12" t="s">
        <v>929</v>
      </c>
      <c r="I69" s="12" t="s">
        <v>930</v>
      </c>
      <c r="J69" s="12" t="s">
        <v>931</v>
      </c>
      <c r="K69" s="12" t="s">
        <v>932</v>
      </c>
      <c r="L69" s="12" t="s">
        <v>933</v>
      </c>
      <c r="M69" s="12" t="s">
        <v>934</v>
      </c>
      <c r="N69" s="12" t="s">
        <v>935</v>
      </c>
    </row>
    <row r="70" customFormat="false" ht="15" hidden="false" customHeight="false" outlineLevel="0" collapsed="false">
      <c r="A70" s="61" t="s">
        <v>936</v>
      </c>
      <c r="C70" s="5" t="s">
        <v>938</v>
      </c>
      <c r="F70" s="44" t="str">
        <f aca="false">IF(AND(ISNUMBER(F6),ISNUMBER(E6),E6&lt;&gt;0),F6/E6-1,"")</f>
        <v/>
      </c>
      <c r="G70" s="44" t="str">
        <f aca="false">IF(AND(ISNUMBER(G6),ISNUMBER(F6),F6&lt;&gt;0),G6/F6-1,"")</f>
        <v/>
      </c>
      <c r="H70" s="44" t="str">
        <f aca="false">IF(AND(ISNUMBER(H6),ISNUMBER(G6),G6&lt;&gt;0),H6/G6-1,"")</f>
        <v/>
      </c>
      <c r="I70" s="44" t="str">
        <f aca="false">IF(AND(ISNUMBER(I6),ISNUMBER(H6),H6&lt;&gt;0),I6/H6-1,"")</f>
        <v/>
      </c>
      <c r="J70" s="44" t="str">
        <f aca="false">IF(AND(ISNUMBER(J6),ISNUMBER(I6),I6&lt;&gt;0),J6/I6-1,"")</f>
        <v/>
      </c>
      <c r="K70" s="44" t="str">
        <f aca="false">IF(AND(ISNUMBER(K6),ISNUMBER(J6),J6&lt;&gt;0),K6/J6-1,"")</f>
        <v/>
      </c>
      <c r="L70" s="44" t="str">
        <f aca="false">IF(AND(ISNUMBER(L6),ISNUMBER(K6),K6&lt;&gt;0),L6/K6-1,"")</f>
        <v/>
      </c>
      <c r="M70" s="44" t="str">
        <f aca="false">IF(AND(ISNUMBER(M6),ISNUMBER(L6),L6&lt;&gt;0),M6/L6-1,"")</f>
        <v/>
      </c>
      <c r="N70" s="44" t="str">
        <f aca="false">IF(AND(ISNUMBER(N6),ISNUMBER(M6),M6&lt;&gt;0),N6/M6-1,"")</f>
        <v/>
      </c>
    </row>
    <row r="71" customFormat="false" ht="15" hidden="false" customHeight="false" outlineLevel="0" collapsed="false">
      <c r="A71" s="61" t="s">
        <v>941</v>
      </c>
      <c r="C71" s="5" t="s">
        <v>942</v>
      </c>
      <c r="F71" s="44" t="str">
        <f aca="false">IF(AND(ISNUMBER(F7),ISNUMBER(E7),E7&lt;&gt;0),F7/E7-1,"")</f>
        <v/>
      </c>
      <c r="G71" s="44" t="str">
        <f aca="false">IF(AND(ISNUMBER(G7),ISNUMBER(F7),F7&lt;&gt;0),G7/F7-1,"")</f>
        <v/>
      </c>
      <c r="H71" s="44" t="str">
        <f aca="false">IF(AND(ISNUMBER(H7),ISNUMBER(G7),G7&lt;&gt;0),H7/G7-1,"")</f>
        <v/>
      </c>
      <c r="I71" s="44" t="str">
        <f aca="false">IF(AND(ISNUMBER(I7),ISNUMBER(H7),H7&lt;&gt;0),I7/H7-1,"")</f>
        <v/>
      </c>
      <c r="J71" s="44" t="str">
        <f aca="false">IF(AND(ISNUMBER(J7),ISNUMBER(I7),I7&lt;&gt;0),J7/I7-1,"")</f>
        <v/>
      </c>
      <c r="K71" s="44" t="str">
        <f aca="false">IF(AND(ISNUMBER(K7),ISNUMBER(J7),J7&lt;&gt;0),K7/J7-1,"")</f>
        <v/>
      </c>
      <c r="L71" s="44" t="str">
        <f aca="false">IF(AND(ISNUMBER(L7),ISNUMBER(K7),K7&lt;&gt;0),L7/K7-1,"")</f>
        <v/>
      </c>
      <c r="M71" s="44" t="str">
        <f aca="false">IF(AND(ISNUMBER(M7),ISNUMBER(L7),L7&lt;&gt;0),M7/L7-1,"")</f>
        <v/>
      </c>
      <c r="N71" s="44" t="str">
        <f aca="false">IF(AND(ISNUMBER(N7),ISNUMBER(M7),M7&lt;&gt;0),N7/M7-1,"")</f>
        <v/>
      </c>
    </row>
    <row r="72" customFormat="false" ht="15" hidden="false" customHeight="false" outlineLevel="0" collapsed="false">
      <c r="A72" s="61" t="s">
        <v>944</v>
      </c>
      <c r="C72" s="5" t="s">
        <v>946</v>
      </c>
      <c r="F72" s="44" t="str">
        <f aca="false">IF(AND(ISNUMBER(F8),ISNUMBER(E8),E8&lt;&gt;0),F8/E8-1,"")</f>
        <v/>
      </c>
      <c r="G72" s="44" t="str">
        <f aca="false">IF(AND(ISNUMBER(G8),ISNUMBER(F8),F8&lt;&gt;0),G8/F8-1,"")</f>
        <v/>
      </c>
      <c r="H72" s="44" t="str">
        <f aca="false">IF(AND(ISNUMBER(H8),ISNUMBER(G8),G8&lt;&gt;0),H8/G8-1,"")</f>
        <v/>
      </c>
      <c r="I72" s="44" t="str">
        <f aca="false">IF(AND(ISNUMBER(I8),ISNUMBER(H8),H8&lt;&gt;0),I8/H8-1,"")</f>
        <v/>
      </c>
      <c r="J72" s="44" t="str">
        <f aca="false">IF(AND(ISNUMBER(J8),ISNUMBER(I8),I8&lt;&gt;0),J8/I8-1,"")</f>
        <v/>
      </c>
      <c r="K72" s="44" t="str">
        <f aca="false">IF(AND(ISNUMBER(K8),ISNUMBER(J8),J8&lt;&gt;0),K8/J8-1,"")</f>
        <v/>
      </c>
      <c r="L72" s="44" t="str">
        <f aca="false">IF(AND(ISNUMBER(L8),ISNUMBER(K8),K8&lt;&gt;0),L8/K8-1,"")</f>
        <v/>
      </c>
      <c r="M72" s="44" t="str">
        <f aca="false">IF(AND(ISNUMBER(M8),ISNUMBER(L8),L8&lt;&gt;0),M8/L8-1,"")</f>
        <v/>
      </c>
      <c r="N72" s="44" t="str">
        <f aca="false">IF(AND(ISNUMBER(N8),ISNUMBER(M8),M8&lt;&gt;0),N8/M8-1,"")</f>
        <v/>
      </c>
    </row>
    <row r="73" customFormat="false" ht="15" hidden="false" customHeight="false" outlineLevel="0" collapsed="false">
      <c r="A73" s="61" t="s">
        <v>948</v>
      </c>
      <c r="C73" s="5" t="s">
        <v>949</v>
      </c>
      <c r="F73" s="44" t="str">
        <f aca="false">IF(AND(ISNUMBER(F9),ISNUMBER(E9),E9&lt;&gt;0),F9/E9-1,"")</f>
        <v/>
      </c>
      <c r="G73" s="44" t="str">
        <f aca="false">IF(AND(ISNUMBER(G9),ISNUMBER(F9),F9&lt;&gt;0),G9/F9-1,"")</f>
        <v/>
      </c>
      <c r="H73" s="44" t="str">
        <f aca="false">IF(AND(ISNUMBER(H9),ISNUMBER(G9),G9&lt;&gt;0),H9/G9-1,"")</f>
        <v/>
      </c>
      <c r="I73" s="44" t="str">
        <f aca="false">IF(AND(ISNUMBER(I9),ISNUMBER(H9),H9&lt;&gt;0),I9/H9-1,"")</f>
        <v/>
      </c>
      <c r="J73" s="44" t="str">
        <f aca="false">IF(AND(ISNUMBER(J9),ISNUMBER(I9),I9&lt;&gt;0),J9/I9-1,"")</f>
        <v/>
      </c>
      <c r="K73" s="44" t="str">
        <f aca="false">IF(AND(ISNUMBER(K9),ISNUMBER(J9),J9&lt;&gt;0),K9/J9-1,"")</f>
        <v/>
      </c>
      <c r="L73" s="44" t="str">
        <f aca="false">IF(AND(ISNUMBER(L9),ISNUMBER(K9),K9&lt;&gt;0),L9/K9-1,"")</f>
        <v/>
      </c>
      <c r="M73" s="44" t="str">
        <f aca="false">IF(AND(ISNUMBER(M9),ISNUMBER(L9),L9&lt;&gt;0),M9/L9-1,"")</f>
        <v/>
      </c>
      <c r="N73" s="44" t="str">
        <f aca="false">IF(AND(ISNUMBER(N9),ISNUMBER(M9),M9&lt;&gt;0),N9/M9-1,"")</f>
        <v/>
      </c>
    </row>
    <row r="74" customFormat="false" ht="15" hidden="false" customHeight="false" outlineLevel="0" collapsed="false">
      <c r="A74" s="61" t="s">
        <v>950</v>
      </c>
      <c r="C74" s="5" t="s">
        <v>951</v>
      </c>
      <c r="F74" s="44" t="str">
        <f aca="false">IF(AND(ISNUMBER(F10),ISNUMBER(E10),E10&lt;&gt;0),F10/E10-1,"")</f>
        <v/>
      </c>
      <c r="G74" s="44" t="str">
        <f aca="false">IF(AND(ISNUMBER(G10),ISNUMBER(F10),F10&lt;&gt;0),G10/F10-1,"")</f>
        <v/>
      </c>
      <c r="H74" s="44" t="str">
        <f aca="false">IF(AND(ISNUMBER(H10),ISNUMBER(G10),G10&lt;&gt;0),H10/G10-1,"")</f>
        <v/>
      </c>
      <c r="I74" s="44" t="str">
        <f aca="false">IF(AND(ISNUMBER(I10),ISNUMBER(H10),H10&lt;&gt;0),I10/H10-1,"")</f>
        <v/>
      </c>
      <c r="J74" s="44" t="str">
        <f aca="false">IF(AND(ISNUMBER(J10),ISNUMBER(I10),I10&lt;&gt;0),J10/I10-1,"")</f>
        <v/>
      </c>
      <c r="K74" s="44" t="str">
        <f aca="false">IF(AND(ISNUMBER(K10),ISNUMBER(J10),J10&lt;&gt;0),K10/J10-1,"")</f>
        <v/>
      </c>
      <c r="L74" s="44" t="str">
        <f aca="false">IF(AND(ISNUMBER(L10),ISNUMBER(K10),K10&lt;&gt;0),L10/K10-1,"")</f>
        <v/>
      </c>
      <c r="M74" s="44" t="str">
        <f aca="false">IF(AND(ISNUMBER(M10),ISNUMBER(L10),L10&lt;&gt;0),M10/L10-1,"")</f>
        <v/>
      </c>
      <c r="N74" s="44" t="str">
        <f aca="false">IF(AND(ISNUMBER(N10),ISNUMBER(M10),M10&lt;&gt;0),N10/M10-1,"")</f>
        <v/>
      </c>
    </row>
    <row r="75" customFormat="false" ht="15" hidden="false" customHeight="false" outlineLevel="0" collapsed="false">
      <c r="A75" s="61" t="s">
        <v>953</v>
      </c>
      <c r="C75" s="5" t="s">
        <v>954</v>
      </c>
      <c r="F75" s="44" t="str">
        <f aca="false">IF(AND(ISNUMBER(F11),ISNUMBER(E11),E11&lt;&gt;0),F11/E11-1,"")</f>
        <v/>
      </c>
      <c r="G75" s="44" t="str">
        <f aca="false">IF(AND(ISNUMBER(G11),ISNUMBER(F11),F11&lt;&gt;0),G11/F11-1,"")</f>
        <v/>
      </c>
      <c r="H75" s="44" t="str">
        <f aca="false">IF(AND(ISNUMBER(H11),ISNUMBER(G11),G11&lt;&gt;0),H11/G11-1,"")</f>
        <v/>
      </c>
      <c r="I75" s="44" t="str">
        <f aca="false">IF(AND(ISNUMBER(I11),ISNUMBER(H11),H11&lt;&gt;0),I11/H11-1,"")</f>
        <v/>
      </c>
      <c r="J75" s="44" t="str">
        <f aca="false">IF(AND(ISNUMBER(J11),ISNUMBER(I11),I11&lt;&gt;0),J11/I11-1,"")</f>
        <v/>
      </c>
      <c r="K75" s="44" t="str">
        <f aca="false">IF(AND(ISNUMBER(K11),ISNUMBER(J11),J11&lt;&gt;0),K11/J11-1,"")</f>
        <v/>
      </c>
      <c r="L75" s="44" t="str">
        <f aca="false">IF(AND(ISNUMBER(L11),ISNUMBER(K11),K11&lt;&gt;0),L11/K11-1,"")</f>
        <v/>
      </c>
      <c r="M75" s="44" t="str">
        <f aca="false">IF(AND(ISNUMBER(M11),ISNUMBER(L11),L11&lt;&gt;0),M11/L11-1,"")</f>
        <v/>
      </c>
      <c r="N75" s="44" t="str">
        <f aca="false">IF(AND(ISNUMBER(N11),ISNUMBER(M11),M11&lt;&gt;0),N11/M11-1,"")</f>
        <v/>
      </c>
    </row>
    <row r="76" customFormat="false" ht="15" hidden="false" customHeight="false" outlineLevel="0" collapsed="false">
      <c r="A76" s="61" t="s">
        <v>955</v>
      </c>
      <c r="C76" s="5" t="s">
        <v>956</v>
      </c>
      <c r="F76" s="44" t="str">
        <f aca="false">IF(AND(ISNUMBER(F12),ISNUMBER(E12),E12&lt;&gt;0),F12/E12-1,"")</f>
        <v/>
      </c>
      <c r="G76" s="44" t="str">
        <f aca="false">IF(AND(ISNUMBER(G12),ISNUMBER(F12),F12&lt;&gt;0),G12/F12-1,"")</f>
        <v/>
      </c>
      <c r="H76" s="44" t="str">
        <f aca="false">IF(AND(ISNUMBER(H12),ISNUMBER(G12),G12&lt;&gt;0),H12/G12-1,"")</f>
        <v/>
      </c>
      <c r="I76" s="44" t="str">
        <f aca="false">IF(AND(ISNUMBER(I12),ISNUMBER(H12),H12&lt;&gt;0),I12/H12-1,"")</f>
        <v/>
      </c>
      <c r="J76" s="44" t="str">
        <f aca="false">IF(AND(ISNUMBER(J12),ISNUMBER(I12),I12&lt;&gt;0),J12/I12-1,"")</f>
        <v/>
      </c>
      <c r="K76" s="44" t="str">
        <f aca="false">IF(AND(ISNUMBER(K12),ISNUMBER(J12),J12&lt;&gt;0),K12/J12-1,"")</f>
        <v/>
      </c>
      <c r="L76" s="44" t="str">
        <f aca="false">IF(AND(ISNUMBER(L12),ISNUMBER(K12),K12&lt;&gt;0),L12/K12-1,"")</f>
        <v/>
      </c>
      <c r="M76" s="44" t="str">
        <f aca="false">IF(AND(ISNUMBER(M12),ISNUMBER(L12),L12&lt;&gt;0),M12/L12-1,"")</f>
        <v/>
      </c>
      <c r="N76" s="44" t="str">
        <f aca="false">IF(AND(ISNUMBER(N12),ISNUMBER(M12),M12&lt;&gt;0),N12/M12-1,"")</f>
        <v/>
      </c>
    </row>
    <row r="77" customFormat="false" ht="15" hidden="false" customHeight="false" outlineLevel="0" collapsed="false">
      <c r="A77" s="61" t="s">
        <v>958</v>
      </c>
      <c r="C77" s="5" t="s">
        <v>959</v>
      </c>
      <c r="F77" s="44" t="str">
        <f aca="false">IF(AND(ISNUMBER(F13),ISNUMBER(E13),E13&lt;&gt;0),F13/E13-1,"")</f>
        <v/>
      </c>
      <c r="G77" s="44" t="str">
        <f aca="false">IF(AND(ISNUMBER(G13),ISNUMBER(F13),F13&lt;&gt;0),G13/F13-1,"")</f>
        <v/>
      </c>
      <c r="H77" s="44" t="str">
        <f aca="false">IF(AND(ISNUMBER(H13),ISNUMBER(G13),G13&lt;&gt;0),H13/G13-1,"")</f>
        <v/>
      </c>
      <c r="I77" s="44" t="str">
        <f aca="false">IF(AND(ISNUMBER(I13),ISNUMBER(H13),H13&lt;&gt;0),I13/H13-1,"")</f>
        <v/>
      </c>
      <c r="J77" s="44" t="str">
        <f aca="false">IF(AND(ISNUMBER(J13),ISNUMBER(I13),I13&lt;&gt;0),J13/I13-1,"")</f>
        <v/>
      </c>
      <c r="K77" s="44" t="str">
        <f aca="false">IF(AND(ISNUMBER(K13),ISNUMBER(J13),J13&lt;&gt;0),K13/J13-1,"")</f>
        <v/>
      </c>
      <c r="L77" s="44" t="str">
        <f aca="false">IF(AND(ISNUMBER(L13),ISNUMBER(K13),K13&lt;&gt;0),L13/K13-1,"")</f>
        <v/>
      </c>
      <c r="M77" s="44" t="str">
        <f aca="false">IF(AND(ISNUMBER(M13),ISNUMBER(L13),L13&lt;&gt;0),M13/L13-1,"")</f>
        <v/>
      </c>
      <c r="N77" s="44" t="str">
        <f aca="false">IF(AND(ISNUMBER(N13),ISNUMBER(M13),M13&lt;&gt;0),N13/M13-1,"")</f>
        <v/>
      </c>
    </row>
    <row r="78" customFormat="false" ht="15" hidden="false" customHeight="false" outlineLevel="0" collapsed="false">
      <c r="A78" s="61" t="s">
        <v>960</v>
      </c>
      <c r="C78" s="5" t="s">
        <v>962</v>
      </c>
      <c r="F78" s="44" t="n">
        <f aca="false">IF(AND(ISNUMBER(F14),ISNUMBER(E14),E14&lt;&gt;0),F14/E14-1,"")</f>
        <v>-0.0568181818181818</v>
      </c>
      <c r="G78" s="44" t="str">
        <f aca="false">IF(AND(ISNUMBER(G14),ISNUMBER(F14),F14&lt;&gt;0),G14/F14-1,"")</f>
        <v/>
      </c>
      <c r="H78" s="44" t="str">
        <f aca="false">IF(AND(ISNUMBER(H14),ISNUMBER(G14),G14&lt;&gt;0),H14/G14-1,"")</f>
        <v/>
      </c>
      <c r="I78" s="44" t="str">
        <f aca="false">IF(AND(ISNUMBER(I14),ISNUMBER(H14),H14&lt;&gt;0),I14/H14-1,"")</f>
        <v/>
      </c>
      <c r="J78" s="44" t="str">
        <f aca="false">IF(AND(ISNUMBER(J14),ISNUMBER(I14),I14&lt;&gt;0),J14/I14-1,"")</f>
        <v/>
      </c>
      <c r="K78" s="44" t="str">
        <f aca="false">IF(AND(ISNUMBER(K14),ISNUMBER(J14),J14&lt;&gt;0),K14/J14-1,"")</f>
        <v/>
      </c>
      <c r="L78" s="44" t="str">
        <f aca="false">IF(AND(ISNUMBER(L14),ISNUMBER(K14),K14&lt;&gt;0),L14/K14-1,"")</f>
        <v/>
      </c>
      <c r="M78" s="44" t="str">
        <f aca="false">IF(AND(ISNUMBER(M14),ISNUMBER(L14),L14&lt;&gt;0),M14/L14-1,"")</f>
        <v/>
      </c>
      <c r="N78" s="44" t="str">
        <f aca="false">IF(AND(ISNUMBER(N14),ISNUMBER(M14),M14&lt;&gt;0),N14/M14-1,"")</f>
        <v/>
      </c>
    </row>
    <row r="79" customFormat="false" ht="15" hidden="false" customHeight="false" outlineLevel="0" collapsed="false">
      <c r="A79" s="61" t="s">
        <v>963</v>
      </c>
      <c r="C79" s="5" t="s">
        <v>964</v>
      </c>
      <c r="F79" s="44" t="str">
        <f aca="false">IF(AND(ISNUMBER(F15),ISNUMBER(E15),E15&lt;&gt;0),F15/E15-1,"")</f>
        <v/>
      </c>
      <c r="G79" s="44" t="str">
        <f aca="false">IF(AND(ISNUMBER(G15),ISNUMBER(F15),F15&lt;&gt;0),G15/F15-1,"")</f>
        <v/>
      </c>
      <c r="H79" s="44" t="str">
        <f aca="false">IF(AND(ISNUMBER(H15),ISNUMBER(G15),G15&lt;&gt;0),H15/G15-1,"")</f>
        <v/>
      </c>
      <c r="I79" s="44" t="str">
        <f aca="false">IF(AND(ISNUMBER(I15),ISNUMBER(H15),H15&lt;&gt;0),I15/H15-1,"")</f>
        <v/>
      </c>
      <c r="J79" s="44" t="str">
        <f aca="false">IF(AND(ISNUMBER(J15),ISNUMBER(I15),I15&lt;&gt;0),J15/I15-1,"")</f>
        <v/>
      </c>
      <c r="K79" s="44" t="str">
        <f aca="false">IF(AND(ISNUMBER(K15),ISNUMBER(J15),J15&lt;&gt;0),K15/J15-1,"")</f>
        <v/>
      </c>
      <c r="L79" s="44" t="str">
        <f aca="false">IF(AND(ISNUMBER(L15),ISNUMBER(K15),K15&lt;&gt;0),L15/K15-1,"")</f>
        <v/>
      </c>
      <c r="M79" s="44" t="str">
        <f aca="false">IF(AND(ISNUMBER(M15),ISNUMBER(L15),L15&lt;&gt;0),M15/L15-1,"")</f>
        <v/>
      </c>
      <c r="N79" s="44" t="str">
        <f aca="false">IF(AND(ISNUMBER(N15),ISNUMBER(M15),M15&lt;&gt;0),N15/M15-1,"")</f>
        <v/>
      </c>
    </row>
    <row r="80" customFormat="false" ht="15" hidden="false" customHeight="false" outlineLevel="0" collapsed="false">
      <c r="A80" s="61" t="s">
        <v>965</v>
      </c>
      <c r="C80" s="5" t="s">
        <v>966</v>
      </c>
      <c r="F80" s="44" t="str">
        <f aca="false">IF(AND(ISNUMBER(F16),ISNUMBER(E16),E16&lt;&gt;0),F16/E16-1,"")</f>
        <v/>
      </c>
      <c r="G80" s="44" t="str">
        <f aca="false">IF(AND(ISNUMBER(G16),ISNUMBER(F16),F16&lt;&gt;0),G16/F16-1,"")</f>
        <v/>
      </c>
      <c r="H80" s="44" t="str">
        <f aca="false">IF(AND(ISNUMBER(H16),ISNUMBER(G16),G16&lt;&gt;0),H16/G16-1,"")</f>
        <v/>
      </c>
      <c r="I80" s="44" t="str">
        <f aca="false">IF(AND(ISNUMBER(I16),ISNUMBER(H16),H16&lt;&gt;0),I16/H16-1,"")</f>
        <v/>
      </c>
      <c r="J80" s="44" t="str">
        <f aca="false">IF(AND(ISNUMBER(J16),ISNUMBER(I16),I16&lt;&gt;0),J16/I16-1,"")</f>
        <v/>
      </c>
      <c r="K80" s="44" t="str">
        <f aca="false">IF(AND(ISNUMBER(K16),ISNUMBER(J16),J16&lt;&gt;0),K16/J16-1,"")</f>
        <v/>
      </c>
      <c r="L80" s="44" t="str">
        <f aca="false">IF(AND(ISNUMBER(L16),ISNUMBER(K16),K16&lt;&gt;0),L16/K16-1,"")</f>
        <v/>
      </c>
      <c r="M80" s="44" t="str">
        <f aca="false">IF(AND(ISNUMBER(M16),ISNUMBER(L16),L16&lt;&gt;0),M16/L16-1,"")</f>
        <v/>
      </c>
      <c r="N80" s="44" t="str">
        <f aca="false">IF(AND(ISNUMBER(N16),ISNUMBER(M16),M16&lt;&gt;0),N16/M16-1,"")</f>
        <v/>
      </c>
    </row>
    <row r="81" customFormat="false" ht="15" hidden="false" customHeight="false" outlineLevel="0" collapsed="false">
      <c r="A81" s="61" t="s">
        <v>967</v>
      </c>
      <c r="C81" s="5" t="s">
        <v>968</v>
      </c>
      <c r="F81" s="44" t="str">
        <f aca="false">IF(AND(ISNUMBER(F17),ISNUMBER(E17),E17&lt;&gt;0),F17/E17-1,"")</f>
        <v/>
      </c>
      <c r="G81" s="44" t="str">
        <f aca="false">IF(AND(ISNUMBER(G17),ISNUMBER(F17),F17&lt;&gt;0),G17/F17-1,"")</f>
        <v/>
      </c>
      <c r="H81" s="44" t="str">
        <f aca="false">IF(AND(ISNUMBER(H17),ISNUMBER(G17),G17&lt;&gt;0),H17/G17-1,"")</f>
        <v/>
      </c>
      <c r="I81" s="44" t="str">
        <f aca="false">IF(AND(ISNUMBER(I17),ISNUMBER(H17),H17&lt;&gt;0),I17/H17-1,"")</f>
        <v/>
      </c>
      <c r="J81" s="44" t="str">
        <f aca="false">IF(AND(ISNUMBER(J17),ISNUMBER(I17),I17&lt;&gt;0),J17/I17-1,"")</f>
        <v/>
      </c>
      <c r="K81" s="44" t="str">
        <f aca="false">IF(AND(ISNUMBER(K17),ISNUMBER(J17),J17&lt;&gt;0),K17/J17-1,"")</f>
        <v/>
      </c>
      <c r="L81" s="44" t="str">
        <f aca="false">IF(AND(ISNUMBER(L17),ISNUMBER(K17),K17&lt;&gt;0),L17/K17-1,"")</f>
        <v/>
      </c>
      <c r="M81" s="44" t="str">
        <f aca="false">IF(AND(ISNUMBER(M17),ISNUMBER(L17),L17&lt;&gt;0),M17/L17-1,"")</f>
        <v/>
      </c>
      <c r="N81" s="44" t="str">
        <f aca="false">IF(AND(ISNUMBER(N17),ISNUMBER(M17),M17&lt;&gt;0),N17/M17-1,"")</f>
        <v/>
      </c>
    </row>
    <row r="82" customFormat="false" ht="15" hidden="false" customHeight="false" outlineLevel="0" collapsed="false">
      <c r="A82" s="61" t="s">
        <v>969</v>
      </c>
      <c r="C82" s="5" t="s">
        <v>970</v>
      </c>
      <c r="F82" s="44" t="str">
        <f aca="false">IF(AND(ISNUMBER(F18),ISNUMBER(E18),E18&lt;&gt;0),F18/E18-1,"")</f>
        <v/>
      </c>
      <c r="G82" s="44" t="str">
        <f aca="false">IF(AND(ISNUMBER(G18),ISNUMBER(F18),F18&lt;&gt;0),G18/F18-1,"")</f>
        <v/>
      </c>
      <c r="H82" s="44" t="str">
        <f aca="false">IF(AND(ISNUMBER(H18),ISNUMBER(G18),G18&lt;&gt;0),H18/G18-1,"")</f>
        <v/>
      </c>
      <c r="I82" s="44" t="str">
        <f aca="false">IF(AND(ISNUMBER(I18),ISNUMBER(H18),H18&lt;&gt;0),I18/H18-1,"")</f>
        <v/>
      </c>
      <c r="J82" s="44" t="str">
        <f aca="false">IF(AND(ISNUMBER(J18),ISNUMBER(I18),I18&lt;&gt;0),J18/I18-1,"")</f>
        <v/>
      </c>
      <c r="K82" s="44" t="str">
        <f aca="false">IF(AND(ISNUMBER(K18),ISNUMBER(J18),J18&lt;&gt;0),K18/J18-1,"")</f>
        <v/>
      </c>
      <c r="L82" s="44" t="str">
        <f aca="false">IF(AND(ISNUMBER(L18),ISNUMBER(K18),K18&lt;&gt;0),L18/K18-1,"")</f>
        <v/>
      </c>
      <c r="M82" s="44" t="str">
        <f aca="false">IF(AND(ISNUMBER(M18),ISNUMBER(L18),L18&lt;&gt;0),M18/L18-1,"")</f>
        <v/>
      </c>
      <c r="N82" s="44" t="str">
        <f aca="false">IF(AND(ISNUMBER(N18),ISNUMBER(M18),M18&lt;&gt;0),N18/M18-1,"")</f>
        <v/>
      </c>
    </row>
    <row r="83" customFormat="false" ht="15" hidden="false" customHeight="false" outlineLevel="0" collapsed="false">
      <c r="A83" s="61" t="s">
        <v>971</v>
      </c>
      <c r="C83" s="5" t="s">
        <v>972</v>
      </c>
      <c r="F83" s="44" t="str">
        <f aca="false">IF(AND(ISNUMBER(F19),ISNUMBER(E19),E19&lt;&gt;0),F19/E19-1,"")</f>
        <v/>
      </c>
      <c r="G83" s="44" t="str">
        <f aca="false">IF(AND(ISNUMBER(G19),ISNUMBER(F19),F19&lt;&gt;0),G19/F19-1,"")</f>
        <v/>
      </c>
      <c r="H83" s="44" t="str">
        <f aca="false">IF(AND(ISNUMBER(H19),ISNUMBER(G19),G19&lt;&gt;0),H19/G19-1,"")</f>
        <v/>
      </c>
      <c r="I83" s="44" t="str">
        <f aca="false">IF(AND(ISNUMBER(I19),ISNUMBER(H19),H19&lt;&gt;0),I19/H19-1,"")</f>
        <v/>
      </c>
      <c r="J83" s="44" t="str">
        <f aca="false">IF(AND(ISNUMBER(J19),ISNUMBER(I19),I19&lt;&gt;0),J19/I19-1,"")</f>
        <v/>
      </c>
      <c r="K83" s="44" t="str">
        <f aca="false">IF(AND(ISNUMBER(K19),ISNUMBER(J19),J19&lt;&gt;0),K19/J19-1,"")</f>
        <v/>
      </c>
      <c r="L83" s="44" t="str">
        <f aca="false">IF(AND(ISNUMBER(L19),ISNUMBER(K19),K19&lt;&gt;0),L19/K19-1,"")</f>
        <v/>
      </c>
      <c r="M83" s="44" t="str">
        <f aca="false">IF(AND(ISNUMBER(M19),ISNUMBER(L19),L19&lt;&gt;0),M19/L19-1,"")</f>
        <v/>
      </c>
      <c r="N83" s="44" t="str">
        <f aca="false">IF(AND(ISNUMBER(N19),ISNUMBER(M19),M19&lt;&gt;0),N19/M19-1,"")</f>
        <v/>
      </c>
    </row>
    <row r="84" customFormat="false" ht="15" hidden="false" customHeight="false" outlineLevel="0" collapsed="false">
      <c r="A84" s="61" t="s">
        <v>973</v>
      </c>
      <c r="C84" s="5" t="s">
        <v>974</v>
      </c>
      <c r="F84" s="44" t="str">
        <f aca="false">IF(AND(ISNUMBER(F20),ISNUMBER(E20),E20&lt;&gt;0),F20/E20-1,"")</f>
        <v/>
      </c>
      <c r="G84" s="44" t="str">
        <f aca="false">IF(AND(ISNUMBER(G20),ISNUMBER(F20),F20&lt;&gt;0),G20/F20-1,"")</f>
        <v/>
      </c>
      <c r="H84" s="44" t="str">
        <f aca="false">IF(AND(ISNUMBER(H20),ISNUMBER(G20),G20&lt;&gt;0),H20/G20-1,"")</f>
        <v/>
      </c>
      <c r="I84" s="44" t="str">
        <f aca="false">IF(AND(ISNUMBER(I20),ISNUMBER(H20),H20&lt;&gt;0),I20/H20-1,"")</f>
        <v/>
      </c>
      <c r="J84" s="44" t="str">
        <f aca="false">IF(AND(ISNUMBER(J20),ISNUMBER(I20),I20&lt;&gt;0),J20/I20-1,"")</f>
        <v/>
      </c>
      <c r="K84" s="44" t="str">
        <f aca="false">IF(AND(ISNUMBER(K20),ISNUMBER(J20),J20&lt;&gt;0),K20/J20-1,"")</f>
        <v/>
      </c>
      <c r="L84" s="44" t="str">
        <f aca="false">IF(AND(ISNUMBER(L20),ISNUMBER(K20),K20&lt;&gt;0),L20/K20-1,"")</f>
        <v/>
      </c>
      <c r="M84" s="44" t="str">
        <f aca="false">IF(AND(ISNUMBER(M20),ISNUMBER(L20),L20&lt;&gt;0),M20/L20-1,"")</f>
        <v/>
      </c>
      <c r="N84" s="44" t="str">
        <f aca="false">IF(AND(ISNUMBER(N20),ISNUMBER(M20),M20&lt;&gt;0),N20/M20-1,"")</f>
        <v/>
      </c>
    </row>
    <row r="85" customFormat="false" ht="15" hidden="false" customHeight="false" outlineLevel="0" collapsed="false">
      <c r="A85" s="61" t="s">
        <v>975</v>
      </c>
      <c r="C85" s="5" t="s">
        <v>976</v>
      </c>
      <c r="F85" s="44" t="str">
        <f aca="false">IF(AND(ISNUMBER(F21),ISNUMBER(E21),E21&lt;&gt;0),F21/E21-1,"")</f>
        <v/>
      </c>
      <c r="G85" s="44" t="str">
        <f aca="false">IF(AND(ISNUMBER(G21),ISNUMBER(F21),F21&lt;&gt;0),G21/F21-1,"")</f>
        <v/>
      </c>
      <c r="H85" s="44" t="str">
        <f aca="false">IF(AND(ISNUMBER(H21),ISNUMBER(G21),G21&lt;&gt;0),H21/G21-1,"")</f>
        <v/>
      </c>
      <c r="I85" s="44" t="str">
        <f aca="false">IF(AND(ISNUMBER(I21),ISNUMBER(H21),H21&lt;&gt;0),I21/H21-1,"")</f>
        <v/>
      </c>
      <c r="J85" s="44" t="str">
        <f aca="false">IF(AND(ISNUMBER(J21),ISNUMBER(I21),I21&lt;&gt;0),J21/I21-1,"")</f>
        <v/>
      </c>
      <c r="K85" s="44" t="str">
        <f aca="false">IF(AND(ISNUMBER(K21),ISNUMBER(J21),J21&lt;&gt;0),K21/J21-1,"")</f>
        <v/>
      </c>
      <c r="L85" s="44" t="str">
        <f aca="false">IF(AND(ISNUMBER(L21),ISNUMBER(K21),K21&lt;&gt;0),L21/K21-1,"")</f>
        <v/>
      </c>
      <c r="M85" s="44" t="str">
        <f aca="false">IF(AND(ISNUMBER(M21),ISNUMBER(L21),L21&lt;&gt;0),M21/L21-1,"")</f>
        <v/>
      </c>
      <c r="N85" s="44" t="str">
        <f aca="false">IF(AND(ISNUMBER(N21),ISNUMBER(M21),M21&lt;&gt;0),N21/M21-1,"")</f>
        <v/>
      </c>
    </row>
    <row r="86" customFormat="false" ht="15" hidden="false" customHeight="false" outlineLevel="0" collapsed="false">
      <c r="A86" s="61" t="s">
        <v>977</v>
      </c>
      <c r="C86" s="5" t="s">
        <v>978</v>
      </c>
      <c r="F86" s="44" t="n">
        <f aca="false">IF(AND(ISNUMBER(F22),ISNUMBER(E22),E22&lt;&gt;0),F22/E22-1,"")</f>
        <v>-0.0933333333333334</v>
      </c>
      <c r="G86" s="44" t="str">
        <f aca="false">IF(AND(ISNUMBER(G22),ISNUMBER(F22),F22&lt;&gt;0),G22/F22-1,"")</f>
        <v/>
      </c>
      <c r="H86" s="44" t="str">
        <f aca="false">IF(AND(ISNUMBER(H22),ISNUMBER(G22),G22&lt;&gt;0),H22/G22-1,"")</f>
        <v/>
      </c>
      <c r="I86" s="44" t="str">
        <f aca="false">IF(AND(ISNUMBER(I22),ISNUMBER(H22),H22&lt;&gt;0),I22/H22-1,"")</f>
        <v/>
      </c>
      <c r="J86" s="44" t="str">
        <f aca="false">IF(AND(ISNUMBER(J22),ISNUMBER(I22),I22&lt;&gt;0),J22/I22-1,"")</f>
        <v/>
      </c>
      <c r="K86" s="44" t="str">
        <f aca="false">IF(AND(ISNUMBER(K22),ISNUMBER(J22),J22&lt;&gt;0),K22/J22-1,"")</f>
        <v/>
      </c>
      <c r="L86" s="44" t="str">
        <f aca="false">IF(AND(ISNUMBER(L22),ISNUMBER(K22),K22&lt;&gt;0),L22/K22-1,"")</f>
        <v/>
      </c>
      <c r="M86" s="44" t="str">
        <f aca="false">IF(AND(ISNUMBER(M22),ISNUMBER(L22),L22&lt;&gt;0),M22/L22-1,"")</f>
        <v/>
      </c>
      <c r="N86" s="44" t="str">
        <f aca="false">IF(AND(ISNUMBER(N22),ISNUMBER(M22),M22&lt;&gt;0),N22/M22-1,"")</f>
        <v/>
      </c>
    </row>
    <row r="87" customFormat="false" ht="15" hidden="false" customHeight="false" outlineLevel="0" collapsed="false">
      <c r="A87" s="61" t="s">
        <v>979</v>
      </c>
      <c r="C87" s="5" t="s">
        <v>980</v>
      </c>
      <c r="F87" s="44" t="str">
        <f aca="false">IF(AND(ISNUMBER(F23),ISNUMBER(E23),E23&lt;&gt;0),F23/E23-1,"")</f>
        <v/>
      </c>
      <c r="G87" s="44" t="str">
        <f aca="false">IF(AND(ISNUMBER(G23),ISNUMBER(F23),F23&lt;&gt;0),G23/F23-1,"")</f>
        <v/>
      </c>
      <c r="H87" s="44" t="str">
        <f aca="false">IF(AND(ISNUMBER(H23),ISNUMBER(G23),G23&lt;&gt;0),H23/G23-1,"")</f>
        <v/>
      </c>
      <c r="I87" s="44" t="str">
        <f aca="false">IF(AND(ISNUMBER(I23),ISNUMBER(H23),H23&lt;&gt;0),I23/H23-1,"")</f>
        <v/>
      </c>
      <c r="J87" s="44" t="str">
        <f aca="false">IF(AND(ISNUMBER(J23),ISNUMBER(I23),I23&lt;&gt;0),J23/I23-1,"")</f>
        <v/>
      </c>
      <c r="K87" s="44" t="str">
        <f aca="false">IF(AND(ISNUMBER(K23),ISNUMBER(J23),J23&lt;&gt;0),K23/J23-1,"")</f>
        <v/>
      </c>
      <c r="L87" s="44" t="str">
        <f aca="false">IF(AND(ISNUMBER(L23),ISNUMBER(K23),K23&lt;&gt;0),L23/K23-1,"")</f>
        <v/>
      </c>
      <c r="M87" s="44" t="str">
        <f aca="false">IF(AND(ISNUMBER(M23),ISNUMBER(L23),L23&lt;&gt;0),M23/L23-1,"")</f>
        <v/>
      </c>
      <c r="N87" s="44" t="str">
        <f aca="false">IF(AND(ISNUMBER(N23),ISNUMBER(M23),M23&lt;&gt;0),N23/M23-1,"")</f>
        <v/>
      </c>
    </row>
    <row r="88" customFormat="false" ht="15" hidden="false" customHeight="false" outlineLevel="0" collapsed="false">
      <c r="A88" s="61" t="s">
        <v>981</v>
      </c>
      <c r="C88" s="5" t="s">
        <v>982</v>
      </c>
      <c r="F88" s="44" t="str">
        <f aca="false">IF(AND(ISNUMBER(F24),ISNUMBER(E24),E24&lt;&gt;0),F24/E24-1,"")</f>
        <v/>
      </c>
      <c r="G88" s="44" t="str">
        <f aca="false">IF(AND(ISNUMBER(G24),ISNUMBER(F24),F24&lt;&gt;0),G24/F24-1,"")</f>
        <v/>
      </c>
      <c r="H88" s="44" t="str">
        <f aca="false">IF(AND(ISNUMBER(H24),ISNUMBER(G24),G24&lt;&gt;0),H24/G24-1,"")</f>
        <v/>
      </c>
      <c r="I88" s="44" t="str">
        <f aca="false">IF(AND(ISNUMBER(I24),ISNUMBER(H24),H24&lt;&gt;0),I24/H24-1,"")</f>
        <v/>
      </c>
      <c r="J88" s="44" t="str">
        <f aca="false">IF(AND(ISNUMBER(J24),ISNUMBER(I24),I24&lt;&gt;0),J24/I24-1,"")</f>
        <v/>
      </c>
      <c r="K88" s="44" t="str">
        <f aca="false">IF(AND(ISNUMBER(K24),ISNUMBER(J24),J24&lt;&gt;0),K24/J24-1,"")</f>
        <v/>
      </c>
      <c r="L88" s="44" t="str">
        <f aca="false">IF(AND(ISNUMBER(L24),ISNUMBER(K24),K24&lt;&gt;0),L24/K24-1,"")</f>
        <v/>
      </c>
      <c r="M88" s="44" t="str">
        <f aca="false">IF(AND(ISNUMBER(M24),ISNUMBER(L24),L24&lt;&gt;0),M24/L24-1,"")</f>
        <v/>
      </c>
      <c r="N88" s="44" t="str">
        <f aca="false">IF(AND(ISNUMBER(N24),ISNUMBER(M24),M24&lt;&gt;0),N24/M24-1,"")</f>
        <v/>
      </c>
    </row>
    <row r="89" customFormat="false" ht="15" hidden="false" customHeight="false" outlineLevel="0" collapsed="false">
      <c r="A89" s="61" t="s">
        <v>983</v>
      </c>
      <c r="C89" s="5" t="s">
        <v>984</v>
      </c>
      <c r="F89" s="44" t="str">
        <f aca="false">IF(AND(ISNUMBER(F25),ISNUMBER(E25),E25&lt;&gt;0),F25/E25-1,"")</f>
        <v/>
      </c>
      <c r="G89" s="44" t="str">
        <f aca="false">IF(AND(ISNUMBER(G25),ISNUMBER(F25),F25&lt;&gt;0),G25/F25-1,"")</f>
        <v/>
      </c>
      <c r="H89" s="44" t="str">
        <f aca="false">IF(AND(ISNUMBER(H25),ISNUMBER(G25),G25&lt;&gt;0),H25/G25-1,"")</f>
        <v/>
      </c>
      <c r="I89" s="44" t="str">
        <f aca="false">IF(AND(ISNUMBER(I25),ISNUMBER(H25),H25&lt;&gt;0),I25/H25-1,"")</f>
        <v/>
      </c>
      <c r="J89" s="44" t="str">
        <f aca="false">IF(AND(ISNUMBER(J25),ISNUMBER(I25),I25&lt;&gt;0),J25/I25-1,"")</f>
        <v/>
      </c>
      <c r="K89" s="44" t="str">
        <f aca="false">IF(AND(ISNUMBER(K25),ISNUMBER(J25),J25&lt;&gt;0),K25/J25-1,"")</f>
        <v/>
      </c>
      <c r="L89" s="44" t="str">
        <f aca="false">IF(AND(ISNUMBER(L25),ISNUMBER(K25),K25&lt;&gt;0),L25/K25-1,"")</f>
        <v/>
      </c>
      <c r="M89" s="44" t="str">
        <f aca="false">IF(AND(ISNUMBER(M25),ISNUMBER(L25),L25&lt;&gt;0),M25/L25-1,"")</f>
        <v/>
      </c>
      <c r="N89" s="44" t="str">
        <f aca="false">IF(AND(ISNUMBER(N25),ISNUMBER(M25),M25&lt;&gt;0),N25/M25-1,"")</f>
        <v/>
      </c>
    </row>
    <row r="90" customFormat="false" ht="15" hidden="false" customHeight="false" outlineLevel="0" collapsed="false">
      <c r="A90" s="61" t="s">
        <v>985</v>
      </c>
      <c r="C90" s="5" t="s">
        <v>986</v>
      </c>
      <c r="F90" s="44" t="str">
        <f aca="false">IF(AND(ISNUMBER(F26),ISNUMBER(E26),E26&lt;&gt;0),F26/E26-1,"")</f>
        <v/>
      </c>
      <c r="G90" s="44" t="str">
        <f aca="false">IF(AND(ISNUMBER(G26),ISNUMBER(F26),F26&lt;&gt;0),G26/F26-1,"")</f>
        <v/>
      </c>
      <c r="H90" s="44" t="str">
        <f aca="false">IF(AND(ISNUMBER(H26),ISNUMBER(G26),G26&lt;&gt;0),H26/G26-1,"")</f>
        <v/>
      </c>
      <c r="I90" s="44" t="str">
        <f aca="false">IF(AND(ISNUMBER(I26),ISNUMBER(H26),H26&lt;&gt;0),I26/H26-1,"")</f>
        <v/>
      </c>
      <c r="J90" s="44" t="str">
        <f aca="false">IF(AND(ISNUMBER(J26),ISNUMBER(I26),I26&lt;&gt;0),J26/I26-1,"")</f>
        <v/>
      </c>
      <c r="K90" s="44" t="str">
        <f aca="false">IF(AND(ISNUMBER(K26),ISNUMBER(J26),J26&lt;&gt;0),K26/J26-1,"")</f>
        <v/>
      </c>
      <c r="L90" s="44" t="str">
        <f aca="false">IF(AND(ISNUMBER(L26),ISNUMBER(K26),K26&lt;&gt;0),L26/K26-1,"")</f>
        <v/>
      </c>
      <c r="M90" s="44" t="str">
        <f aca="false">IF(AND(ISNUMBER(M26),ISNUMBER(L26),L26&lt;&gt;0),M26/L26-1,"")</f>
        <v/>
      </c>
      <c r="N90" s="44" t="str">
        <f aca="false">IF(AND(ISNUMBER(N26),ISNUMBER(M26),M26&lt;&gt;0),N26/M26-1,"")</f>
        <v/>
      </c>
    </row>
    <row r="91" customFormat="false" ht="15" hidden="false" customHeight="false" outlineLevel="0" collapsed="false">
      <c r="A91" s="61" t="s">
        <v>987</v>
      </c>
      <c r="C91" s="5" t="s">
        <v>988</v>
      </c>
      <c r="F91" s="44" t="str">
        <f aca="false">IF(AND(ISNUMBER(F27),ISNUMBER(E27),E27&lt;&gt;0),F27/E27-1,"")</f>
        <v/>
      </c>
      <c r="G91" s="44" t="str">
        <f aca="false">IF(AND(ISNUMBER(G27),ISNUMBER(F27),F27&lt;&gt;0),G27/F27-1,"")</f>
        <v/>
      </c>
      <c r="H91" s="44" t="str">
        <f aca="false">IF(AND(ISNUMBER(H27),ISNUMBER(G27),G27&lt;&gt;0),H27/G27-1,"")</f>
        <v/>
      </c>
      <c r="I91" s="44" t="str">
        <f aca="false">IF(AND(ISNUMBER(I27),ISNUMBER(H27),H27&lt;&gt;0),I27/H27-1,"")</f>
        <v/>
      </c>
      <c r="J91" s="44" t="str">
        <f aca="false">IF(AND(ISNUMBER(J27),ISNUMBER(I27),I27&lt;&gt;0),J27/I27-1,"")</f>
        <v/>
      </c>
      <c r="K91" s="44" t="str">
        <f aca="false">IF(AND(ISNUMBER(K27),ISNUMBER(J27),J27&lt;&gt;0),K27/J27-1,"")</f>
        <v/>
      </c>
      <c r="L91" s="44" t="str">
        <f aca="false">IF(AND(ISNUMBER(L27),ISNUMBER(K27),K27&lt;&gt;0),L27/K27-1,"")</f>
        <v/>
      </c>
      <c r="M91" s="44" t="str">
        <f aca="false">IF(AND(ISNUMBER(M27),ISNUMBER(L27),L27&lt;&gt;0),M27/L27-1,"")</f>
        <v/>
      </c>
      <c r="N91" s="44" t="str">
        <f aca="false">IF(AND(ISNUMBER(N27),ISNUMBER(M27),M27&lt;&gt;0),N27/M27-1,"")</f>
        <v/>
      </c>
    </row>
    <row r="92" customFormat="false" ht="15" hidden="false" customHeight="false" outlineLevel="0" collapsed="false">
      <c r="A92" s="61" t="s">
        <v>989</v>
      </c>
      <c r="C92" s="5" t="s">
        <v>990</v>
      </c>
      <c r="F92" s="44" t="str">
        <f aca="false">IF(AND(ISNUMBER(F28),ISNUMBER(E28),E28&lt;&gt;0),F28/E28-1,"")</f>
        <v/>
      </c>
      <c r="G92" s="44" t="str">
        <f aca="false">IF(AND(ISNUMBER(G28),ISNUMBER(F28),F28&lt;&gt;0),G28/F28-1,"")</f>
        <v/>
      </c>
      <c r="H92" s="44" t="str">
        <f aca="false">IF(AND(ISNUMBER(H28),ISNUMBER(G28),G28&lt;&gt;0),H28/G28-1,"")</f>
        <v/>
      </c>
      <c r="I92" s="44" t="str">
        <f aca="false">IF(AND(ISNUMBER(I28),ISNUMBER(H28),H28&lt;&gt;0),I28/H28-1,"")</f>
        <v/>
      </c>
      <c r="J92" s="44" t="str">
        <f aca="false">IF(AND(ISNUMBER(J28),ISNUMBER(I28),I28&lt;&gt;0),J28/I28-1,"")</f>
        <v/>
      </c>
      <c r="K92" s="44" t="str">
        <f aca="false">IF(AND(ISNUMBER(K28),ISNUMBER(J28),J28&lt;&gt;0),K28/J28-1,"")</f>
        <v/>
      </c>
      <c r="L92" s="44" t="str">
        <f aca="false">IF(AND(ISNUMBER(L28),ISNUMBER(K28),K28&lt;&gt;0),L28/K28-1,"")</f>
        <v/>
      </c>
      <c r="M92" s="44" t="str">
        <f aca="false">IF(AND(ISNUMBER(M28),ISNUMBER(L28),L28&lt;&gt;0),M28/L28-1,"")</f>
        <v/>
      </c>
      <c r="N92" s="44" t="str">
        <f aca="false">IF(AND(ISNUMBER(N28),ISNUMBER(M28),M28&lt;&gt;0),N28/M28-1,"")</f>
        <v/>
      </c>
    </row>
    <row r="93" customFormat="false" ht="15" hidden="false" customHeight="false" outlineLevel="0" collapsed="false">
      <c r="A93" s="61" t="s">
        <v>991</v>
      </c>
      <c r="C93" s="5" t="s">
        <v>992</v>
      </c>
      <c r="F93" s="44" t="str">
        <f aca="false">IF(AND(ISNUMBER(F29),ISNUMBER(E29),E29&lt;&gt;0),F29/E29-1,"")</f>
        <v/>
      </c>
      <c r="G93" s="44" t="str">
        <f aca="false">IF(AND(ISNUMBER(G29),ISNUMBER(F29),F29&lt;&gt;0),G29/F29-1,"")</f>
        <v/>
      </c>
      <c r="H93" s="44" t="str">
        <f aca="false">IF(AND(ISNUMBER(H29),ISNUMBER(G29),G29&lt;&gt;0),H29/G29-1,"")</f>
        <v/>
      </c>
      <c r="I93" s="44" t="str">
        <f aca="false">IF(AND(ISNUMBER(I29),ISNUMBER(H29),H29&lt;&gt;0),I29/H29-1,"")</f>
        <v/>
      </c>
      <c r="J93" s="44" t="str">
        <f aca="false">IF(AND(ISNUMBER(J29),ISNUMBER(I29),I29&lt;&gt;0),J29/I29-1,"")</f>
        <v/>
      </c>
      <c r="K93" s="44" t="str">
        <f aca="false">IF(AND(ISNUMBER(K29),ISNUMBER(J29),J29&lt;&gt;0),K29/J29-1,"")</f>
        <v/>
      </c>
      <c r="L93" s="44" t="str">
        <f aca="false">IF(AND(ISNUMBER(L29),ISNUMBER(K29),K29&lt;&gt;0),L29/K29-1,"")</f>
        <v/>
      </c>
      <c r="M93" s="44" t="str">
        <f aca="false">IF(AND(ISNUMBER(M29),ISNUMBER(L29),L29&lt;&gt;0),M29/L29-1,"")</f>
        <v/>
      </c>
      <c r="N93" s="44" t="str">
        <f aca="false">IF(AND(ISNUMBER(N29),ISNUMBER(M29),M29&lt;&gt;0),N29/M29-1,"")</f>
        <v/>
      </c>
    </row>
    <row r="94" customFormat="false" ht="23.85" hidden="false" customHeight="false" outlineLevel="0" collapsed="false">
      <c r="A94" s="61" t="s">
        <v>993</v>
      </c>
      <c r="C94" s="5" t="s">
        <v>994</v>
      </c>
      <c r="F94" s="44" t="str">
        <f aca="false">IF(AND(ISNUMBER(F30),ISNUMBER(E30),E30&lt;&gt;0),F30/E30-1,"")</f>
        <v/>
      </c>
      <c r="G94" s="44" t="str">
        <f aca="false">IF(AND(ISNUMBER(G30),ISNUMBER(F30),F30&lt;&gt;0),G30/F30-1,"")</f>
        <v/>
      </c>
      <c r="H94" s="44" t="str">
        <f aca="false">IF(AND(ISNUMBER(H30),ISNUMBER(G30),G30&lt;&gt;0),H30/G30-1,"")</f>
        <v/>
      </c>
      <c r="I94" s="44" t="str">
        <f aca="false">IF(AND(ISNUMBER(I30),ISNUMBER(H30),H30&lt;&gt;0),I30/H30-1,"")</f>
        <v/>
      </c>
      <c r="J94" s="44" t="str">
        <f aca="false">IF(AND(ISNUMBER(J30),ISNUMBER(I30),I30&lt;&gt;0),J30/I30-1,"")</f>
        <v/>
      </c>
      <c r="K94" s="44" t="str">
        <f aca="false">IF(AND(ISNUMBER(K30),ISNUMBER(J30),J30&lt;&gt;0),K30/J30-1,"")</f>
        <v/>
      </c>
      <c r="L94" s="44" t="str">
        <f aca="false">IF(AND(ISNUMBER(L30),ISNUMBER(K30),K30&lt;&gt;0),L30/K30-1,"")</f>
        <v/>
      </c>
      <c r="M94" s="44" t="str">
        <f aca="false">IF(AND(ISNUMBER(M30),ISNUMBER(L30),L30&lt;&gt;0),M30/L30-1,"")</f>
        <v/>
      </c>
      <c r="N94" s="44" t="str">
        <f aca="false">IF(AND(ISNUMBER(N30),ISNUMBER(M30),M30&lt;&gt;0),N30/M30-1,"")</f>
        <v/>
      </c>
    </row>
    <row r="95" customFormat="false" ht="23.85" hidden="false" customHeight="false" outlineLevel="0" collapsed="false">
      <c r="A95" s="61" t="s">
        <v>996</v>
      </c>
      <c r="C95" s="5" t="s">
        <v>997</v>
      </c>
      <c r="F95" s="44" t="str">
        <f aca="false">IF(AND(ISNUMBER(F31),ISNUMBER(E31),E31&lt;&gt;0),F31/E31-1,"")</f>
        <v/>
      </c>
      <c r="G95" s="44" t="str">
        <f aca="false">IF(AND(ISNUMBER(G31),ISNUMBER(F31),F31&lt;&gt;0),G31/F31-1,"")</f>
        <v/>
      </c>
      <c r="H95" s="44" t="str">
        <f aca="false">IF(AND(ISNUMBER(H31),ISNUMBER(G31),G31&lt;&gt;0),H31/G31-1,"")</f>
        <v/>
      </c>
      <c r="I95" s="44" t="str">
        <f aca="false">IF(AND(ISNUMBER(I31),ISNUMBER(H31),H31&lt;&gt;0),I31/H31-1,"")</f>
        <v/>
      </c>
      <c r="J95" s="44" t="str">
        <f aca="false">IF(AND(ISNUMBER(J31),ISNUMBER(I31),I31&lt;&gt;0),J31/I31-1,"")</f>
        <v/>
      </c>
      <c r="K95" s="44" t="str">
        <f aca="false">IF(AND(ISNUMBER(K31),ISNUMBER(J31),J31&lt;&gt;0),K31/J31-1,"")</f>
        <v/>
      </c>
      <c r="L95" s="44" t="str">
        <f aca="false">IF(AND(ISNUMBER(L31),ISNUMBER(K31),K31&lt;&gt;0),L31/K31-1,"")</f>
        <v/>
      </c>
      <c r="M95" s="44" t="str">
        <f aca="false">IF(AND(ISNUMBER(M31),ISNUMBER(L31),L31&lt;&gt;0),M31/L31-1,"")</f>
        <v/>
      </c>
      <c r="N95" s="44" t="str">
        <f aca="false">IF(AND(ISNUMBER(N31),ISNUMBER(M31),M31&lt;&gt;0),N31/M31-1,"")</f>
        <v/>
      </c>
    </row>
    <row r="96" customFormat="false" ht="23.85" hidden="false" customHeight="false" outlineLevel="0" collapsed="false">
      <c r="A96" s="61" t="s">
        <v>998</v>
      </c>
      <c r="C96" s="5" t="s">
        <v>999</v>
      </c>
      <c r="F96" s="44" t="str">
        <f aca="false">IF(AND(ISNUMBER(F32),ISNUMBER(E32),E32&lt;&gt;0),F32/E32-1,"")</f>
        <v/>
      </c>
      <c r="G96" s="44" t="str">
        <f aca="false">IF(AND(ISNUMBER(G32),ISNUMBER(F32),F32&lt;&gt;0),G32/F32-1,"")</f>
        <v/>
      </c>
      <c r="H96" s="44" t="str">
        <f aca="false">IF(AND(ISNUMBER(H32),ISNUMBER(G32),G32&lt;&gt;0),H32/G32-1,"")</f>
        <v/>
      </c>
      <c r="I96" s="44" t="str">
        <f aca="false">IF(AND(ISNUMBER(I32),ISNUMBER(H32),H32&lt;&gt;0),I32/H32-1,"")</f>
        <v/>
      </c>
      <c r="J96" s="44" t="str">
        <f aca="false">IF(AND(ISNUMBER(J32),ISNUMBER(I32),I32&lt;&gt;0),J32/I32-1,"")</f>
        <v/>
      </c>
      <c r="K96" s="44" t="str">
        <f aca="false">IF(AND(ISNUMBER(K32),ISNUMBER(J32),J32&lt;&gt;0),K32/J32-1,"")</f>
        <v/>
      </c>
      <c r="L96" s="44" t="str">
        <f aca="false">IF(AND(ISNUMBER(L32),ISNUMBER(K32),K32&lt;&gt;0),L32/K32-1,"")</f>
        <v/>
      </c>
      <c r="M96" s="44" t="str">
        <f aca="false">IF(AND(ISNUMBER(M32),ISNUMBER(L32),L32&lt;&gt;0),M32/L32-1,"")</f>
        <v/>
      </c>
      <c r="N96" s="44" t="str">
        <f aca="false">IF(AND(ISNUMBER(N32),ISNUMBER(M32),M32&lt;&gt;0),N32/M32-1,"")</f>
        <v/>
      </c>
    </row>
    <row r="97" customFormat="false" ht="23.85" hidden="false" customHeight="false" outlineLevel="0" collapsed="false">
      <c r="A97" s="61" t="s">
        <v>1000</v>
      </c>
      <c r="C97" s="5" t="s">
        <v>1001</v>
      </c>
      <c r="F97" s="44" t="str">
        <f aca="false">IF(AND(ISNUMBER(F33),ISNUMBER(E33),E33&lt;&gt;0),F33/E33-1,"")</f>
        <v/>
      </c>
      <c r="G97" s="44" t="str">
        <f aca="false">IF(AND(ISNUMBER(G33),ISNUMBER(F33),F33&lt;&gt;0),G33/F33-1,"")</f>
        <v/>
      </c>
      <c r="H97" s="44" t="str">
        <f aca="false">IF(AND(ISNUMBER(H33),ISNUMBER(G33),G33&lt;&gt;0),H33/G33-1,"")</f>
        <v/>
      </c>
      <c r="I97" s="44" t="str">
        <f aca="false">IF(AND(ISNUMBER(I33),ISNUMBER(H33),H33&lt;&gt;0),I33/H33-1,"")</f>
        <v/>
      </c>
      <c r="J97" s="44" t="str">
        <f aca="false">IF(AND(ISNUMBER(J33),ISNUMBER(I33),I33&lt;&gt;0),J33/I33-1,"")</f>
        <v/>
      </c>
      <c r="K97" s="44" t="str">
        <f aca="false">IF(AND(ISNUMBER(K33),ISNUMBER(J33),J33&lt;&gt;0),K33/J33-1,"")</f>
        <v/>
      </c>
      <c r="L97" s="44" t="str">
        <f aca="false">IF(AND(ISNUMBER(L33),ISNUMBER(K33),K33&lt;&gt;0),L33/K33-1,"")</f>
        <v/>
      </c>
      <c r="M97" s="44" t="str">
        <f aca="false">IF(AND(ISNUMBER(M33),ISNUMBER(L33),L33&lt;&gt;0),M33/L33-1,"")</f>
        <v/>
      </c>
      <c r="N97" s="44" t="str">
        <f aca="false">IF(AND(ISNUMBER(N33),ISNUMBER(M33),M33&lt;&gt;0),N33/M33-1,"")</f>
        <v/>
      </c>
    </row>
    <row r="98" customFormat="false" ht="23.85" hidden="false" customHeight="false" outlineLevel="0" collapsed="false">
      <c r="A98" s="61" t="s">
        <v>1002</v>
      </c>
      <c r="C98" s="5" t="s">
        <v>1003</v>
      </c>
      <c r="F98" s="44" t="str">
        <f aca="false">IF(AND(ISNUMBER(F34),ISNUMBER(E34),E34&lt;&gt;0),F34/E34-1,"")</f>
        <v/>
      </c>
      <c r="G98" s="44" t="str">
        <f aca="false">IF(AND(ISNUMBER(G34),ISNUMBER(F34),F34&lt;&gt;0),G34/F34-1,"")</f>
        <v/>
      </c>
      <c r="H98" s="44" t="str">
        <f aca="false">IF(AND(ISNUMBER(H34),ISNUMBER(G34),G34&lt;&gt;0),H34/G34-1,"")</f>
        <v/>
      </c>
      <c r="I98" s="44" t="str">
        <f aca="false">IF(AND(ISNUMBER(I34),ISNUMBER(H34),H34&lt;&gt;0),I34/H34-1,"")</f>
        <v/>
      </c>
      <c r="J98" s="44" t="str">
        <f aca="false">IF(AND(ISNUMBER(J34),ISNUMBER(I34),I34&lt;&gt;0),J34/I34-1,"")</f>
        <v/>
      </c>
      <c r="K98" s="44" t="str">
        <f aca="false">IF(AND(ISNUMBER(K34),ISNUMBER(J34),J34&lt;&gt;0),K34/J34-1,"")</f>
        <v/>
      </c>
      <c r="L98" s="44" t="str">
        <f aca="false">IF(AND(ISNUMBER(L34),ISNUMBER(K34),K34&lt;&gt;0),L34/K34-1,"")</f>
        <v/>
      </c>
      <c r="M98" s="44" t="str">
        <f aca="false">IF(AND(ISNUMBER(M34),ISNUMBER(L34),L34&lt;&gt;0),M34/L34-1,"")</f>
        <v/>
      </c>
      <c r="N98" s="44" t="str">
        <f aca="false">IF(AND(ISNUMBER(N34),ISNUMBER(M34),M34&lt;&gt;0),N34/M34-1,"")</f>
        <v/>
      </c>
    </row>
    <row r="99" customFormat="false" ht="23.85" hidden="false" customHeight="false" outlineLevel="0" collapsed="false">
      <c r="A99" s="61" t="s">
        <v>1004</v>
      </c>
      <c r="C99" s="5" t="s">
        <v>1005</v>
      </c>
      <c r="F99" s="44" t="str">
        <f aca="false">IF(AND(ISNUMBER(F35),ISNUMBER(E35),E35&lt;&gt;0),F35/E35-1,"")</f>
        <v/>
      </c>
      <c r="G99" s="44" t="str">
        <f aca="false">IF(AND(ISNUMBER(G35),ISNUMBER(F35),F35&lt;&gt;0),G35/F35-1,"")</f>
        <v/>
      </c>
      <c r="H99" s="44" t="str">
        <f aca="false">IF(AND(ISNUMBER(H35),ISNUMBER(G35),G35&lt;&gt;0),H35/G35-1,"")</f>
        <v/>
      </c>
      <c r="I99" s="44" t="str">
        <f aca="false">IF(AND(ISNUMBER(I35),ISNUMBER(H35),H35&lt;&gt;0),I35/H35-1,"")</f>
        <v/>
      </c>
      <c r="J99" s="44" t="str">
        <f aca="false">IF(AND(ISNUMBER(J35),ISNUMBER(I35),I35&lt;&gt;0),J35/I35-1,"")</f>
        <v/>
      </c>
      <c r="K99" s="44" t="str">
        <f aca="false">IF(AND(ISNUMBER(K35),ISNUMBER(J35),J35&lt;&gt;0),K35/J35-1,"")</f>
        <v/>
      </c>
      <c r="L99" s="44" t="str">
        <f aca="false">IF(AND(ISNUMBER(L35),ISNUMBER(K35),K35&lt;&gt;0),L35/K35-1,"")</f>
        <v/>
      </c>
      <c r="M99" s="44" t="str">
        <f aca="false">IF(AND(ISNUMBER(M35),ISNUMBER(L35),L35&lt;&gt;0),M35/L35-1,"")</f>
        <v/>
      </c>
      <c r="N99" s="44" t="str">
        <f aca="false">IF(AND(ISNUMBER(N35),ISNUMBER(M35),M35&lt;&gt;0),N35/M35-1,"")</f>
        <v/>
      </c>
    </row>
    <row r="100" customFormat="false" ht="23.85" hidden="false" customHeight="false" outlineLevel="0" collapsed="false">
      <c r="A100" s="61" t="s">
        <v>1006</v>
      </c>
      <c r="C100" s="5" t="s">
        <v>1007</v>
      </c>
      <c r="F100" s="44" t="str">
        <f aca="false">IF(AND(ISNUMBER(F36),ISNUMBER(E36),E36&lt;&gt;0),F36/E36-1,"")</f>
        <v/>
      </c>
      <c r="G100" s="44" t="str">
        <f aca="false">IF(AND(ISNUMBER(G36),ISNUMBER(F36),F36&lt;&gt;0),G36/F36-1,"")</f>
        <v/>
      </c>
      <c r="H100" s="44" t="str">
        <f aca="false">IF(AND(ISNUMBER(H36),ISNUMBER(G36),G36&lt;&gt;0),H36/G36-1,"")</f>
        <v/>
      </c>
      <c r="I100" s="44" t="str">
        <f aca="false">IF(AND(ISNUMBER(I36),ISNUMBER(H36),H36&lt;&gt;0),I36/H36-1,"")</f>
        <v/>
      </c>
      <c r="J100" s="44" t="str">
        <f aca="false">IF(AND(ISNUMBER(J36),ISNUMBER(I36),I36&lt;&gt;0),J36/I36-1,"")</f>
        <v/>
      </c>
      <c r="K100" s="44" t="str">
        <f aca="false">IF(AND(ISNUMBER(K36),ISNUMBER(J36),J36&lt;&gt;0),K36/J36-1,"")</f>
        <v/>
      </c>
      <c r="L100" s="44" t="str">
        <f aca="false">IF(AND(ISNUMBER(L36),ISNUMBER(K36),K36&lt;&gt;0),L36/K36-1,"")</f>
        <v/>
      </c>
      <c r="M100" s="44" t="str">
        <f aca="false">IF(AND(ISNUMBER(M36),ISNUMBER(L36),L36&lt;&gt;0),M36/L36-1,"")</f>
        <v/>
      </c>
      <c r="N100" s="44" t="str">
        <f aca="false">IF(AND(ISNUMBER(N36),ISNUMBER(M36),M36&lt;&gt;0),N36/M36-1,"")</f>
        <v/>
      </c>
    </row>
    <row r="101" customFormat="false" ht="23.85" hidden="false" customHeight="false" outlineLevel="0" collapsed="false">
      <c r="A101" s="61" t="s">
        <v>1008</v>
      </c>
      <c r="C101" s="5" t="s">
        <v>1009</v>
      </c>
      <c r="F101" s="44" t="str">
        <f aca="false">IF(AND(ISNUMBER(F37),ISNUMBER(E37),E37&lt;&gt;0),F37/E37-1,"")</f>
        <v/>
      </c>
      <c r="G101" s="44" t="str">
        <f aca="false">IF(AND(ISNUMBER(G37),ISNUMBER(F37),F37&lt;&gt;0),G37/F37-1,"")</f>
        <v/>
      </c>
      <c r="H101" s="44" t="str">
        <f aca="false">IF(AND(ISNUMBER(H37),ISNUMBER(G37),G37&lt;&gt;0),H37/G37-1,"")</f>
        <v/>
      </c>
      <c r="I101" s="44" t="str">
        <f aca="false">IF(AND(ISNUMBER(I37),ISNUMBER(H37),H37&lt;&gt;0),I37/H37-1,"")</f>
        <v/>
      </c>
      <c r="J101" s="44" t="str">
        <f aca="false">IF(AND(ISNUMBER(J37),ISNUMBER(I37),I37&lt;&gt;0),J37/I37-1,"")</f>
        <v/>
      </c>
      <c r="K101" s="44" t="str">
        <f aca="false">IF(AND(ISNUMBER(K37),ISNUMBER(J37),J37&lt;&gt;0),K37/J37-1,"")</f>
        <v/>
      </c>
      <c r="L101" s="44" t="str">
        <f aca="false">IF(AND(ISNUMBER(L37),ISNUMBER(K37),K37&lt;&gt;0),L37/K37-1,"")</f>
        <v/>
      </c>
      <c r="M101" s="44" t="str">
        <f aca="false">IF(AND(ISNUMBER(M37),ISNUMBER(L37),L37&lt;&gt;0),M37/L37-1,"")</f>
        <v/>
      </c>
      <c r="N101" s="44" t="str">
        <f aca="false">IF(AND(ISNUMBER(N37),ISNUMBER(M37),M37&lt;&gt;0),N37/M37-1,"")</f>
        <v/>
      </c>
    </row>
    <row r="102" customFormat="false" ht="15" hidden="false" customHeight="false" outlineLevel="0" collapsed="false">
      <c r="A102" s="61" t="s">
        <v>1010</v>
      </c>
      <c r="C102" s="5" t="s">
        <v>1011</v>
      </c>
      <c r="F102" s="44" t="str">
        <f aca="false">IF(AND(ISNUMBER(F38),ISNUMBER(E38),E38&lt;&gt;0),F38/E38-1,"")</f>
        <v/>
      </c>
      <c r="G102" s="44" t="str">
        <f aca="false">IF(AND(ISNUMBER(G38),ISNUMBER(F38),F38&lt;&gt;0),G38/F38-1,"")</f>
        <v/>
      </c>
      <c r="H102" s="44" t="str">
        <f aca="false">IF(AND(ISNUMBER(H38),ISNUMBER(G38),G38&lt;&gt;0),H38/G38-1,"")</f>
        <v/>
      </c>
      <c r="I102" s="44" t="str">
        <f aca="false">IF(AND(ISNUMBER(I38),ISNUMBER(H38),H38&lt;&gt;0),I38/H38-1,"")</f>
        <v/>
      </c>
      <c r="J102" s="44" t="str">
        <f aca="false">IF(AND(ISNUMBER(J38),ISNUMBER(I38),I38&lt;&gt;0),J38/I38-1,"")</f>
        <v/>
      </c>
      <c r="K102" s="44" t="str">
        <f aca="false">IF(AND(ISNUMBER(K38),ISNUMBER(J38),J38&lt;&gt;0),K38/J38-1,"")</f>
        <v/>
      </c>
      <c r="L102" s="44" t="str">
        <f aca="false">IF(AND(ISNUMBER(L38),ISNUMBER(K38),K38&lt;&gt;0),L38/K38-1,"")</f>
        <v/>
      </c>
      <c r="M102" s="44" t="str">
        <f aca="false">IF(AND(ISNUMBER(M38),ISNUMBER(L38),L38&lt;&gt;0),M38/L38-1,"")</f>
        <v/>
      </c>
      <c r="N102" s="44" t="str">
        <f aca="false">IF(AND(ISNUMBER(N38),ISNUMBER(M38),M38&lt;&gt;0),N38/M38-1,"")</f>
        <v/>
      </c>
    </row>
    <row r="103" customFormat="false" ht="15" hidden="false" customHeight="false" outlineLevel="0" collapsed="false">
      <c r="A103" s="61" t="s">
        <v>1013</v>
      </c>
      <c r="C103" s="5" t="s">
        <v>1014</v>
      </c>
      <c r="F103" s="44" t="str">
        <f aca="false">IF(AND(ISNUMBER(F39),ISNUMBER(E39),E39&lt;&gt;0),F39/E39-1,"")</f>
        <v/>
      </c>
      <c r="G103" s="44" t="str">
        <f aca="false">IF(AND(ISNUMBER(G39),ISNUMBER(F39),F39&lt;&gt;0),G39/F39-1,"")</f>
        <v/>
      </c>
      <c r="H103" s="44" t="str">
        <f aca="false">IF(AND(ISNUMBER(H39),ISNUMBER(G39),G39&lt;&gt;0),H39/G39-1,"")</f>
        <v/>
      </c>
      <c r="I103" s="44" t="str">
        <f aca="false">IF(AND(ISNUMBER(I39),ISNUMBER(H39),H39&lt;&gt;0),I39/H39-1,"")</f>
        <v/>
      </c>
      <c r="J103" s="44" t="str">
        <f aca="false">IF(AND(ISNUMBER(J39),ISNUMBER(I39),I39&lt;&gt;0),J39/I39-1,"")</f>
        <v/>
      </c>
      <c r="K103" s="44" t="str">
        <f aca="false">IF(AND(ISNUMBER(K39),ISNUMBER(J39),J39&lt;&gt;0),K39/J39-1,"")</f>
        <v/>
      </c>
      <c r="L103" s="44" t="str">
        <f aca="false">IF(AND(ISNUMBER(L39),ISNUMBER(K39),K39&lt;&gt;0),L39/K39-1,"")</f>
        <v/>
      </c>
      <c r="M103" s="44" t="str">
        <f aca="false">IF(AND(ISNUMBER(M39),ISNUMBER(L39),L39&lt;&gt;0),M39/L39-1,"")</f>
        <v/>
      </c>
      <c r="N103" s="44" t="str">
        <f aca="false">IF(AND(ISNUMBER(N39),ISNUMBER(M39),M39&lt;&gt;0),N39/M39-1,"")</f>
        <v/>
      </c>
    </row>
    <row r="104" customFormat="false" ht="15" hidden="false" customHeight="false" outlineLevel="0" collapsed="false">
      <c r="A104" s="61" t="s">
        <v>1015</v>
      </c>
      <c r="C104" s="5" t="s">
        <v>1016</v>
      </c>
      <c r="F104" s="44" t="str">
        <f aca="false">IF(AND(ISNUMBER(F40),ISNUMBER(E40),E40&lt;&gt;0),F40/E40-1,"")</f>
        <v/>
      </c>
      <c r="G104" s="44" t="str">
        <f aca="false">IF(AND(ISNUMBER(G40),ISNUMBER(F40),F40&lt;&gt;0),G40/F40-1,"")</f>
        <v/>
      </c>
      <c r="H104" s="44" t="str">
        <f aca="false">IF(AND(ISNUMBER(H40),ISNUMBER(G40),G40&lt;&gt;0),H40/G40-1,"")</f>
        <v/>
      </c>
      <c r="I104" s="44" t="str">
        <f aca="false">IF(AND(ISNUMBER(I40),ISNUMBER(H40),H40&lt;&gt;0),I40/H40-1,"")</f>
        <v/>
      </c>
      <c r="J104" s="44" t="str">
        <f aca="false">IF(AND(ISNUMBER(J40),ISNUMBER(I40),I40&lt;&gt;0),J40/I40-1,"")</f>
        <v/>
      </c>
      <c r="K104" s="44" t="str">
        <f aca="false">IF(AND(ISNUMBER(K40),ISNUMBER(J40),J40&lt;&gt;0),K40/J40-1,"")</f>
        <v/>
      </c>
      <c r="L104" s="44" t="str">
        <f aca="false">IF(AND(ISNUMBER(L40),ISNUMBER(K40),K40&lt;&gt;0),L40/K40-1,"")</f>
        <v/>
      </c>
      <c r="M104" s="44" t="str">
        <f aca="false">IF(AND(ISNUMBER(M40),ISNUMBER(L40),L40&lt;&gt;0),M40/L40-1,"")</f>
        <v/>
      </c>
      <c r="N104" s="44" t="str">
        <f aca="false">IF(AND(ISNUMBER(N40),ISNUMBER(M40),M40&lt;&gt;0),N40/M40-1,"")</f>
        <v/>
      </c>
    </row>
    <row r="105" customFormat="false" ht="15" hidden="false" customHeight="false" outlineLevel="0" collapsed="false">
      <c r="A105" s="61" t="s">
        <v>1017</v>
      </c>
      <c r="C105" s="5" t="s">
        <v>1018</v>
      </c>
      <c r="F105" s="44" t="str">
        <f aca="false">IF(AND(ISNUMBER(F41),ISNUMBER(E41),E41&lt;&gt;0),F41/E41-1,"")</f>
        <v/>
      </c>
      <c r="G105" s="44" t="str">
        <f aca="false">IF(AND(ISNUMBER(G41),ISNUMBER(F41),F41&lt;&gt;0),G41/F41-1,"")</f>
        <v/>
      </c>
      <c r="H105" s="44" t="str">
        <f aca="false">IF(AND(ISNUMBER(H41),ISNUMBER(G41),G41&lt;&gt;0),H41/G41-1,"")</f>
        <v/>
      </c>
      <c r="I105" s="44" t="str">
        <f aca="false">IF(AND(ISNUMBER(I41),ISNUMBER(H41),H41&lt;&gt;0),I41/H41-1,"")</f>
        <v/>
      </c>
      <c r="J105" s="44" t="str">
        <f aca="false">IF(AND(ISNUMBER(J41),ISNUMBER(I41),I41&lt;&gt;0),J41/I41-1,"")</f>
        <v/>
      </c>
      <c r="K105" s="44" t="str">
        <f aca="false">IF(AND(ISNUMBER(K41),ISNUMBER(J41),J41&lt;&gt;0),K41/J41-1,"")</f>
        <v/>
      </c>
      <c r="L105" s="44" t="str">
        <f aca="false">IF(AND(ISNUMBER(L41),ISNUMBER(K41),K41&lt;&gt;0),L41/K41-1,"")</f>
        <v/>
      </c>
      <c r="M105" s="44" t="str">
        <f aca="false">IF(AND(ISNUMBER(M41),ISNUMBER(L41),L41&lt;&gt;0),M41/L41-1,"")</f>
        <v/>
      </c>
      <c r="N105" s="44" t="str">
        <f aca="false">IF(AND(ISNUMBER(N41),ISNUMBER(M41),M41&lt;&gt;0),N41/M41-1,"")</f>
        <v/>
      </c>
    </row>
    <row r="106" customFormat="false" ht="15" hidden="false" customHeight="false" outlineLevel="0" collapsed="false">
      <c r="A106" s="61" t="s">
        <v>1019</v>
      </c>
      <c r="C106" s="5" t="s">
        <v>1020</v>
      </c>
      <c r="F106" s="44" t="str">
        <f aca="false">IF(AND(ISNUMBER(F42),ISNUMBER(E42),E42&lt;&gt;0),F42/E42-1,"")</f>
        <v/>
      </c>
      <c r="G106" s="44" t="str">
        <f aca="false">IF(AND(ISNUMBER(G42),ISNUMBER(F42),F42&lt;&gt;0),G42/F42-1,"")</f>
        <v/>
      </c>
      <c r="H106" s="44" t="str">
        <f aca="false">IF(AND(ISNUMBER(H42),ISNUMBER(G42),G42&lt;&gt;0),H42/G42-1,"")</f>
        <v/>
      </c>
      <c r="I106" s="44" t="str">
        <f aca="false">IF(AND(ISNUMBER(I42),ISNUMBER(H42),H42&lt;&gt;0),I42/H42-1,"")</f>
        <v/>
      </c>
      <c r="J106" s="44" t="str">
        <f aca="false">IF(AND(ISNUMBER(J42),ISNUMBER(I42),I42&lt;&gt;0),J42/I42-1,"")</f>
        <v/>
      </c>
      <c r="K106" s="44" t="str">
        <f aca="false">IF(AND(ISNUMBER(K42),ISNUMBER(J42),J42&lt;&gt;0),K42/J42-1,"")</f>
        <v/>
      </c>
      <c r="L106" s="44" t="str">
        <f aca="false">IF(AND(ISNUMBER(L42),ISNUMBER(K42),K42&lt;&gt;0),L42/K42-1,"")</f>
        <v/>
      </c>
      <c r="M106" s="44" t="str">
        <f aca="false">IF(AND(ISNUMBER(M42),ISNUMBER(L42),L42&lt;&gt;0),M42/L42-1,"")</f>
        <v/>
      </c>
      <c r="N106" s="44" t="str">
        <f aca="false">IF(AND(ISNUMBER(N42),ISNUMBER(M42),M42&lt;&gt;0),N42/M42-1,"")</f>
        <v/>
      </c>
    </row>
    <row r="107" customFormat="false" ht="15" hidden="false" customHeight="false" outlineLevel="0" collapsed="false">
      <c r="A107" s="61" t="s">
        <v>1021</v>
      </c>
      <c r="C107" s="5" t="s">
        <v>1022</v>
      </c>
      <c r="F107" s="44" t="str">
        <f aca="false">IF(AND(ISNUMBER(F43),ISNUMBER(E43),E43&lt;&gt;0),F43/E43-1,"")</f>
        <v/>
      </c>
      <c r="G107" s="44" t="str">
        <f aca="false">IF(AND(ISNUMBER(G43),ISNUMBER(F43),F43&lt;&gt;0),G43/F43-1,"")</f>
        <v/>
      </c>
      <c r="H107" s="44" t="str">
        <f aca="false">IF(AND(ISNUMBER(H43),ISNUMBER(G43),G43&lt;&gt;0),H43/G43-1,"")</f>
        <v/>
      </c>
      <c r="I107" s="44" t="str">
        <f aca="false">IF(AND(ISNUMBER(I43),ISNUMBER(H43),H43&lt;&gt;0),I43/H43-1,"")</f>
        <v/>
      </c>
      <c r="J107" s="44" t="str">
        <f aca="false">IF(AND(ISNUMBER(J43),ISNUMBER(I43),I43&lt;&gt;0),J43/I43-1,"")</f>
        <v/>
      </c>
      <c r="K107" s="44" t="str">
        <f aca="false">IF(AND(ISNUMBER(K43),ISNUMBER(J43),J43&lt;&gt;0),K43/J43-1,"")</f>
        <v/>
      </c>
      <c r="L107" s="44" t="str">
        <f aca="false">IF(AND(ISNUMBER(L43),ISNUMBER(K43),K43&lt;&gt;0),L43/K43-1,"")</f>
        <v/>
      </c>
      <c r="M107" s="44" t="str">
        <f aca="false">IF(AND(ISNUMBER(M43),ISNUMBER(L43),L43&lt;&gt;0),M43/L43-1,"")</f>
        <v/>
      </c>
      <c r="N107" s="44" t="str">
        <f aca="false">IF(AND(ISNUMBER(N43),ISNUMBER(M43),M43&lt;&gt;0),N43/M43-1,"")</f>
        <v/>
      </c>
    </row>
    <row r="108" customFormat="false" ht="15" hidden="false" customHeight="false" outlineLevel="0" collapsed="false">
      <c r="A108" s="61" t="s">
        <v>1023</v>
      </c>
      <c r="C108" s="5" t="s">
        <v>1024</v>
      </c>
      <c r="F108" s="44" t="str">
        <f aca="false">IF(AND(ISNUMBER(F44),ISNUMBER(E44),E44&lt;&gt;0),F44/E44-1,"")</f>
        <v/>
      </c>
      <c r="G108" s="44" t="str">
        <f aca="false">IF(AND(ISNUMBER(G44),ISNUMBER(F44),F44&lt;&gt;0),G44/F44-1,"")</f>
        <v/>
      </c>
      <c r="H108" s="44" t="str">
        <f aca="false">IF(AND(ISNUMBER(H44),ISNUMBER(G44),G44&lt;&gt;0),H44/G44-1,"")</f>
        <v/>
      </c>
      <c r="I108" s="44" t="str">
        <f aca="false">IF(AND(ISNUMBER(I44),ISNUMBER(H44),H44&lt;&gt;0),I44/H44-1,"")</f>
        <v/>
      </c>
      <c r="J108" s="44" t="str">
        <f aca="false">IF(AND(ISNUMBER(J44),ISNUMBER(I44),I44&lt;&gt;0),J44/I44-1,"")</f>
        <v/>
      </c>
      <c r="K108" s="44" t="str">
        <f aca="false">IF(AND(ISNUMBER(K44),ISNUMBER(J44),J44&lt;&gt;0),K44/J44-1,"")</f>
        <v/>
      </c>
      <c r="L108" s="44" t="str">
        <f aca="false">IF(AND(ISNUMBER(L44),ISNUMBER(K44),K44&lt;&gt;0),L44/K44-1,"")</f>
        <v/>
      </c>
      <c r="M108" s="44" t="str">
        <f aca="false">IF(AND(ISNUMBER(M44),ISNUMBER(L44),L44&lt;&gt;0),M44/L44-1,"")</f>
        <v/>
      </c>
      <c r="N108" s="44" t="str">
        <f aca="false">IF(AND(ISNUMBER(N44),ISNUMBER(M44),M44&lt;&gt;0),N44/M44-1,"")</f>
        <v/>
      </c>
    </row>
    <row r="109" customFormat="false" ht="15" hidden="false" customHeight="false" outlineLevel="0" collapsed="false">
      <c r="A109" s="61" t="s">
        <v>1025</v>
      </c>
      <c r="C109" s="5" t="s">
        <v>1026</v>
      </c>
      <c r="F109" s="44" t="str">
        <f aca="false">IF(AND(ISNUMBER(F45),ISNUMBER(E45),E45&lt;&gt;0),F45/E45-1,"")</f>
        <v/>
      </c>
      <c r="G109" s="44" t="str">
        <f aca="false">IF(AND(ISNUMBER(G45),ISNUMBER(F45),F45&lt;&gt;0),G45/F45-1,"")</f>
        <v/>
      </c>
      <c r="H109" s="44" t="str">
        <f aca="false">IF(AND(ISNUMBER(H45),ISNUMBER(G45),G45&lt;&gt;0),H45/G45-1,"")</f>
        <v/>
      </c>
      <c r="I109" s="44" t="str">
        <f aca="false">IF(AND(ISNUMBER(I45),ISNUMBER(H45),H45&lt;&gt;0),I45/H45-1,"")</f>
        <v/>
      </c>
      <c r="J109" s="44" t="str">
        <f aca="false">IF(AND(ISNUMBER(J45),ISNUMBER(I45),I45&lt;&gt;0),J45/I45-1,"")</f>
        <v/>
      </c>
      <c r="K109" s="44" t="str">
        <f aca="false">IF(AND(ISNUMBER(K45),ISNUMBER(J45),J45&lt;&gt;0),K45/J45-1,"")</f>
        <v/>
      </c>
      <c r="L109" s="44" t="str">
        <f aca="false">IF(AND(ISNUMBER(L45),ISNUMBER(K45),K45&lt;&gt;0),L45/K45-1,"")</f>
        <v/>
      </c>
      <c r="M109" s="44" t="str">
        <f aca="false">IF(AND(ISNUMBER(M45),ISNUMBER(L45),L45&lt;&gt;0),M45/L45-1,"")</f>
        <v/>
      </c>
      <c r="N109" s="44" t="str">
        <f aca="false">IF(AND(ISNUMBER(N45),ISNUMBER(M45),M45&lt;&gt;0),N45/M45-1,"")</f>
        <v/>
      </c>
    </row>
    <row r="110" customFormat="false" ht="15" hidden="false" customHeight="false" outlineLevel="0" collapsed="false">
      <c r="A110" s="61" t="s">
        <v>1027</v>
      </c>
      <c r="C110" s="5" t="s">
        <v>1029</v>
      </c>
      <c r="F110" s="44" t="str">
        <f aca="false">IF(AND(ISNUMBER(F46),ISNUMBER(E46),E46&lt;&gt;0),F46/E46-1,"")</f>
        <v/>
      </c>
      <c r="G110" s="44" t="str">
        <f aca="false">IF(AND(ISNUMBER(G46),ISNUMBER(F46),F46&lt;&gt;0),G46/F46-1,"")</f>
        <v/>
      </c>
      <c r="H110" s="44" t="str">
        <f aca="false">IF(AND(ISNUMBER(H46),ISNUMBER(G46),G46&lt;&gt;0),H46/G46-1,"")</f>
        <v/>
      </c>
      <c r="I110" s="44" t="str">
        <f aca="false">IF(AND(ISNUMBER(I46),ISNUMBER(H46),H46&lt;&gt;0),I46/H46-1,"")</f>
        <v/>
      </c>
      <c r="J110" s="44" t="str">
        <f aca="false">IF(AND(ISNUMBER(J46),ISNUMBER(I46),I46&lt;&gt;0),J46/I46-1,"")</f>
        <v/>
      </c>
      <c r="K110" s="44" t="str">
        <f aca="false">IF(AND(ISNUMBER(K46),ISNUMBER(J46),J46&lt;&gt;0),K46/J46-1,"")</f>
        <v/>
      </c>
      <c r="L110" s="44" t="str">
        <f aca="false">IF(AND(ISNUMBER(L46),ISNUMBER(K46),K46&lt;&gt;0),L46/K46-1,"")</f>
        <v/>
      </c>
      <c r="M110" s="44" t="str">
        <f aca="false">IF(AND(ISNUMBER(M46),ISNUMBER(L46),L46&lt;&gt;0),M46/L46-1,"")</f>
        <v/>
      </c>
      <c r="N110" s="44" t="str">
        <f aca="false">IF(AND(ISNUMBER(N46),ISNUMBER(M46),M46&lt;&gt;0),N46/M46-1,"")</f>
        <v/>
      </c>
    </row>
    <row r="111" customFormat="false" ht="15" hidden="false" customHeight="false" outlineLevel="0" collapsed="false">
      <c r="A111" s="61" t="s">
        <v>1030</v>
      </c>
      <c r="C111" s="5" t="s">
        <v>1031</v>
      </c>
      <c r="F111" s="44" t="str">
        <f aca="false">IF(AND(ISNUMBER(F47),ISNUMBER(E47),E47&lt;&gt;0),F47/E47-1,"")</f>
        <v/>
      </c>
      <c r="G111" s="44" t="str">
        <f aca="false">IF(AND(ISNUMBER(G47),ISNUMBER(F47),F47&lt;&gt;0),G47/F47-1,"")</f>
        <v/>
      </c>
      <c r="H111" s="44" t="str">
        <f aca="false">IF(AND(ISNUMBER(H47),ISNUMBER(G47),G47&lt;&gt;0),H47/G47-1,"")</f>
        <v/>
      </c>
      <c r="I111" s="44" t="str">
        <f aca="false">IF(AND(ISNUMBER(I47),ISNUMBER(H47),H47&lt;&gt;0),I47/H47-1,"")</f>
        <v/>
      </c>
      <c r="J111" s="44" t="str">
        <f aca="false">IF(AND(ISNUMBER(J47),ISNUMBER(I47),I47&lt;&gt;0),J47/I47-1,"")</f>
        <v/>
      </c>
      <c r="K111" s="44" t="str">
        <f aca="false">IF(AND(ISNUMBER(K47),ISNUMBER(J47),J47&lt;&gt;0),K47/J47-1,"")</f>
        <v/>
      </c>
      <c r="L111" s="44" t="str">
        <f aca="false">IF(AND(ISNUMBER(L47),ISNUMBER(K47),K47&lt;&gt;0),L47/K47-1,"")</f>
        <v/>
      </c>
      <c r="M111" s="44" t="str">
        <f aca="false">IF(AND(ISNUMBER(M47),ISNUMBER(L47),L47&lt;&gt;0),M47/L47-1,"")</f>
        <v/>
      </c>
      <c r="N111" s="44" t="str">
        <f aca="false">IF(AND(ISNUMBER(N47),ISNUMBER(M47),M47&lt;&gt;0),N47/M47-1,"")</f>
        <v/>
      </c>
    </row>
    <row r="112" customFormat="false" ht="15" hidden="false" customHeight="false" outlineLevel="0" collapsed="false">
      <c r="A112" s="61" t="s">
        <v>1032</v>
      </c>
      <c r="C112" s="5" t="s">
        <v>1033</v>
      </c>
      <c r="F112" s="44" t="str">
        <f aca="false">IF(AND(ISNUMBER(F48),ISNUMBER(E48),E48&lt;&gt;0),F48/E48-1,"")</f>
        <v/>
      </c>
      <c r="G112" s="44" t="str">
        <f aca="false">IF(AND(ISNUMBER(G48),ISNUMBER(F48),F48&lt;&gt;0),G48/F48-1,"")</f>
        <v/>
      </c>
      <c r="H112" s="44" t="str">
        <f aca="false">IF(AND(ISNUMBER(H48),ISNUMBER(G48),G48&lt;&gt;0),H48/G48-1,"")</f>
        <v/>
      </c>
      <c r="I112" s="44" t="str">
        <f aca="false">IF(AND(ISNUMBER(I48),ISNUMBER(H48),H48&lt;&gt;0),I48/H48-1,"")</f>
        <v/>
      </c>
      <c r="J112" s="44" t="str">
        <f aca="false">IF(AND(ISNUMBER(J48),ISNUMBER(I48),I48&lt;&gt;0),J48/I48-1,"")</f>
        <v/>
      </c>
      <c r="K112" s="44" t="str">
        <f aca="false">IF(AND(ISNUMBER(K48),ISNUMBER(J48),J48&lt;&gt;0),K48/J48-1,"")</f>
        <v/>
      </c>
      <c r="L112" s="44" t="str">
        <f aca="false">IF(AND(ISNUMBER(L48),ISNUMBER(K48),K48&lt;&gt;0),L48/K48-1,"")</f>
        <v/>
      </c>
      <c r="M112" s="44" t="str">
        <f aca="false">IF(AND(ISNUMBER(M48),ISNUMBER(L48),L48&lt;&gt;0),M48/L48-1,"")</f>
        <v/>
      </c>
      <c r="N112" s="44" t="str">
        <f aca="false">IF(AND(ISNUMBER(N48),ISNUMBER(M48),M48&lt;&gt;0),N48/M48-1,"")</f>
        <v/>
      </c>
    </row>
    <row r="113" customFormat="false" ht="15" hidden="false" customHeight="false" outlineLevel="0" collapsed="false">
      <c r="A113" s="61" t="s">
        <v>1035</v>
      </c>
      <c r="C113" s="5" t="s">
        <v>1036</v>
      </c>
      <c r="F113" s="44" t="str">
        <f aca="false">IF(AND(ISNUMBER(F49),ISNUMBER(E49),E49&lt;&gt;0),F49/E49-1,"")</f>
        <v/>
      </c>
      <c r="G113" s="44" t="str">
        <f aca="false">IF(AND(ISNUMBER(G49),ISNUMBER(F49),F49&lt;&gt;0),G49/F49-1,"")</f>
        <v/>
      </c>
      <c r="H113" s="44" t="str">
        <f aca="false">IF(AND(ISNUMBER(H49),ISNUMBER(G49),G49&lt;&gt;0),H49/G49-1,"")</f>
        <v/>
      </c>
      <c r="I113" s="44" t="str">
        <f aca="false">IF(AND(ISNUMBER(I49),ISNUMBER(H49),H49&lt;&gt;0),I49/H49-1,"")</f>
        <v/>
      </c>
      <c r="J113" s="44" t="str">
        <f aca="false">IF(AND(ISNUMBER(J49),ISNUMBER(I49),I49&lt;&gt;0),J49/I49-1,"")</f>
        <v/>
      </c>
      <c r="K113" s="44" t="str">
        <f aca="false">IF(AND(ISNUMBER(K49),ISNUMBER(J49),J49&lt;&gt;0),K49/J49-1,"")</f>
        <v/>
      </c>
      <c r="L113" s="44" t="str">
        <f aca="false">IF(AND(ISNUMBER(L49),ISNUMBER(K49),K49&lt;&gt;0),L49/K49-1,"")</f>
        <v/>
      </c>
      <c r="M113" s="44" t="str">
        <f aca="false">IF(AND(ISNUMBER(M49),ISNUMBER(L49),L49&lt;&gt;0),M49/L49-1,"")</f>
        <v/>
      </c>
      <c r="N113" s="44" t="str">
        <f aca="false">IF(AND(ISNUMBER(N49),ISNUMBER(M49),M49&lt;&gt;0),N49/M49-1,"")</f>
        <v/>
      </c>
    </row>
    <row r="114" customFormat="false" ht="15" hidden="false" customHeight="false" outlineLevel="0" collapsed="false">
      <c r="A114" s="61" t="s">
        <v>1037</v>
      </c>
      <c r="C114" s="5" t="s">
        <v>1038</v>
      </c>
      <c r="F114" s="44" t="str">
        <f aca="false">IF(AND(ISNUMBER(F50),ISNUMBER(E50),E50&lt;&gt;0),F50/E50-1,"")</f>
        <v/>
      </c>
      <c r="G114" s="44" t="str">
        <f aca="false">IF(AND(ISNUMBER(G50),ISNUMBER(F50),F50&lt;&gt;0),G50/F50-1,"")</f>
        <v/>
      </c>
      <c r="H114" s="44" t="str">
        <f aca="false">IF(AND(ISNUMBER(H50),ISNUMBER(G50),G50&lt;&gt;0),H50/G50-1,"")</f>
        <v/>
      </c>
      <c r="I114" s="44" t="str">
        <f aca="false">IF(AND(ISNUMBER(I50),ISNUMBER(H50),H50&lt;&gt;0),I50/H50-1,"")</f>
        <v/>
      </c>
      <c r="J114" s="44" t="str">
        <f aca="false">IF(AND(ISNUMBER(J50),ISNUMBER(I50),I50&lt;&gt;0),J50/I50-1,"")</f>
        <v/>
      </c>
      <c r="K114" s="44" t="str">
        <f aca="false">IF(AND(ISNUMBER(K50),ISNUMBER(J50),J50&lt;&gt;0),K50/J50-1,"")</f>
        <v/>
      </c>
      <c r="L114" s="44" t="str">
        <f aca="false">IF(AND(ISNUMBER(L50),ISNUMBER(K50),K50&lt;&gt;0),L50/K50-1,"")</f>
        <v/>
      </c>
      <c r="M114" s="44" t="str">
        <f aca="false">IF(AND(ISNUMBER(M50),ISNUMBER(L50),L50&lt;&gt;0),M50/L50-1,"")</f>
        <v/>
      </c>
      <c r="N114" s="44" t="str">
        <f aca="false">IF(AND(ISNUMBER(N50),ISNUMBER(M50),M50&lt;&gt;0),N50/M50-1,"")</f>
        <v/>
      </c>
    </row>
    <row r="115" customFormat="false" ht="15" hidden="false" customHeight="false" outlineLevel="0" collapsed="false">
      <c r="A115" s="61" t="s">
        <v>1040</v>
      </c>
      <c r="C115" s="5" t="s">
        <v>1041</v>
      </c>
      <c r="F115" s="44" t="str">
        <f aca="false">IF(AND(ISNUMBER(F51),ISNUMBER(E51),E51&lt;&gt;0),F51/E51-1,"")</f>
        <v/>
      </c>
      <c r="G115" s="44" t="str">
        <f aca="false">IF(AND(ISNUMBER(G51),ISNUMBER(F51),F51&lt;&gt;0),G51/F51-1,"")</f>
        <v/>
      </c>
      <c r="H115" s="44" t="str">
        <f aca="false">IF(AND(ISNUMBER(H51),ISNUMBER(G51),G51&lt;&gt;0),H51/G51-1,"")</f>
        <v/>
      </c>
      <c r="I115" s="44" t="str">
        <f aca="false">IF(AND(ISNUMBER(I51),ISNUMBER(H51),H51&lt;&gt;0),I51/H51-1,"")</f>
        <v/>
      </c>
      <c r="J115" s="44" t="str">
        <f aca="false">IF(AND(ISNUMBER(J51),ISNUMBER(I51),I51&lt;&gt;0),J51/I51-1,"")</f>
        <v/>
      </c>
      <c r="K115" s="44" t="str">
        <f aca="false">IF(AND(ISNUMBER(K51),ISNUMBER(J51),J51&lt;&gt;0),K51/J51-1,"")</f>
        <v/>
      </c>
      <c r="L115" s="44" t="str">
        <f aca="false">IF(AND(ISNUMBER(L51),ISNUMBER(K51),K51&lt;&gt;0),L51/K51-1,"")</f>
        <v/>
      </c>
      <c r="M115" s="44" t="str">
        <f aca="false">IF(AND(ISNUMBER(M51),ISNUMBER(L51),L51&lt;&gt;0),M51/L51-1,"")</f>
        <v/>
      </c>
      <c r="N115" s="44" t="str">
        <f aca="false">IF(AND(ISNUMBER(N51),ISNUMBER(M51),M51&lt;&gt;0),N51/M51-1,"")</f>
        <v/>
      </c>
    </row>
    <row r="116" customFormat="false" ht="15" hidden="false" customHeight="false" outlineLevel="0" collapsed="false">
      <c r="A116" s="61" t="s">
        <v>1042</v>
      </c>
      <c r="C116" s="5" t="s">
        <v>1044</v>
      </c>
      <c r="F116" s="44" t="str">
        <f aca="false">IF(AND(ISNUMBER(F52),ISNUMBER(E52),E52&lt;&gt;0),F52/E52-1,"")</f>
        <v/>
      </c>
      <c r="G116" s="44" t="str">
        <f aca="false">IF(AND(ISNUMBER(G52),ISNUMBER(F52),F52&lt;&gt;0),G52/F52-1,"")</f>
        <v/>
      </c>
      <c r="H116" s="44" t="str">
        <f aca="false">IF(AND(ISNUMBER(H52),ISNUMBER(G52),G52&lt;&gt;0),H52/G52-1,"")</f>
        <v/>
      </c>
      <c r="I116" s="44" t="str">
        <f aca="false">IF(AND(ISNUMBER(I52),ISNUMBER(H52),H52&lt;&gt;0),I52/H52-1,"")</f>
        <v/>
      </c>
      <c r="J116" s="44" t="str">
        <f aca="false">IF(AND(ISNUMBER(J52),ISNUMBER(I52),I52&lt;&gt;0),J52/I52-1,"")</f>
        <v/>
      </c>
      <c r="K116" s="44" t="str">
        <f aca="false">IF(AND(ISNUMBER(K52),ISNUMBER(J52),J52&lt;&gt;0),K52/J52-1,"")</f>
        <v/>
      </c>
      <c r="L116" s="44" t="str">
        <f aca="false">IF(AND(ISNUMBER(L52),ISNUMBER(K52),K52&lt;&gt;0),L52/K52-1,"")</f>
        <v/>
      </c>
      <c r="M116" s="44" t="str">
        <f aca="false">IF(AND(ISNUMBER(M52),ISNUMBER(L52),L52&lt;&gt;0),M52/L52-1,"")</f>
        <v/>
      </c>
      <c r="N116" s="44" t="str">
        <f aca="false">IF(AND(ISNUMBER(N52),ISNUMBER(M52),M52&lt;&gt;0),N52/M52-1,"")</f>
        <v/>
      </c>
    </row>
    <row r="117" customFormat="false" ht="15" hidden="false" customHeight="false" outlineLevel="0" collapsed="false">
      <c r="A117" s="61" t="s">
        <v>1045</v>
      </c>
      <c r="C117" s="5" t="s">
        <v>1046</v>
      </c>
      <c r="F117" s="44" t="str">
        <f aca="false">IF(AND(ISNUMBER(F53),ISNUMBER(E53),E53&lt;&gt;0),F53/E53-1,"")</f>
        <v/>
      </c>
      <c r="G117" s="44" t="str">
        <f aca="false">IF(AND(ISNUMBER(G53),ISNUMBER(F53),F53&lt;&gt;0),G53/F53-1,"")</f>
        <v/>
      </c>
      <c r="H117" s="44" t="str">
        <f aca="false">IF(AND(ISNUMBER(H53),ISNUMBER(G53),G53&lt;&gt;0),H53/G53-1,"")</f>
        <v/>
      </c>
      <c r="I117" s="44" t="str">
        <f aca="false">IF(AND(ISNUMBER(I53),ISNUMBER(H53),H53&lt;&gt;0),I53/H53-1,"")</f>
        <v/>
      </c>
      <c r="J117" s="44" t="str">
        <f aca="false">IF(AND(ISNUMBER(J53),ISNUMBER(I53),I53&lt;&gt;0),J53/I53-1,"")</f>
        <v/>
      </c>
      <c r="K117" s="44" t="str">
        <f aca="false">IF(AND(ISNUMBER(K53),ISNUMBER(J53),J53&lt;&gt;0),K53/J53-1,"")</f>
        <v/>
      </c>
      <c r="L117" s="44" t="str">
        <f aca="false">IF(AND(ISNUMBER(L53),ISNUMBER(K53),K53&lt;&gt;0),L53/K53-1,"")</f>
        <v/>
      </c>
      <c r="M117" s="44" t="str">
        <f aca="false">IF(AND(ISNUMBER(M53),ISNUMBER(L53),L53&lt;&gt;0),M53/L53-1,"")</f>
        <v/>
      </c>
      <c r="N117" s="44" t="str">
        <f aca="false">IF(AND(ISNUMBER(N53),ISNUMBER(M53),M53&lt;&gt;0),N53/M53-1,"")</f>
        <v/>
      </c>
    </row>
    <row r="118" customFormat="false" ht="15" hidden="false" customHeight="false" outlineLevel="0" collapsed="false">
      <c r="A118" s="61" t="s">
        <v>1048</v>
      </c>
      <c r="C118" s="5" t="s">
        <v>1049</v>
      </c>
      <c r="F118" s="44" t="str">
        <f aca="false">IF(AND(ISNUMBER(F54),ISNUMBER(E54),E54&lt;&gt;0),F54/E54-1,"")</f>
        <v/>
      </c>
      <c r="G118" s="44" t="str">
        <f aca="false">IF(AND(ISNUMBER(G54),ISNUMBER(F54),F54&lt;&gt;0),G54/F54-1,"")</f>
        <v/>
      </c>
      <c r="H118" s="44" t="str">
        <f aca="false">IF(AND(ISNUMBER(H54),ISNUMBER(G54),G54&lt;&gt;0),H54/G54-1,"")</f>
        <v/>
      </c>
      <c r="I118" s="44" t="str">
        <f aca="false">IF(AND(ISNUMBER(I54),ISNUMBER(H54),H54&lt;&gt;0),I54/H54-1,"")</f>
        <v/>
      </c>
      <c r="J118" s="44" t="str">
        <f aca="false">IF(AND(ISNUMBER(J54),ISNUMBER(I54),I54&lt;&gt;0),J54/I54-1,"")</f>
        <v/>
      </c>
      <c r="K118" s="44" t="str">
        <f aca="false">IF(AND(ISNUMBER(K54),ISNUMBER(J54),J54&lt;&gt;0),K54/J54-1,"")</f>
        <v/>
      </c>
      <c r="L118" s="44" t="str">
        <f aca="false">IF(AND(ISNUMBER(L54),ISNUMBER(K54),K54&lt;&gt;0),L54/K54-1,"")</f>
        <v/>
      </c>
      <c r="M118" s="44" t="str">
        <f aca="false">IF(AND(ISNUMBER(M54),ISNUMBER(L54),L54&lt;&gt;0),M54/L54-1,"")</f>
        <v/>
      </c>
      <c r="N118" s="44" t="str">
        <f aca="false">IF(AND(ISNUMBER(N54),ISNUMBER(M54),M54&lt;&gt;0),N54/M54-1,"")</f>
        <v/>
      </c>
    </row>
    <row r="119" customFormat="false" ht="15" hidden="false" customHeight="false" outlineLevel="0" collapsed="false">
      <c r="A119" s="61" t="s">
        <v>1050</v>
      </c>
      <c r="C119" s="5" t="s">
        <v>1052</v>
      </c>
      <c r="F119" s="44" t="str">
        <f aca="false">IF(AND(ISNUMBER(F55),ISNUMBER(E55),E55&lt;&gt;0),F55/E55-1,"")</f>
        <v/>
      </c>
      <c r="G119" s="44" t="str">
        <f aca="false">IF(AND(ISNUMBER(G55),ISNUMBER(F55),F55&lt;&gt;0),G55/F55-1,"")</f>
        <v/>
      </c>
      <c r="H119" s="44" t="str">
        <f aca="false">IF(AND(ISNUMBER(H55),ISNUMBER(G55),G55&lt;&gt;0),H55/G55-1,"")</f>
        <v/>
      </c>
      <c r="I119" s="44" t="str">
        <f aca="false">IF(AND(ISNUMBER(I55),ISNUMBER(H55),H55&lt;&gt;0),I55/H55-1,"")</f>
        <v/>
      </c>
      <c r="J119" s="44" t="str">
        <f aca="false">IF(AND(ISNUMBER(J55),ISNUMBER(I55),I55&lt;&gt;0),J55/I55-1,"")</f>
        <v/>
      </c>
      <c r="K119" s="44" t="str">
        <f aca="false">IF(AND(ISNUMBER(K55),ISNUMBER(J55),J55&lt;&gt;0),K55/J55-1,"")</f>
        <v/>
      </c>
      <c r="L119" s="44" t="str">
        <f aca="false">IF(AND(ISNUMBER(L55),ISNUMBER(K55),K55&lt;&gt;0),L55/K55-1,"")</f>
        <v/>
      </c>
      <c r="M119" s="44" t="str">
        <f aca="false">IF(AND(ISNUMBER(M55),ISNUMBER(L55),L55&lt;&gt;0),M55/L55-1,"")</f>
        <v/>
      </c>
      <c r="N119" s="44" t="str">
        <f aca="false">IF(AND(ISNUMBER(N55),ISNUMBER(M55),M55&lt;&gt;0),N55/M55-1,"")</f>
        <v/>
      </c>
    </row>
    <row r="120" customFormat="false" ht="15" hidden="false" customHeight="false" outlineLevel="0" collapsed="false">
      <c r="A120" s="61" t="s">
        <v>1053</v>
      </c>
      <c r="C120" s="5" t="s">
        <v>1054</v>
      </c>
      <c r="F120" s="44" t="str">
        <f aca="false">IF(AND(ISNUMBER(F56),ISNUMBER(E56),E56&lt;&gt;0),F56/E56-1,"")</f>
        <v/>
      </c>
      <c r="G120" s="44" t="str">
        <f aca="false">IF(AND(ISNUMBER(G56),ISNUMBER(F56),F56&lt;&gt;0),G56/F56-1,"")</f>
        <v/>
      </c>
      <c r="H120" s="44" t="str">
        <f aca="false">IF(AND(ISNUMBER(H56),ISNUMBER(G56),G56&lt;&gt;0),H56/G56-1,"")</f>
        <v/>
      </c>
      <c r="I120" s="44" t="str">
        <f aca="false">IF(AND(ISNUMBER(I56),ISNUMBER(H56),H56&lt;&gt;0),I56/H56-1,"")</f>
        <v/>
      </c>
      <c r="J120" s="44" t="str">
        <f aca="false">IF(AND(ISNUMBER(J56),ISNUMBER(I56),I56&lt;&gt;0),J56/I56-1,"")</f>
        <v/>
      </c>
      <c r="K120" s="44" t="str">
        <f aca="false">IF(AND(ISNUMBER(K56),ISNUMBER(J56),J56&lt;&gt;0),K56/J56-1,"")</f>
        <v/>
      </c>
      <c r="L120" s="44" t="str">
        <f aca="false">IF(AND(ISNUMBER(L56),ISNUMBER(K56),K56&lt;&gt;0),L56/K56-1,"")</f>
        <v/>
      </c>
      <c r="M120" s="44" t="str">
        <f aca="false">IF(AND(ISNUMBER(M56),ISNUMBER(L56),L56&lt;&gt;0),M56/L56-1,"")</f>
        <v/>
      </c>
      <c r="N120" s="44" t="str">
        <f aca="false">IF(AND(ISNUMBER(N56),ISNUMBER(M56),M56&lt;&gt;0),N56/M56-1,"")</f>
        <v/>
      </c>
    </row>
    <row r="121" customFormat="false" ht="15" hidden="false" customHeight="false" outlineLevel="0" collapsed="false">
      <c r="A121" s="61" t="s">
        <v>1055</v>
      </c>
      <c r="C121" s="5" t="s">
        <v>1057</v>
      </c>
      <c r="F121" s="44" t="str">
        <f aca="false">IF(AND(ISNUMBER(F57),ISNUMBER(E57),E57&lt;&gt;0),F57/E57-1,"")</f>
        <v/>
      </c>
      <c r="G121" s="44" t="str">
        <f aca="false">IF(AND(ISNUMBER(G57),ISNUMBER(F57),F57&lt;&gt;0),G57/F57-1,"")</f>
        <v/>
      </c>
      <c r="H121" s="44" t="str">
        <f aca="false">IF(AND(ISNUMBER(H57),ISNUMBER(G57),G57&lt;&gt;0),H57/G57-1,"")</f>
        <v/>
      </c>
      <c r="I121" s="44" t="str">
        <f aca="false">IF(AND(ISNUMBER(I57),ISNUMBER(H57),H57&lt;&gt;0),I57/H57-1,"")</f>
        <v/>
      </c>
      <c r="J121" s="44" t="str">
        <f aca="false">IF(AND(ISNUMBER(J57),ISNUMBER(I57),I57&lt;&gt;0),J57/I57-1,"")</f>
        <v/>
      </c>
      <c r="K121" s="44" t="str">
        <f aca="false">IF(AND(ISNUMBER(K57),ISNUMBER(J57),J57&lt;&gt;0),K57/J57-1,"")</f>
        <v/>
      </c>
      <c r="L121" s="44" t="str">
        <f aca="false">IF(AND(ISNUMBER(L57),ISNUMBER(K57),K57&lt;&gt;0),L57/K57-1,"")</f>
        <v/>
      </c>
      <c r="M121" s="44" t="str">
        <f aca="false">IF(AND(ISNUMBER(M57),ISNUMBER(L57),L57&lt;&gt;0),M57/L57-1,"")</f>
        <v/>
      </c>
      <c r="N121" s="44" t="str">
        <f aca="false">IF(AND(ISNUMBER(N57),ISNUMBER(M57),M57&lt;&gt;0),N57/M57-1,"")</f>
        <v/>
      </c>
    </row>
    <row r="122" customFormat="false" ht="15" hidden="false" customHeight="false" outlineLevel="0" collapsed="false">
      <c r="A122" s="61" t="s">
        <v>1058</v>
      </c>
      <c r="C122" s="5" t="s">
        <v>1059</v>
      </c>
      <c r="F122" s="44" t="str">
        <f aca="false">IF(AND(ISNUMBER(F58),ISNUMBER(E58),E58&lt;&gt;0),F58/E58-1,"")</f>
        <v/>
      </c>
      <c r="G122" s="44" t="str">
        <f aca="false">IF(AND(ISNUMBER(G58),ISNUMBER(F58),F58&lt;&gt;0),G58/F58-1,"")</f>
        <v/>
      </c>
      <c r="H122" s="44" t="str">
        <f aca="false">IF(AND(ISNUMBER(H58),ISNUMBER(G58),G58&lt;&gt;0),H58/G58-1,"")</f>
        <v/>
      </c>
      <c r="I122" s="44" t="str">
        <f aca="false">IF(AND(ISNUMBER(I58),ISNUMBER(H58),H58&lt;&gt;0),I58/H58-1,"")</f>
        <v/>
      </c>
      <c r="J122" s="44" t="str">
        <f aca="false">IF(AND(ISNUMBER(J58),ISNUMBER(I58),I58&lt;&gt;0),J58/I58-1,"")</f>
        <v/>
      </c>
      <c r="K122" s="44" t="str">
        <f aca="false">IF(AND(ISNUMBER(K58),ISNUMBER(J58),J58&lt;&gt;0),K58/J58-1,"")</f>
        <v/>
      </c>
      <c r="L122" s="44" t="str">
        <f aca="false">IF(AND(ISNUMBER(L58),ISNUMBER(K58),K58&lt;&gt;0),L58/K58-1,"")</f>
        <v/>
      </c>
      <c r="M122" s="44" t="str">
        <f aca="false">IF(AND(ISNUMBER(M58),ISNUMBER(L58),L58&lt;&gt;0),M58/L58-1,"")</f>
        <v/>
      </c>
      <c r="N122" s="44" t="str">
        <f aca="false">IF(AND(ISNUMBER(N58),ISNUMBER(M58),M58&lt;&gt;0),N58/M58-1,"")</f>
        <v/>
      </c>
    </row>
    <row r="123" customFormat="false" ht="15" hidden="false" customHeight="false" outlineLevel="0" collapsed="false">
      <c r="A123" s="61" t="s">
        <v>1060</v>
      </c>
      <c r="C123" s="5" t="s">
        <v>1061</v>
      </c>
      <c r="F123" s="44" t="str">
        <f aca="false">IF(AND(ISNUMBER(F59),ISNUMBER(E59),E59&lt;&gt;0),F59/E59-1,"")</f>
        <v/>
      </c>
      <c r="G123" s="44" t="str">
        <f aca="false">IF(AND(ISNUMBER(G59),ISNUMBER(F59),F59&lt;&gt;0),G59/F59-1,"")</f>
        <v/>
      </c>
      <c r="H123" s="44" t="str">
        <f aca="false">IF(AND(ISNUMBER(H59),ISNUMBER(G59),G59&lt;&gt;0),H59/G59-1,"")</f>
        <v/>
      </c>
      <c r="I123" s="44" t="str">
        <f aca="false">IF(AND(ISNUMBER(I59),ISNUMBER(H59),H59&lt;&gt;0),I59/H59-1,"")</f>
        <v/>
      </c>
      <c r="J123" s="44" t="str">
        <f aca="false">IF(AND(ISNUMBER(J59),ISNUMBER(I59),I59&lt;&gt;0),J59/I59-1,"")</f>
        <v/>
      </c>
      <c r="K123" s="44" t="str">
        <f aca="false">IF(AND(ISNUMBER(K59),ISNUMBER(J59),J59&lt;&gt;0),K59/J59-1,"")</f>
        <v/>
      </c>
      <c r="L123" s="44" t="str">
        <f aca="false">IF(AND(ISNUMBER(L59),ISNUMBER(K59),K59&lt;&gt;0),L59/K59-1,"")</f>
        <v/>
      </c>
      <c r="M123" s="44" t="str">
        <f aca="false">IF(AND(ISNUMBER(M59),ISNUMBER(L59),L59&lt;&gt;0),M59/L59-1,"")</f>
        <v/>
      </c>
      <c r="N123" s="44" t="str">
        <f aca="false">IF(AND(ISNUMBER(N59),ISNUMBER(M59),M59&lt;&gt;0),N59/M59-1,"")</f>
        <v/>
      </c>
    </row>
    <row r="124" customFormat="false" ht="15" hidden="false" customHeight="false" outlineLevel="0" collapsed="false">
      <c r="A124" s="61" t="s">
        <v>1063</v>
      </c>
      <c r="C124" s="5" t="s">
        <v>1064</v>
      </c>
      <c r="F124" s="44" t="str">
        <f aca="false">IF(AND(ISNUMBER(F60),ISNUMBER(E60),E60&lt;&gt;0),F60/E60-1,"")</f>
        <v/>
      </c>
      <c r="G124" s="44" t="str">
        <f aca="false">IF(AND(ISNUMBER(G60),ISNUMBER(F60),F60&lt;&gt;0),G60/F60-1,"")</f>
        <v/>
      </c>
      <c r="H124" s="44" t="str">
        <f aca="false">IF(AND(ISNUMBER(H60),ISNUMBER(G60),G60&lt;&gt;0),H60/G60-1,"")</f>
        <v/>
      </c>
      <c r="I124" s="44" t="str">
        <f aca="false">IF(AND(ISNUMBER(I60),ISNUMBER(H60),H60&lt;&gt;0),I60/H60-1,"")</f>
        <v/>
      </c>
      <c r="J124" s="44" t="str">
        <f aca="false">IF(AND(ISNUMBER(J60),ISNUMBER(I60),I60&lt;&gt;0),J60/I60-1,"")</f>
        <v/>
      </c>
      <c r="K124" s="44" t="str">
        <f aca="false">IF(AND(ISNUMBER(K60),ISNUMBER(J60),J60&lt;&gt;0),K60/J60-1,"")</f>
        <v/>
      </c>
      <c r="L124" s="44" t="str">
        <f aca="false">IF(AND(ISNUMBER(L60),ISNUMBER(K60),K60&lt;&gt;0),L60/K60-1,"")</f>
        <v/>
      </c>
      <c r="M124" s="44" t="str">
        <f aca="false">IF(AND(ISNUMBER(M60),ISNUMBER(L60),L60&lt;&gt;0),M60/L60-1,"")</f>
        <v/>
      </c>
      <c r="N124" s="44" t="str">
        <f aca="false">IF(AND(ISNUMBER(N60),ISNUMBER(M60),M60&lt;&gt;0),N60/M60-1,"")</f>
        <v/>
      </c>
    </row>
    <row r="125" customFormat="false" ht="15" hidden="false" customHeight="false" outlineLevel="0" collapsed="false">
      <c r="A125" s="61" t="s">
        <v>1065</v>
      </c>
      <c r="C125" s="5" t="s">
        <v>1066</v>
      </c>
      <c r="F125" s="44" t="str">
        <f aca="false">IF(AND(ISNUMBER(F61),ISNUMBER(E61),E61&lt;&gt;0),F61/E61-1,"")</f>
        <v/>
      </c>
      <c r="G125" s="44" t="str">
        <f aca="false">IF(AND(ISNUMBER(G61),ISNUMBER(F61),F61&lt;&gt;0),G61/F61-1,"")</f>
        <v/>
      </c>
      <c r="H125" s="44" t="str">
        <f aca="false">IF(AND(ISNUMBER(H61),ISNUMBER(G61),G61&lt;&gt;0),H61/G61-1,"")</f>
        <v/>
      </c>
      <c r="I125" s="44" t="str">
        <f aca="false">IF(AND(ISNUMBER(I61),ISNUMBER(H61),H61&lt;&gt;0),I61/H61-1,"")</f>
        <v/>
      </c>
      <c r="J125" s="44" t="str">
        <f aca="false">IF(AND(ISNUMBER(J61),ISNUMBER(I61),I61&lt;&gt;0),J61/I61-1,"")</f>
        <v/>
      </c>
      <c r="K125" s="44" t="str">
        <f aca="false">IF(AND(ISNUMBER(K61),ISNUMBER(J61),J61&lt;&gt;0),K61/J61-1,"")</f>
        <v/>
      </c>
      <c r="L125" s="44" t="str">
        <f aca="false">IF(AND(ISNUMBER(L61),ISNUMBER(K61),K61&lt;&gt;0),L61/K61-1,"")</f>
        <v/>
      </c>
      <c r="M125" s="44" t="str">
        <f aca="false">IF(AND(ISNUMBER(M61),ISNUMBER(L61),L61&lt;&gt;0),M61/L61-1,"")</f>
        <v/>
      </c>
      <c r="N125" s="44" t="str">
        <f aca="false">IF(AND(ISNUMBER(N61),ISNUMBER(M61),M61&lt;&gt;0),N61/M61-1,"")</f>
        <v/>
      </c>
    </row>
    <row r="126" customFormat="false" ht="15" hidden="false" customHeight="false" outlineLevel="0" collapsed="false">
      <c r="A126" s="61" t="s">
        <v>1067</v>
      </c>
      <c r="C126" s="5" t="s">
        <v>1069</v>
      </c>
      <c r="F126" s="44" t="str">
        <f aca="false">IF(AND(ISNUMBER(F62),ISNUMBER(E62),E62&lt;&gt;0),F62/E62-1,"")</f>
        <v/>
      </c>
      <c r="G126" s="44" t="str">
        <f aca="false">IF(AND(ISNUMBER(G62),ISNUMBER(F62),F62&lt;&gt;0),G62/F62-1,"")</f>
        <v/>
      </c>
      <c r="H126" s="44" t="str">
        <f aca="false">IF(AND(ISNUMBER(H62),ISNUMBER(G62),G62&lt;&gt;0),H62/G62-1,"")</f>
        <v/>
      </c>
      <c r="I126" s="44" t="str">
        <f aca="false">IF(AND(ISNUMBER(I62),ISNUMBER(H62),H62&lt;&gt;0),I62/H62-1,"")</f>
        <v/>
      </c>
      <c r="J126" s="44" t="str">
        <f aca="false">IF(AND(ISNUMBER(J62),ISNUMBER(I62),I62&lt;&gt;0),J62/I62-1,"")</f>
        <v/>
      </c>
      <c r="K126" s="44" t="str">
        <f aca="false">IF(AND(ISNUMBER(K62),ISNUMBER(J62),J62&lt;&gt;0),K62/J62-1,"")</f>
        <v/>
      </c>
      <c r="L126" s="44" t="str">
        <f aca="false">IF(AND(ISNUMBER(L62),ISNUMBER(K62),K62&lt;&gt;0),L62/K62-1,"")</f>
        <v/>
      </c>
      <c r="M126" s="44" t="str">
        <f aca="false">IF(AND(ISNUMBER(M62),ISNUMBER(L62),L62&lt;&gt;0),M62/L62-1,"")</f>
        <v/>
      </c>
      <c r="N126" s="44" t="str">
        <f aca="false">IF(AND(ISNUMBER(N62),ISNUMBER(M62),M62&lt;&gt;0),N62/M62-1,"")</f>
        <v/>
      </c>
    </row>
    <row r="127" customFormat="false" ht="15" hidden="false" customHeight="false" outlineLevel="0" collapsed="false">
      <c r="A127" s="61" t="s">
        <v>1070</v>
      </c>
      <c r="C127" s="5" t="s">
        <v>1071</v>
      </c>
      <c r="F127" s="44" t="str">
        <f aca="false">IF(AND(ISNUMBER(F63),ISNUMBER(E63),E63&lt;&gt;0),F63/E63-1,"")</f>
        <v/>
      </c>
      <c r="G127" s="44" t="str">
        <f aca="false">IF(AND(ISNUMBER(G63),ISNUMBER(F63),F63&lt;&gt;0),G63/F63-1,"")</f>
        <v/>
      </c>
      <c r="H127" s="44" t="str">
        <f aca="false">IF(AND(ISNUMBER(H63),ISNUMBER(G63),G63&lt;&gt;0),H63/G63-1,"")</f>
        <v/>
      </c>
      <c r="I127" s="44" t="str">
        <f aca="false">IF(AND(ISNUMBER(I63),ISNUMBER(H63),H63&lt;&gt;0),I63/H63-1,"")</f>
        <v/>
      </c>
      <c r="J127" s="44" t="str">
        <f aca="false">IF(AND(ISNUMBER(J63),ISNUMBER(I63),I63&lt;&gt;0),J63/I63-1,"")</f>
        <v/>
      </c>
      <c r="K127" s="44" t="str">
        <f aca="false">IF(AND(ISNUMBER(K63),ISNUMBER(J63),J63&lt;&gt;0),K63/J63-1,"")</f>
        <v/>
      </c>
      <c r="L127" s="44" t="str">
        <f aca="false">IF(AND(ISNUMBER(L63),ISNUMBER(K63),K63&lt;&gt;0),L63/K63-1,"")</f>
        <v/>
      </c>
      <c r="M127" s="44" t="str">
        <f aca="false">IF(AND(ISNUMBER(M63),ISNUMBER(L63),L63&lt;&gt;0),M63/L63-1,"")</f>
        <v/>
      </c>
      <c r="N127" s="44" t="str">
        <f aca="false">IF(AND(ISNUMBER(N63),ISNUMBER(M63),M63&lt;&gt;0),N63/M63-1,"")</f>
        <v/>
      </c>
    </row>
    <row r="128" customFormat="false" ht="15" hidden="false" customHeight="false" outlineLevel="0" collapsed="false">
      <c r="A128" s="61" t="s">
        <v>1072</v>
      </c>
      <c r="C128" s="5" t="s">
        <v>1073</v>
      </c>
      <c r="F128" s="44" t="str">
        <f aca="false">IF(AND(ISNUMBER(F64),ISNUMBER(E64),E64&lt;&gt;0),F64/E64-1,"")</f>
        <v/>
      </c>
      <c r="G128" s="44" t="str">
        <f aca="false">IF(AND(ISNUMBER(G64),ISNUMBER(F64),F64&lt;&gt;0),G64/F64-1,"")</f>
        <v/>
      </c>
      <c r="H128" s="44" t="str">
        <f aca="false">IF(AND(ISNUMBER(H64),ISNUMBER(G64),G64&lt;&gt;0),H64/G64-1,"")</f>
        <v/>
      </c>
      <c r="I128" s="44" t="str">
        <f aca="false">IF(AND(ISNUMBER(I64),ISNUMBER(H64),H64&lt;&gt;0),I64/H64-1,"")</f>
        <v/>
      </c>
      <c r="J128" s="44" t="str">
        <f aca="false">IF(AND(ISNUMBER(J64),ISNUMBER(I64),I64&lt;&gt;0),J64/I64-1,"")</f>
        <v/>
      </c>
      <c r="K128" s="44" t="str">
        <f aca="false">IF(AND(ISNUMBER(K64),ISNUMBER(J64),J64&lt;&gt;0),K64/J64-1,"")</f>
        <v/>
      </c>
      <c r="L128" s="44" t="str">
        <f aca="false">IF(AND(ISNUMBER(L64),ISNUMBER(K64),K64&lt;&gt;0),L64/K64-1,"")</f>
        <v/>
      </c>
      <c r="M128" s="44" t="str">
        <f aca="false">IF(AND(ISNUMBER(M64),ISNUMBER(L64),L64&lt;&gt;0),M64/L64-1,"")</f>
        <v/>
      </c>
      <c r="N128" s="44" t="str">
        <f aca="false">IF(AND(ISNUMBER(N64),ISNUMBER(M64),M64&lt;&gt;0),N64/M64-1,"")</f>
        <v/>
      </c>
    </row>
    <row r="129" customFormat="false" ht="15" hidden="false" customHeight="false" outlineLevel="0" collapsed="false">
      <c r="A129" s="61" t="s">
        <v>1074</v>
      </c>
      <c r="C129" s="5" t="s">
        <v>1075</v>
      </c>
      <c r="F129" s="44" t="str">
        <f aca="false">IF(AND(ISNUMBER(F65),ISNUMBER(E65),E65&lt;&gt;0),F65/E65-1,"")</f>
        <v/>
      </c>
      <c r="G129" s="44" t="str">
        <f aca="false">IF(AND(ISNUMBER(G65),ISNUMBER(F65),F65&lt;&gt;0),G65/F65-1,"")</f>
        <v/>
      </c>
      <c r="H129" s="44" t="str">
        <f aca="false">IF(AND(ISNUMBER(H65),ISNUMBER(G65),G65&lt;&gt;0),H65/G65-1,"")</f>
        <v/>
      </c>
      <c r="I129" s="44" t="str">
        <f aca="false">IF(AND(ISNUMBER(I65),ISNUMBER(H65),H65&lt;&gt;0),I65/H65-1,"")</f>
        <v/>
      </c>
      <c r="J129" s="44" t="str">
        <f aca="false">IF(AND(ISNUMBER(J65),ISNUMBER(I65),I65&lt;&gt;0),J65/I65-1,"")</f>
        <v/>
      </c>
      <c r="K129" s="44" t="str">
        <f aca="false">IF(AND(ISNUMBER(K65),ISNUMBER(J65),J65&lt;&gt;0),K65/J65-1,"")</f>
        <v/>
      </c>
      <c r="L129" s="44" t="str">
        <f aca="false">IF(AND(ISNUMBER(L65),ISNUMBER(K65),K65&lt;&gt;0),L65/K65-1,"")</f>
        <v/>
      </c>
      <c r="M129" s="44" t="str">
        <f aca="false">IF(AND(ISNUMBER(M65),ISNUMBER(L65),L65&lt;&gt;0),M65/L65-1,"")</f>
        <v/>
      </c>
      <c r="N129" s="44" t="str">
        <f aca="false">IF(AND(ISNUMBER(N65),ISNUMBER(M65),M65&lt;&gt;0),N65/M65-1,"")</f>
        <v/>
      </c>
    </row>
    <row r="130" customFormat="false" ht="15" hidden="false" customHeight="false" outlineLevel="0" collapsed="false">
      <c r="A130" s="61" t="s">
        <v>1076</v>
      </c>
      <c r="C130" s="5" t="s">
        <v>1077</v>
      </c>
      <c r="F130" s="44" t="str">
        <f aca="false">IF(AND(ISNUMBER(F66),ISNUMBER(E66),E66&lt;&gt;0),F66/E66-1,"")</f>
        <v/>
      </c>
      <c r="G130" s="44" t="str">
        <f aca="false">IF(AND(ISNUMBER(G66),ISNUMBER(F66),F66&lt;&gt;0),G66/F66-1,"")</f>
        <v/>
      </c>
      <c r="H130" s="44" t="str">
        <f aca="false">IF(AND(ISNUMBER(H66),ISNUMBER(G66),G66&lt;&gt;0),H66/G66-1,"")</f>
        <v/>
      </c>
      <c r="I130" s="44" t="str">
        <f aca="false">IF(AND(ISNUMBER(I66),ISNUMBER(H66),H66&lt;&gt;0),I66/H66-1,"")</f>
        <v/>
      </c>
      <c r="J130" s="44" t="str">
        <f aca="false">IF(AND(ISNUMBER(J66),ISNUMBER(I66),I66&lt;&gt;0),J66/I66-1,"")</f>
        <v/>
      </c>
      <c r="K130" s="44" t="str">
        <f aca="false">IF(AND(ISNUMBER(K66),ISNUMBER(J66),J66&lt;&gt;0),K66/J66-1,"")</f>
        <v/>
      </c>
      <c r="L130" s="44" t="str">
        <f aca="false">IF(AND(ISNUMBER(L66),ISNUMBER(K66),K66&lt;&gt;0),L66/K66-1,"")</f>
        <v/>
      </c>
      <c r="M130" s="44" t="str">
        <f aca="false">IF(AND(ISNUMBER(M66),ISNUMBER(L66),L66&lt;&gt;0),M66/L66-1,"")</f>
        <v/>
      </c>
      <c r="N130" s="44" t="str">
        <f aca="false">IF(AND(ISNUMBER(N66),ISNUMBER(M66),M66&lt;&gt;0),N66/M66-1,"")</f>
        <v/>
      </c>
    </row>
    <row r="132" customFormat="false" ht="46.25" hidden="false" customHeight="false" outlineLevel="0" collapsed="false">
      <c r="B132" s="20" t="s">
        <v>1081</v>
      </c>
    </row>
    <row r="133" customFormat="false" ht="15" hidden="false" customHeight="false" outlineLevel="0" collapsed="false">
      <c r="A133" s="12"/>
      <c r="B133" s="12" t="s">
        <v>1082</v>
      </c>
      <c r="C133" s="12"/>
      <c r="D133" s="12"/>
      <c r="E133" s="12" t="s">
        <v>95</v>
      </c>
      <c r="F133" s="12" t="s">
        <v>927</v>
      </c>
      <c r="G133" s="12" t="s">
        <v>928</v>
      </c>
      <c r="H133" s="12" t="s">
        <v>929</v>
      </c>
      <c r="I133" s="12" t="s">
        <v>930</v>
      </c>
      <c r="J133" s="12" t="s">
        <v>931</v>
      </c>
      <c r="K133" s="12" t="s">
        <v>932</v>
      </c>
      <c r="L133" s="12" t="s">
        <v>933</v>
      </c>
      <c r="M133" s="12" t="s">
        <v>934</v>
      </c>
      <c r="N133" s="12" t="s">
        <v>935</v>
      </c>
    </row>
    <row r="134" customFormat="false" ht="15" hidden="false" customHeight="false" outlineLevel="0" collapsed="false">
      <c r="B134" s="5" t="s">
        <v>1083</v>
      </c>
      <c r="F134" s="15" t="str">
        <f aca="false">IF(AND(ISNUMBER(F78),ISNUMBER(F86)),IF(AND(F78&lt;0,F86&lt;0),"Both cut",""),"")</f>
        <v>Both cut</v>
      </c>
      <c r="G134" s="15" t="str">
        <f aca="false">IF(AND(ISNUMBER(G78),ISNUMBER(G86)),IF(AND(G78&lt;0,G86&lt;0),"Both cut",""),"")</f>
        <v/>
      </c>
      <c r="H134" s="15" t="str">
        <f aca="false">IF(AND(ISNUMBER(H78),ISNUMBER(H86)),IF(AND(H78&lt;0,H86&lt;0),"Both cut",""),"")</f>
        <v/>
      </c>
      <c r="I134" s="15" t="str">
        <f aca="false">IF(AND(ISNUMBER(I78),ISNUMBER(I86)),IF(AND(I78&lt;0,I86&lt;0),"Both cut",""),"")</f>
        <v/>
      </c>
      <c r="J134" s="15" t="str">
        <f aca="false">IF(AND(ISNUMBER(J78),ISNUMBER(J86)),IF(AND(J78&lt;0,J86&lt;0),"Both cut",""),"")</f>
        <v/>
      </c>
      <c r="K134" s="15" t="str">
        <f aca="false">IF(AND(ISNUMBER(K78),ISNUMBER(K86)),IF(AND(K78&lt;0,K86&lt;0),"Both cut",""),"")</f>
        <v/>
      </c>
      <c r="L134" s="15" t="str">
        <f aca="false">IF(AND(ISNUMBER(L78),ISNUMBER(L86)),IF(AND(L78&lt;0,L86&lt;0),"Both cut",""),"")</f>
        <v/>
      </c>
      <c r="M134" s="15" t="str">
        <f aca="false">IF(AND(ISNUMBER(M78),ISNUMBER(M86)),IF(AND(M78&lt;0,M86&lt;0),"Both cut",""),"")</f>
        <v/>
      </c>
      <c r="N134" s="15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1084</v>
      </c>
      <c r="F135" s="15" t="str">
        <f aca="false">IF(AND(ISNUMBER(F79),ISNUMBER(F87)),IF(AND(F79&lt;0,F87&lt;0),"Both cut",""),"")</f>
        <v/>
      </c>
      <c r="G135" s="15" t="str">
        <f aca="false">IF(AND(ISNUMBER(G79),ISNUMBER(G87)),IF(AND(G79&lt;0,G87&lt;0),"Both cut",""),"")</f>
        <v/>
      </c>
      <c r="H135" s="15" t="str">
        <f aca="false">IF(AND(ISNUMBER(H79),ISNUMBER(H87)),IF(AND(H79&lt;0,H87&lt;0),"Both cut",""),"")</f>
        <v/>
      </c>
      <c r="I135" s="15" t="str">
        <f aca="false">IF(AND(ISNUMBER(I79),ISNUMBER(I87)),IF(AND(I79&lt;0,I87&lt;0),"Both cut",""),"")</f>
        <v/>
      </c>
      <c r="J135" s="15" t="str">
        <f aca="false">IF(AND(ISNUMBER(J79),ISNUMBER(J87)),IF(AND(J79&lt;0,J87&lt;0),"Both cut",""),"")</f>
        <v/>
      </c>
      <c r="K135" s="15" t="str">
        <f aca="false">IF(AND(ISNUMBER(K79),ISNUMBER(K87)),IF(AND(K79&lt;0,K87&lt;0),"Both cut",""),"")</f>
        <v/>
      </c>
      <c r="L135" s="15" t="str">
        <f aca="false">IF(AND(ISNUMBER(L79),ISNUMBER(L87)),IF(AND(L79&lt;0,L87&lt;0),"Both cut",""),"")</f>
        <v/>
      </c>
      <c r="M135" s="15" t="str">
        <f aca="false">IF(AND(ISNUMBER(M79),ISNUMBER(M87)),IF(AND(M79&lt;0,M87&lt;0),"Both cut",""),"")</f>
        <v/>
      </c>
      <c r="N135" s="15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1085</v>
      </c>
      <c r="F136" s="15" t="str">
        <f aca="false">IF(AND(ISNUMBER(F80),ISNUMBER(F88)),IF(AND(F80&lt;0,F88&lt;0),"Both cut",""),"")</f>
        <v/>
      </c>
      <c r="G136" s="15" t="str">
        <f aca="false">IF(AND(ISNUMBER(G80),ISNUMBER(G88)),IF(AND(G80&lt;0,G88&lt;0),"Both cut",""),"")</f>
        <v/>
      </c>
      <c r="H136" s="15" t="str">
        <f aca="false">IF(AND(ISNUMBER(H80),ISNUMBER(H88)),IF(AND(H80&lt;0,H88&lt;0),"Both cut",""),"")</f>
        <v/>
      </c>
      <c r="I136" s="15" t="str">
        <f aca="false">IF(AND(ISNUMBER(I80),ISNUMBER(I88)),IF(AND(I80&lt;0,I88&lt;0),"Both cut",""),"")</f>
        <v/>
      </c>
      <c r="J136" s="15" t="str">
        <f aca="false">IF(AND(ISNUMBER(J80),ISNUMBER(J88)),IF(AND(J80&lt;0,J88&lt;0),"Both cut",""),"")</f>
        <v/>
      </c>
      <c r="K136" s="15" t="str">
        <f aca="false">IF(AND(ISNUMBER(K80),ISNUMBER(K88)),IF(AND(K80&lt;0,K88&lt;0),"Both cut",""),"")</f>
        <v/>
      </c>
      <c r="L136" s="15" t="str">
        <f aca="false">IF(AND(ISNUMBER(L80),ISNUMBER(L88)),IF(AND(L80&lt;0,L88&lt;0),"Both cut",""),"")</f>
        <v/>
      </c>
      <c r="M136" s="15" t="str">
        <f aca="false">IF(AND(ISNUMBER(M80),ISNUMBER(M88)),IF(AND(M80&lt;0,M88&lt;0),"Both cut",""),"")</f>
        <v/>
      </c>
      <c r="N136" s="15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1086</v>
      </c>
      <c r="F137" s="15" t="str">
        <f aca="false">IF(AND(ISNUMBER(F81),ISNUMBER(F89)),IF(AND(F81&lt;0,F89&lt;0),"Both cut",""),"")</f>
        <v/>
      </c>
      <c r="G137" s="15" t="str">
        <f aca="false">IF(AND(ISNUMBER(G81),ISNUMBER(G89)),IF(AND(G81&lt;0,G89&lt;0),"Both cut",""),"")</f>
        <v/>
      </c>
      <c r="H137" s="15" t="str">
        <f aca="false">IF(AND(ISNUMBER(H81),ISNUMBER(H89)),IF(AND(H81&lt;0,H89&lt;0),"Both cut",""),"")</f>
        <v/>
      </c>
      <c r="I137" s="15" t="str">
        <f aca="false">IF(AND(ISNUMBER(I81),ISNUMBER(I89)),IF(AND(I81&lt;0,I89&lt;0),"Both cut",""),"")</f>
        <v/>
      </c>
      <c r="J137" s="15" t="str">
        <f aca="false">IF(AND(ISNUMBER(J81),ISNUMBER(J89)),IF(AND(J81&lt;0,J89&lt;0),"Both cut",""),"")</f>
        <v/>
      </c>
      <c r="K137" s="15" t="str">
        <f aca="false">IF(AND(ISNUMBER(K81),ISNUMBER(K89)),IF(AND(K81&lt;0,K89&lt;0),"Both cut",""),"")</f>
        <v/>
      </c>
      <c r="L137" s="15" t="str">
        <f aca="false">IF(AND(ISNUMBER(L81),ISNUMBER(L89)),IF(AND(L81&lt;0,L89&lt;0),"Both cut",""),"")</f>
        <v/>
      </c>
      <c r="M137" s="15" t="str">
        <f aca="false">IF(AND(ISNUMBER(M81),ISNUMBER(M89)),IF(AND(M81&lt;0,M89&lt;0),"Both cut",""),"")</f>
        <v/>
      </c>
      <c r="N137" s="15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1087</v>
      </c>
      <c r="F138" s="15" t="str">
        <f aca="false">IF(AND(ISNUMBER(F82),ISNUMBER(F90)),IF(AND(F82&lt;0,F90&lt;0),"Both cut",""),"")</f>
        <v/>
      </c>
      <c r="G138" s="15" t="str">
        <f aca="false">IF(AND(ISNUMBER(G82),ISNUMBER(G90)),IF(AND(G82&lt;0,G90&lt;0),"Both cut",""),"")</f>
        <v/>
      </c>
      <c r="H138" s="15" t="str">
        <f aca="false">IF(AND(ISNUMBER(H82),ISNUMBER(H90)),IF(AND(H82&lt;0,H90&lt;0),"Both cut",""),"")</f>
        <v/>
      </c>
      <c r="I138" s="15" t="str">
        <f aca="false">IF(AND(ISNUMBER(I82),ISNUMBER(I90)),IF(AND(I82&lt;0,I90&lt;0),"Both cut",""),"")</f>
        <v/>
      </c>
      <c r="J138" s="15" t="str">
        <f aca="false">IF(AND(ISNUMBER(J82),ISNUMBER(J90)),IF(AND(J82&lt;0,J90&lt;0),"Both cut",""),"")</f>
        <v/>
      </c>
      <c r="K138" s="15" t="str">
        <f aca="false">IF(AND(ISNUMBER(K82),ISNUMBER(K90)),IF(AND(K82&lt;0,K90&lt;0),"Both cut",""),"")</f>
        <v/>
      </c>
      <c r="L138" s="15" t="str">
        <f aca="false">IF(AND(ISNUMBER(L82),ISNUMBER(L90)),IF(AND(L82&lt;0,L90&lt;0),"Both cut",""),"")</f>
        <v/>
      </c>
      <c r="M138" s="15" t="str">
        <f aca="false">IF(AND(ISNUMBER(M82),ISNUMBER(M90)),IF(AND(M82&lt;0,M90&lt;0),"Both cut",""),"")</f>
        <v/>
      </c>
      <c r="N138" s="15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1088</v>
      </c>
      <c r="F139" s="15" t="str">
        <f aca="false">IF(AND(ISNUMBER(F83),ISNUMBER(F91)),IF(AND(F83&lt;0,F91&lt;0),"Both cut",""),"")</f>
        <v/>
      </c>
      <c r="G139" s="15" t="str">
        <f aca="false">IF(AND(ISNUMBER(G83),ISNUMBER(G91)),IF(AND(G83&lt;0,G91&lt;0),"Both cut",""),"")</f>
        <v/>
      </c>
      <c r="H139" s="15" t="str">
        <f aca="false">IF(AND(ISNUMBER(H83),ISNUMBER(H91)),IF(AND(H83&lt;0,H91&lt;0),"Both cut",""),"")</f>
        <v/>
      </c>
      <c r="I139" s="15" t="str">
        <f aca="false">IF(AND(ISNUMBER(I83),ISNUMBER(I91)),IF(AND(I83&lt;0,I91&lt;0),"Both cut",""),"")</f>
        <v/>
      </c>
      <c r="J139" s="15" t="str">
        <f aca="false">IF(AND(ISNUMBER(J83),ISNUMBER(J91)),IF(AND(J83&lt;0,J91&lt;0),"Both cut",""),"")</f>
        <v/>
      </c>
      <c r="K139" s="15" t="str">
        <f aca="false">IF(AND(ISNUMBER(K83),ISNUMBER(K91)),IF(AND(K83&lt;0,K91&lt;0),"Both cut",""),"")</f>
        <v/>
      </c>
      <c r="L139" s="15" t="str">
        <f aca="false">IF(AND(ISNUMBER(L83),ISNUMBER(L91)),IF(AND(L83&lt;0,L91&lt;0),"Both cut",""),"")</f>
        <v/>
      </c>
      <c r="M139" s="15" t="str">
        <f aca="false">IF(AND(ISNUMBER(M83),ISNUMBER(M91)),IF(AND(M83&lt;0,M91&lt;0),"Both cut",""),"")</f>
        <v/>
      </c>
      <c r="N139" s="15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1089</v>
      </c>
      <c r="F140" s="15" t="str">
        <f aca="false">IF(AND(ISNUMBER(F84),ISNUMBER(F92)),IF(AND(F84&lt;0,F92&lt;0),"Both cut",""),"")</f>
        <v/>
      </c>
      <c r="G140" s="15" t="str">
        <f aca="false">IF(AND(ISNUMBER(G84),ISNUMBER(G92)),IF(AND(G84&lt;0,G92&lt;0),"Both cut",""),"")</f>
        <v/>
      </c>
      <c r="H140" s="15" t="str">
        <f aca="false">IF(AND(ISNUMBER(H84),ISNUMBER(H92)),IF(AND(H84&lt;0,H92&lt;0),"Both cut",""),"")</f>
        <v/>
      </c>
      <c r="I140" s="15" t="str">
        <f aca="false">IF(AND(ISNUMBER(I84),ISNUMBER(I92)),IF(AND(I84&lt;0,I92&lt;0),"Both cut",""),"")</f>
        <v/>
      </c>
      <c r="J140" s="15" t="str">
        <f aca="false">IF(AND(ISNUMBER(J84),ISNUMBER(J92)),IF(AND(J84&lt;0,J92&lt;0),"Both cut",""),"")</f>
        <v/>
      </c>
      <c r="K140" s="15" t="str">
        <f aca="false">IF(AND(ISNUMBER(K84),ISNUMBER(K92)),IF(AND(K84&lt;0,K92&lt;0),"Both cut",""),"")</f>
        <v/>
      </c>
      <c r="L140" s="15" t="str">
        <f aca="false">IF(AND(ISNUMBER(L84),ISNUMBER(L92)),IF(AND(L84&lt;0,L92&lt;0),"Both cut",""),"")</f>
        <v/>
      </c>
      <c r="M140" s="15" t="str">
        <f aca="false">IF(AND(ISNUMBER(M84),ISNUMBER(M92)),IF(AND(M84&lt;0,M92&lt;0),"Both cut",""),"")</f>
        <v/>
      </c>
      <c r="N140" s="15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1090</v>
      </c>
      <c r="F141" s="15" t="str">
        <f aca="false">IF(AND(ISNUMBER(F85),ISNUMBER(F93)),IF(AND(F85&lt;0,F93&lt;0),"Both cut",""),"")</f>
        <v/>
      </c>
      <c r="G141" s="15" t="str">
        <f aca="false">IF(AND(ISNUMBER(G85),ISNUMBER(G93)),IF(AND(G85&lt;0,G93&lt;0),"Both cut",""),"")</f>
        <v/>
      </c>
      <c r="H141" s="15" t="str">
        <f aca="false">IF(AND(ISNUMBER(H85),ISNUMBER(H93)),IF(AND(H85&lt;0,H93&lt;0),"Both cut",""),"")</f>
        <v/>
      </c>
      <c r="I141" s="15" t="str">
        <f aca="false">IF(AND(ISNUMBER(I85),ISNUMBER(I93)),IF(AND(I85&lt;0,I93&lt;0),"Both cut",""),"")</f>
        <v/>
      </c>
      <c r="J141" s="15" t="str">
        <f aca="false">IF(AND(ISNUMBER(J85),ISNUMBER(J93)),IF(AND(J85&lt;0,J93&lt;0),"Both cut",""),"")</f>
        <v/>
      </c>
      <c r="K141" s="15" t="str">
        <f aca="false">IF(AND(ISNUMBER(K85),ISNUMBER(K93)),IF(AND(K85&lt;0,K93&lt;0),"Both cut",""),"")</f>
        <v/>
      </c>
      <c r="L141" s="15" t="str">
        <f aca="false">IF(AND(ISNUMBER(L85),ISNUMBER(L93)),IF(AND(L85&lt;0,L93&lt;0),"Both cut",""),"")</f>
        <v/>
      </c>
      <c r="M141" s="15" t="str">
        <f aca="false">IF(AND(ISNUMBER(M85),ISNUMBER(M93)),IF(AND(M85&lt;0,M93&lt;0),"Both cut",""),"")</f>
        <v/>
      </c>
      <c r="N141" s="15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63" t="s">
        <v>1091</v>
      </c>
    </row>
    <row r="144" customFormat="false" ht="15" hidden="false" customHeight="false" outlineLevel="0" collapsed="false">
      <c r="B144" s="63" t="s">
        <v>1092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R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true" outlineLevel="0" max="18" min="18" style="0" width="13"/>
  </cols>
  <sheetData>
    <row r="1" customFormat="false" ht="19.7" hidden="false" customHeight="false" outlineLevel="0" collapsed="false">
      <c r="A1" s="7" t="s">
        <v>1093</v>
      </c>
    </row>
    <row r="2" customFormat="false" ht="15" hidden="false" customHeight="false" outlineLevel="0" collapsed="false">
      <c r="A2" s="3" t="s">
        <v>1094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122</v>
      </c>
      <c r="B5" s="12" t="s">
        <v>1095</v>
      </c>
      <c r="C5" s="12" t="s">
        <v>198</v>
      </c>
      <c r="D5" s="12" t="s">
        <v>95</v>
      </c>
      <c r="E5" s="12" t="s">
        <v>1096</v>
      </c>
      <c r="F5" s="12" t="s">
        <v>927</v>
      </c>
      <c r="G5" s="12" t="s">
        <v>1096</v>
      </c>
      <c r="H5" s="12" t="s">
        <v>928</v>
      </c>
      <c r="I5" s="12" t="s">
        <v>1096</v>
      </c>
      <c r="J5" s="12" t="s">
        <v>929</v>
      </c>
      <c r="K5" s="12" t="s">
        <v>1096</v>
      </c>
      <c r="L5" s="12" t="s">
        <v>930</v>
      </c>
      <c r="M5" s="12" t="s">
        <v>1096</v>
      </c>
    </row>
    <row r="6" customFormat="false" ht="15" hidden="false" customHeight="false" outlineLevel="0" collapsed="false">
      <c r="A6" s="64" t="s">
        <v>1097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R6" s="36" t="s">
        <v>1098</v>
      </c>
    </row>
    <row r="7" customFormat="false" ht="15" hidden="false" customHeight="false" outlineLevel="0" collapsed="false">
      <c r="A7" s="5" t="s">
        <v>937</v>
      </c>
      <c r="B7" s="5" t="s">
        <v>938</v>
      </c>
      <c r="C7" s="5" t="s">
        <v>939</v>
      </c>
      <c r="D7" s="11"/>
      <c r="F7" s="11"/>
      <c r="H7" s="11"/>
      <c r="J7" s="11"/>
      <c r="L7" s="11"/>
      <c r="R7" s="36" t="s">
        <v>1099</v>
      </c>
    </row>
    <row r="8" customFormat="false" ht="15" hidden="false" customHeight="false" outlineLevel="0" collapsed="false">
      <c r="A8" s="5" t="s">
        <v>937</v>
      </c>
      <c r="B8" s="5" t="s">
        <v>942</v>
      </c>
      <c r="C8" s="5" t="s">
        <v>939</v>
      </c>
      <c r="D8" s="11"/>
      <c r="F8" s="11"/>
      <c r="H8" s="11"/>
      <c r="J8" s="11"/>
      <c r="L8" s="11"/>
      <c r="R8" s="36" t="s">
        <v>1100</v>
      </c>
    </row>
    <row r="9" customFormat="false" ht="15" hidden="false" customHeight="false" outlineLevel="0" collapsed="false">
      <c r="A9" s="5" t="s">
        <v>945</v>
      </c>
      <c r="B9" s="5" t="s">
        <v>946</v>
      </c>
      <c r="C9" s="5" t="s">
        <v>947</v>
      </c>
      <c r="D9" s="28"/>
      <c r="F9" s="28"/>
      <c r="G9" s="66" t="str">
        <f aca="false">IF(AND(ISNUMBER(F9),ISNUMBER(D9)),F9-D9,"")</f>
        <v/>
      </c>
      <c r="H9" s="28"/>
      <c r="I9" s="66" t="str">
        <f aca="false">IF(AND(ISNUMBER(H9),ISNUMBER(F9)),H9-F9,"")</f>
        <v/>
      </c>
      <c r="J9" s="28"/>
      <c r="K9" s="66" t="str">
        <f aca="false">IF(AND(ISNUMBER(J9),ISNUMBER(H9)),J9-H9,"")</f>
        <v/>
      </c>
      <c r="L9" s="28"/>
      <c r="M9" s="66" t="str">
        <f aca="false">IF(AND(ISNUMBER(L9),ISNUMBER(J9)),L9-J9,"")</f>
        <v/>
      </c>
      <c r="R9" s="36" t="s">
        <v>1101</v>
      </c>
    </row>
    <row r="10" customFormat="false" ht="15" hidden="false" customHeight="false" outlineLevel="0" collapsed="false">
      <c r="A10" s="5" t="s">
        <v>945</v>
      </c>
      <c r="B10" s="5" t="s">
        <v>949</v>
      </c>
      <c r="C10" s="5" t="s">
        <v>947</v>
      </c>
      <c r="D10" s="28"/>
      <c r="F10" s="28"/>
      <c r="G10" s="66" t="str">
        <f aca="false">IF(AND(ISNUMBER(F10),ISNUMBER(D10)),F10-D10,"")</f>
        <v/>
      </c>
      <c r="H10" s="28"/>
      <c r="I10" s="66" t="str">
        <f aca="false">IF(AND(ISNUMBER(H10),ISNUMBER(F10)),H10-F10,"")</f>
        <v/>
      </c>
      <c r="J10" s="28"/>
      <c r="K10" s="66" t="str">
        <f aca="false">IF(AND(ISNUMBER(J10),ISNUMBER(H10)),J10-H10,"")</f>
        <v/>
      </c>
      <c r="L10" s="28"/>
      <c r="M10" s="66" t="str">
        <f aca="false">IF(AND(ISNUMBER(L10),ISNUMBER(J10)),L10-J10,"")</f>
        <v/>
      </c>
      <c r="R10" s="36" t="s">
        <v>1102</v>
      </c>
    </row>
    <row r="11" customFormat="false" ht="15" hidden="false" customHeight="false" outlineLevel="0" collapsed="false">
      <c r="A11" s="5" t="s">
        <v>945</v>
      </c>
      <c r="B11" s="5" t="s">
        <v>951</v>
      </c>
      <c r="C11" s="5" t="s">
        <v>952</v>
      </c>
      <c r="D11" s="19"/>
      <c r="F11" s="19"/>
      <c r="G11" s="67" t="str">
        <f aca="false">IF(AND(ISNUMBER(F11),ISNUMBER(D11)),F11-D11,"")</f>
        <v/>
      </c>
      <c r="H11" s="19"/>
      <c r="I11" s="67" t="str">
        <f aca="false">IF(AND(ISNUMBER(H11),ISNUMBER(F11)),H11-F11,"")</f>
        <v/>
      </c>
      <c r="J11" s="19"/>
      <c r="K11" s="67" t="str">
        <f aca="false">IF(AND(ISNUMBER(J11),ISNUMBER(H11)),J11-H11,"")</f>
        <v/>
      </c>
      <c r="L11" s="19"/>
      <c r="M11" s="67" t="str">
        <f aca="false">IF(AND(ISNUMBER(L11),ISNUMBER(J11)),L11-J11,"")</f>
        <v/>
      </c>
      <c r="R11" s="36" t="s">
        <v>913</v>
      </c>
    </row>
    <row r="12" customFormat="false" ht="15" hidden="false" customHeight="false" outlineLevel="0" collapsed="false">
      <c r="A12" s="5" t="s">
        <v>945</v>
      </c>
      <c r="B12" s="5" t="s">
        <v>954</v>
      </c>
      <c r="C12" s="5" t="s">
        <v>952</v>
      </c>
      <c r="D12" s="19"/>
      <c r="F12" s="19"/>
      <c r="G12" s="67" t="str">
        <f aca="false">IF(AND(ISNUMBER(F12),ISNUMBER(D12)),F12-D12,"")</f>
        <v/>
      </c>
      <c r="H12" s="19"/>
      <c r="I12" s="67" t="str">
        <f aca="false">IF(AND(ISNUMBER(H12),ISNUMBER(F12)),H12-F12,"")</f>
        <v/>
      </c>
      <c r="J12" s="19"/>
      <c r="K12" s="67" t="str">
        <f aca="false">IF(AND(ISNUMBER(J12),ISNUMBER(H12)),J12-H12,"")</f>
        <v/>
      </c>
      <c r="L12" s="19"/>
      <c r="M12" s="67" t="str">
        <f aca="false">IF(AND(ISNUMBER(L12),ISNUMBER(J12)),L12-J12,"")</f>
        <v/>
      </c>
      <c r="R12" s="36" t="s">
        <v>1103</v>
      </c>
    </row>
    <row r="13" customFormat="false" ht="15" hidden="false" customHeight="false" outlineLevel="0" collapsed="false">
      <c r="A13" s="5" t="s">
        <v>945</v>
      </c>
      <c r="B13" s="5" t="s">
        <v>956</v>
      </c>
      <c r="C13" s="5" t="s">
        <v>957</v>
      </c>
      <c r="D13" s="24"/>
      <c r="F13" s="24"/>
      <c r="G13" s="68" t="str">
        <f aca="false">IF(AND(ISNUMBER(F13),ISNUMBER(D13)),F13-D13,"")</f>
        <v/>
      </c>
      <c r="H13" s="24"/>
      <c r="I13" s="68" t="str">
        <f aca="false">IF(AND(ISNUMBER(H13),ISNUMBER(F13)),H13-F13,"")</f>
        <v/>
      </c>
      <c r="J13" s="24"/>
      <c r="K13" s="68" t="str">
        <f aca="false">IF(AND(ISNUMBER(J13),ISNUMBER(H13)),J13-H13,"")</f>
        <v/>
      </c>
      <c r="L13" s="24"/>
      <c r="M13" s="68" t="str">
        <f aca="false">IF(AND(ISNUMBER(L13),ISNUMBER(J13)),L13-J13,"")</f>
        <v/>
      </c>
      <c r="R13" s="36" t="s">
        <v>1104</v>
      </c>
    </row>
    <row r="14" customFormat="false" ht="15" hidden="false" customHeight="false" outlineLevel="0" collapsed="false">
      <c r="A14" s="5" t="s">
        <v>945</v>
      </c>
      <c r="B14" s="5" t="s">
        <v>959</v>
      </c>
      <c r="C14" s="5" t="s">
        <v>957</v>
      </c>
      <c r="D14" s="24"/>
      <c r="F14" s="24"/>
      <c r="G14" s="68" t="str">
        <f aca="false">IF(AND(ISNUMBER(F14),ISNUMBER(D14)),F14-D14,"")</f>
        <v/>
      </c>
      <c r="H14" s="24"/>
      <c r="I14" s="68" t="str">
        <f aca="false">IF(AND(ISNUMBER(H14),ISNUMBER(F14)),H14-F14,"")</f>
        <v/>
      </c>
      <c r="J14" s="24"/>
      <c r="K14" s="68" t="str">
        <f aca="false">IF(AND(ISNUMBER(J14),ISNUMBER(H14)),J14-H14,"")</f>
        <v/>
      </c>
      <c r="L14" s="24"/>
      <c r="M14" s="68" t="str">
        <f aca="false">IF(AND(ISNUMBER(L14),ISNUMBER(J14)),L14-J14,"")</f>
        <v/>
      </c>
      <c r="R14" s="36" t="s">
        <v>1105</v>
      </c>
    </row>
    <row r="15" customFormat="false" ht="15" hidden="false" customHeight="false" outlineLevel="0" collapsed="false">
      <c r="A15" s="5" t="s">
        <v>961</v>
      </c>
      <c r="B15" s="5" t="s">
        <v>962</v>
      </c>
      <c r="C15" s="5" t="s">
        <v>613</v>
      </c>
      <c r="D15" s="62"/>
      <c r="F15" s="62"/>
      <c r="G15" s="69" t="str">
        <f aca="false">IF(AND(ISNUMBER(F15),ISNUMBER(D15)),F15-D15,"")</f>
        <v/>
      </c>
      <c r="H15" s="62"/>
      <c r="I15" s="69" t="str">
        <f aca="false">IF(AND(ISNUMBER(H15),ISNUMBER(F15)),H15-F15,"")</f>
        <v/>
      </c>
      <c r="J15" s="62"/>
      <c r="K15" s="69" t="str">
        <f aca="false">IF(AND(ISNUMBER(J15),ISNUMBER(H15)),J15-H15,"")</f>
        <v/>
      </c>
      <c r="L15" s="62"/>
      <c r="M15" s="69" t="str">
        <f aca="false">IF(AND(ISNUMBER(L15),ISNUMBER(J15)),L15-J15,"")</f>
        <v/>
      </c>
      <c r="R15" s="36" t="s">
        <v>1106</v>
      </c>
    </row>
    <row r="16" customFormat="false" ht="15" hidden="false" customHeight="false" outlineLevel="0" collapsed="false">
      <c r="A16" s="5" t="s">
        <v>961</v>
      </c>
      <c r="B16" s="5" t="s">
        <v>964</v>
      </c>
      <c r="C16" s="5" t="s">
        <v>613</v>
      </c>
      <c r="D16" s="62"/>
      <c r="F16" s="62"/>
      <c r="G16" s="69" t="str">
        <f aca="false">IF(AND(ISNUMBER(F16),ISNUMBER(D16)),F16-D16,"")</f>
        <v/>
      </c>
      <c r="H16" s="62"/>
      <c r="I16" s="69" t="str">
        <f aca="false">IF(AND(ISNUMBER(H16),ISNUMBER(F16)),H16-F16,"")</f>
        <v/>
      </c>
      <c r="J16" s="62"/>
      <c r="K16" s="69" t="str">
        <f aca="false">IF(AND(ISNUMBER(J16),ISNUMBER(H16)),J16-H16,"")</f>
        <v/>
      </c>
      <c r="L16" s="62"/>
      <c r="M16" s="69" t="str">
        <f aca="false">IF(AND(ISNUMBER(L16),ISNUMBER(J16)),L16-J16,"")</f>
        <v/>
      </c>
      <c r="R16" s="36" t="s">
        <v>1107</v>
      </c>
    </row>
    <row r="17" customFormat="false" ht="15" hidden="false" customHeight="false" outlineLevel="0" collapsed="false">
      <c r="A17" s="5" t="s">
        <v>961</v>
      </c>
      <c r="B17" s="5" t="s">
        <v>966</v>
      </c>
      <c r="C17" s="5" t="s">
        <v>613</v>
      </c>
      <c r="D17" s="62"/>
      <c r="F17" s="62"/>
      <c r="G17" s="69" t="str">
        <f aca="false">IF(AND(ISNUMBER(F17),ISNUMBER(D17)),F17-D17,"")</f>
        <v/>
      </c>
      <c r="H17" s="62"/>
      <c r="I17" s="69" t="str">
        <f aca="false">IF(AND(ISNUMBER(H17),ISNUMBER(F17)),H17-F17,"")</f>
        <v/>
      </c>
      <c r="J17" s="62"/>
      <c r="K17" s="69" t="str">
        <f aca="false">IF(AND(ISNUMBER(J17),ISNUMBER(H17)),J17-H17,"")</f>
        <v/>
      </c>
      <c r="L17" s="62"/>
      <c r="M17" s="69" t="str">
        <f aca="false">IF(AND(ISNUMBER(L17),ISNUMBER(J17)),L17-J17,"")</f>
        <v/>
      </c>
      <c r="R17" s="36" t="s">
        <v>1108</v>
      </c>
    </row>
    <row r="18" customFormat="false" ht="15" hidden="false" customHeight="false" outlineLevel="0" collapsed="false">
      <c r="A18" s="5" t="s">
        <v>961</v>
      </c>
      <c r="B18" s="5" t="s">
        <v>968</v>
      </c>
      <c r="C18" s="5" t="s">
        <v>613</v>
      </c>
      <c r="D18" s="62"/>
      <c r="F18" s="62"/>
      <c r="G18" s="69" t="str">
        <f aca="false">IF(AND(ISNUMBER(F18),ISNUMBER(D18)),F18-D18,"")</f>
        <v/>
      </c>
      <c r="H18" s="62"/>
      <c r="I18" s="69" t="str">
        <f aca="false">IF(AND(ISNUMBER(H18),ISNUMBER(F18)),H18-F18,"")</f>
        <v/>
      </c>
      <c r="J18" s="62"/>
      <c r="K18" s="69" t="str">
        <f aca="false">IF(AND(ISNUMBER(J18),ISNUMBER(H18)),J18-H18,"")</f>
        <v/>
      </c>
      <c r="L18" s="62"/>
      <c r="M18" s="69" t="str">
        <f aca="false">IF(AND(ISNUMBER(L18),ISNUMBER(J18)),L18-J18,"")</f>
        <v/>
      </c>
      <c r="R18" s="36" t="s">
        <v>1109</v>
      </c>
    </row>
    <row r="19" customFormat="false" ht="15" hidden="false" customHeight="false" outlineLevel="0" collapsed="false">
      <c r="A19" s="5" t="s">
        <v>961</v>
      </c>
      <c r="B19" s="5" t="s">
        <v>970</v>
      </c>
      <c r="C19" s="5" t="s">
        <v>613</v>
      </c>
      <c r="D19" s="62"/>
      <c r="F19" s="62"/>
      <c r="G19" s="69" t="str">
        <f aca="false">IF(AND(ISNUMBER(F19),ISNUMBER(D19)),F19-D19,"")</f>
        <v/>
      </c>
      <c r="H19" s="62"/>
      <c r="I19" s="69" t="str">
        <f aca="false">IF(AND(ISNUMBER(H19),ISNUMBER(F19)),H19-F19,"")</f>
        <v/>
      </c>
      <c r="J19" s="62"/>
      <c r="K19" s="69" t="str">
        <f aca="false">IF(AND(ISNUMBER(J19),ISNUMBER(H19)),J19-H19,"")</f>
        <v/>
      </c>
      <c r="L19" s="62"/>
      <c r="M19" s="69" t="str">
        <f aca="false">IF(AND(ISNUMBER(L19),ISNUMBER(J19)),L19-J19,"")</f>
        <v/>
      </c>
      <c r="R19" s="36" t="s">
        <v>1110</v>
      </c>
    </row>
    <row r="20" customFormat="false" ht="15" hidden="false" customHeight="false" outlineLevel="0" collapsed="false">
      <c r="A20" s="5" t="s">
        <v>961</v>
      </c>
      <c r="B20" s="5" t="s">
        <v>972</v>
      </c>
      <c r="C20" s="5" t="s">
        <v>613</v>
      </c>
      <c r="D20" s="62"/>
      <c r="F20" s="62"/>
      <c r="G20" s="69" t="str">
        <f aca="false">IF(AND(ISNUMBER(F20),ISNUMBER(D20)),F20-D20,"")</f>
        <v/>
      </c>
      <c r="H20" s="62"/>
      <c r="I20" s="69" t="str">
        <f aca="false">IF(AND(ISNUMBER(H20),ISNUMBER(F20)),H20-F20,"")</f>
        <v/>
      </c>
      <c r="J20" s="62"/>
      <c r="K20" s="69" t="str">
        <f aca="false">IF(AND(ISNUMBER(J20),ISNUMBER(H20)),J20-H20,"")</f>
        <v/>
      </c>
      <c r="L20" s="62"/>
      <c r="M20" s="69" t="str">
        <f aca="false">IF(AND(ISNUMBER(L20),ISNUMBER(J20)),L20-J20,"")</f>
        <v/>
      </c>
      <c r="R20" s="36" t="s">
        <v>915</v>
      </c>
    </row>
    <row r="21" customFormat="false" ht="15" hidden="false" customHeight="false" outlineLevel="0" collapsed="false">
      <c r="A21" s="5" t="s">
        <v>961</v>
      </c>
      <c r="B21" s="5" t="s">
        <v>974</v>
      </c>
      <c r="C21" s="5" t="s">
        <v>613</v>
      </c>
      <c r="D21" s="62"/>
      <c r="F21" s="62"/>
      <c r="G21" s="69" t="str">
        <f aca="false">IF(AND(ISNUMBER(F21),ISNUMBER(D21)),F21-D21,"")</f>
        <v/>
      </c>
      <c r="H21" s="62"/>
      <c r="I21" s="69" t="str">
        <f aca="false">IF(AND(ISNUMBER(H21),ISNUMBER(F21)),H21-F21,"")</f>
        <v/>
      </c>
      <c r="J21" s="62"/>
      <c r="K21" s="69" t="str">
        <f aca="false">IF(AND(ISNUMBER(J21),ISNUMBER(H21)),J21-H21,"")</f>
        <v/>
      </c>
      <c r="L21" s="62"/>
      <c r="M21" s="69" t="str">
        <f aca="false">IF(AND(ISNUMBER(L21),ISNUMBER(J21)),L21-J21,"")</f>
        <v/>
      </c>
      <c r="R21" s="36" t="s">
        <v>1111</v>
      </c>
    </row>
    <row r="22" customFormat="false" ht="15" hidden="false" customHeight="false" outlineLevel="0" collapsed="false">
      <c r="A22" s="5" t="s">
        <v>961</v>
      </c>
      <c r="B22" s="5" t="s">
        <v>976</v>
      </c>
      <c r="C22" s="5" t="s">
        <v>613</v>
      </c>
      <c r="D22" s="62"/>
      <c r="F22" s="62"/>
      <c r="G22" s="69" t="str">
        <f aca="false">IF(AND(ISNUMBER(F22),ISNUMBER(D22)),F22-D22,"")</f>
        <v/>
      </c>
      <c r="H22" s="62"/>
      <c r="I22" s="69" t="str">
        <f aca="false">IF(AND(ISNUMBER(H22),ISNUMBER(F22)),H22-F22,"")</f>
        <v/>
      </c>
      <c r="J22" s="62"/>
      <c r="K22" s="69" t="str">
        <f aca="false">IF(AND(ISNUMBER(J22),ISNUMBER(H22)),J22-H22,"")</f>
        <v/>
      </c>
      <c r="L22" s="62"/>
      <c r="M22" s="69" t="str">
        <f aca="false">IF(AND(ISNUMBER(L22),ISNUMBER(J22)),L22-J22,"")</f>
        <v/>
      </c>
      <c r="R22" s="36" t="s">
        <v>1112</v>
      </c>
    </row>
    <row r="23" customFormat="false" ht="15" hidden="false" customHeight="false" outlineLevel="0" collapsed="false">
      <c r="A23" s="5" t="s">
        <v>961</v>
      </c>
      <c r="B23" s="5" t="s">
        <v>978</v>
      </c>
      <c r="C23" s="5" t="s">
        <v>957</v>
      </c>
      <c r="D23" s="24"/>
      <c r="F23" s="24"/>
      <c r="G23" s="68" t="str">
        <f aca="false">IF(AND(ISNUMBER(F23),ISNUMBER(D23)),F23-D23,"")</f>
        <v/>
      </c>
      <c r="H23" s="24"/>
      <c r="I23" s="68" t="str">
        <f aca="false">IF(AND(ISNUMBER(H23),ISNUMBER(F23)),H23-F23,"")</f>
        <v/>
      </c>
      <c r="J23" s="24"/>
      <c r="K23" s="68" t="str">
        <f aca="false">IF(AND(ISNUMBER(J23),ISNUMBER(H23)),J23-H23,"")</f>
        <v/>
      </c>
      <c r="L23" s="24"/>
      <c r="M23" s="68" t="str">
        <f aca="false">IF(AND(ISNUMBER(L23),ISNUMBER(J23)),L23-J23,"")</f>
        <v/>
      </c>
      <c r="R23" s="36" t="s">
        <v>1113</v>
      </c>
    </row>
    <row r="24" customFormat="false" ht="15" hidden="false" customHeight="false" outlineLevel="0" collapsed="false">
      <c r="A24" s="5" t="s">
        <v>961</v>
      </c>
      <c r="B24" s="5" t="s">
        <v>980</v>
      </c>
      <c r="C24" s="5" t="s">
        <v>957</v>
      </c>
      <c r="D24" s="24"/>
      <c r="F24" s="24"/>
      <c r="G24" s="68" t="str">
        <f aca="false">IF(AND(ISNUMBER(F24),ISNUMBER(D24)),F24-D24,"")</f>
        <v/>
      </c>
      <c r="H24" s="24"/>
      <c r="I24" s="68" t="str">
        <f aca="false">IF(AND(ISNUMBER(H24),ISNUMBER(F24)),H24-F24,"")</f>
        <v/>
      </c>
      <c r="J24" s="24"/>
      <c r="K24" s="68" t="str">
        <f aca="false">IF(AND(ISNUMBER(J24),ISNUMBER(H24)),J24-H24,"")</f>
        <v/>
      </c>
      <c r="L24" s="24"/>
      <c r="M24" s="68" t="str">
        <f aca="false">IF(AND(ISNUMBER(L24),ISNUMBER(J24)),L24-J24,"")</f>
        <v/>
      </c>
      <c r="R24" s="36" t="s">
        <v>1114</v>
      </c>
    </row>
    <row r="25" customFormat="false" ht="15" hidden="false" customHeight="false" outlineLevel="0" collapsed="false">
      <c r="A25" s="5" t="s">
        <v>961</v>
      </c>
      <c r="B25" s="5" t="s">
        <v>982</v>
      </c>
      <c r="C25" s="5" t="s">
        <v>957</v>
      </c>
      <c r="D25" s="24"/>
      <c r="F25" s="24"/>
      <c r="G25" s="68" t="str">
        <f aca="false">IF(AND(ISNUMBER(F25),ISNUMBER(D25)),F25-D25,"")</f>
        <v/>
      </c>
      <c r="H25" s="24"/>
      <c r="I25" s="68" t="str">
        <f aca="false">IF(AND(ISNUMBER(H25),ISNUMBER(F25)),H25-F25,"")</f>
        <v/>
      </c>
      <c r="J25" s="24"/>
      <c r="K25" s="68" t="str">
        <f aca="false">IF(AND(ISNUMBER(J25),ISNUMBER(H25)),J25-H25,"")</f>
        <v/>
      </c>
      <c r="L25" s="24"/>
      <c r="M25" s="68" t="str">
        <f aca="false">IF(AND(ISNUMBER(L25),ISNUMBER(J25)),L25-J25,"")</f>
        <v/>
      </c>
      <c r="R25" s="36" t="s">
        <v>1115</v>
      </c>
    </row>
    <row r="26" customFormat="false" ht="15" hidden="false" customHeight="false" outlineLevel="0" collapsed="false">
      <c r="A26" s="5" t="s">
        <v>961</v>
      </c>
      <c r="B26" s="5" t="s">
        <v>984</v>
      </c>
      <c r="C26" s="5" t="s">
        <v>957</v>
      </c>
      <c r="D26" s="24"/>
      <c r="F26" s="24"/>
      <c r="G26" s="68" t="str">
        <f aca="false">IF(AND(ISNUMBER(F26),ISNUMBER(D26)),F26-D26,"")</f>
        <v/>
      </c>
      <c r="H26" s="24"/>
      <c r="I26" s="68" t="str">
        <f aca="false">IF(AND(ISNUMBER(H26),ISNUMBER(F26)),H26-F26,"")</f>
        <v/>
      </c>
      <c r="J26" s="24"/>
      <c r="K26" s="68" t="str">
        <f aca="false">IF(AND(ISNUMBER(J26),ISNUMBER(H26)),J26-H26,"")</f>
        <v/>
      </c>
      <c r="L26" s="24"/>
      <c r="M26" s="68" t="str">
        <f aca="false">IF(AND(ISNUMBER(L26),ISNUMBER(J26)),L26-J26,"")</f>
        <v/>
      </c>
      <c r="R26" s="36" t="s">
        <v>916</v>
      </c>
    </row>
    <row r="27" customFormat="false" ht="15" hidden="false" customHeight="false" outlineLevel="0" collapsed="false">
      <c r="A27" s="5" t="s">
        <v>961</v>
      </c>
      <c r="B27" s="5" t="s">
        <v>986</v>
      </c>
      <c r="C27" s="5" t="s">
        <v>957</v>
      </c>
      <c r="D27" s="24"/>
      <c r="F27" s="24"/>
      <c r="G27" s="68" t="str">
        <f aca="false">IF(AND(ISNUMBER(F27),ISNUMBER(D27)),F27-D27,"")</f>
        <v/>
      </c>
      <c r="H27" s="24"/>
      <c r="I27" s="68" t="str">
        <f aca="false">IF(AND(ISNUMBER(H27),ISNUMBER(F27)),H27-F27,"")</f>
        <v/>
      </c>
      <c r="J27" s="24"/>
      <c r="K27" s="68" t="str">
        <f aca="false">IF(AND(ISNUMBER(J27),ISNUMBER(H27)),J27-H27,"")</f>
        <v/>
      </c>
      <c r="L27" s="24"/>
      <c r="M27" s="68" t="str">
        <f aca="false">IF(AND(ISNUMBER(L27),ISNUMBER(J27)),L27-J27,"")</f>
        <v/>
      </c>
    </row>
    <row r="28" customFormat="false" ht="15" hidden="false" customHeight="false" outlineLevel="0" collapsed="false">
      <c r="A28" s="5" t="s">
        <v>961</v>
      </c>
      <c r="B28" s="5" t="s">
        <v>988</v>
      </c>
      <c r="C28" s="5" t="s">
        <v>957</v>
      </c>
      <c r="D28" s="24"/>
      <c r="F28" s="24"/>
      <c r="G28" s="68" t="str">
        <f aca="false">IF(AND(ISNUMBER(F28),ISNUMBER(D28)),F28-D28,"")</f>
        <v/>
      </c>
      <c r="H28" s="24"/>
      <c r="I28" s="68" t="str">
        <f aca="false">IF(AND(ISNUMBER(H28),ISNUMBER(F28)),H28-F28,"")</f>
        <v/>
      </c>
      <c r="J28" s="24"/>
      <c r="K28" s="68" t="str">
        <f aca="false">IF(AND(ISNUMBER(J28),ISNUMBER(H28)),J28-H28,"")</f>
        <v/>
      </c>
      <c r="L28" s="24"/>
      <c r="M28" s="68" t="str">
        <f aca="false">IF(AND(ISNUMBER(L28),ISNUMBER(J28)),L28-J28,"")</f>
        <v/>
      </c>
    </row>
    <row r="29" customFormat="false" ht="15" hidden="false" customHeight="false" outlineLevel="0" collapsed="false">
      <c r="A29" s="5" t="s">
        <v>961</v>
      </c>
      <c r="B29" s="5" t="s">
        <v>990</v>
      </c>
      <c r="C29" s="5" t="s">
        <v>957</v>
      </c>
      <c r="D29" s="24"/>
      <c r="F29" s="24"/>
      <c r="G29" s="68" t="str">
        <f aca="false">IF(AND(ISNUMBER(F29),ISNUMBER(D29)),F29-D29,"")</f>
        <v/>
      </c>
      <c r="H29" s="24"/>
      <c r="I29" s="68" t="str">
        <f aca="false">IF(AND(ISNUMBER(H29),ISNUMBER(F29)),H29-F29,"")</f>
        <v/>
      </c>
      <c r="J29" s="24"/>
      <c r="K29" s="68" t="str">
        <f aca="false">IF(AND(ISNUMBER(J29),ISNUMBER(H29)),J29-H29,"")</f>
        <v/>
      </c>
      <c r="L29" s="24"/>
      <c r="M29" s="68" t="str">
        <f aca="false">IF(AND(ISNUMBER(L29),ISNUMBER(J29)),L29-J29,"")</f>
        <v/>
      </c>
    </row>
    <row r="30" customFormat="false" ht="15" hidden="false" customHeight="false" outlineLevel="0" collapsed="false">
      <c r="A30" s="5" t="s">
        <v>961</v>
      </c>
      <c r="B30" s="5" t="s">
        <v>992</v>
      </c>
      <c r="C30" s="5" t="s">
        <v>957</v>
      </c>
      <c r="D30" s="24"/>
      <c r="F30" s="24"/>
      <c r="G30" s="68" t="str">
        <f aca="false">IF(AND(ISNUMBER(F30),ISNUMBER(D30)),F30-D30,"")</f>
        <v/>
      </c>
      <c r="H30" s="24"/>
      <c r="I30" s="68" t="str">
        <f aca="false">IF(AND(ISNUMBER(H30),ISNUMBER(F30)),H30-F30,"")</f>
        <v/>
      </c>
      <c r="J30" s="24"/>
      <c r="K30" s="68" t="str">
        <f aca="false">IF(AND(ISNUMBER(J30),ISNUMBER(H30)),J30-H30,"")</f>
        <v/>
      </c>
      <c r="L30" s="24"/>
      <c r="M30" s="68" t="str">
        <f aca="false">IF(AND(ISNUMBER(L30),ISNUMBER(J30)),L30-J30,"")</f>
        <v/>
      </c>
    </row>
    <row r="31" customFormat="false" ht="23.85" hidden="false" customHeight="false" outlineLevel="0" collapsed="false">
      <c r="A31" s="5" t="s">
        <v>961</v>
      </c>
      <c r="B31" s="5" t="s">
        <v>994</v>
      </c>
      <c r="C31" s="5" t="s">
        <v>995</v>
      </c>
      <c r="D31" s="28"/>
      <c r="F31" s="28"/>
      <c r="G31" s="66" t="str">
        <f aca="false">IF(AND(ISNUMBER(F31),ISNUMBER(D31)),F31-D31,"")</f>
        <v/>
      </c>
      <c r="H31" s="28"/>
      <c r="I31" s="66" t="str">
        <f aca="false">IF(AND(ISNUMBER(H31),ISNUMBER(F31)),H31-F31,"")</f>
        <v/>
      </c>
      <c r="J31" s="28"/>
      <c r="K31" s="66" t="str">
        <f aca="false">IF(AND(ISNUMBER(J31),ISNUMBER(H31)),J31-H31,"")</f>
        <v/>
      </c>
      <c r="L31" s="28"/>
      <c r="M31" s="66" t="str">
        <f aca="false">IF(AND(ISNUMBER(L31),ISNUMBER(J31)),L31-J31,"")</f>
        <v/>
      </c>
    </row>
    <row r="32" customFormat="false" ht="23.85" hidden="false" customHeight="false" outlineLevel="0" collapsed="false">
      <c r="A32" s="5" t="s">
        <v>961</v>
      </c>
      <c r="B32" s="5" t="s">
        <v>997</v>
      </c>
      <c r="C32" s="5" t="s">
        <v>995</v>
      </c>
      <c r="D32" s="28"/>
      <c r="F32" s="28"/>
      <c r="G32" s="66" t="str">
        <f aca="false">IF(AND(ISNUMBER(F32),ISNUMBER(D32)),F32-D32,"")</f>
        <v/>
      </c>
      <c r="H32" s="28"/>
      <c r="I32" s="66" t="str">
        <f aca="false">IF(AND(ISNUMBER(H32),ISNUMBER(F32)),H32-F32,"")</f>
        <v/>
      </c>
      <c r="J32" s="28"/>
      <c r="K32" s="66" t="str">
        <f aca="false">IF(AND(ISNUMBER(J32),ISNUMBER(H32)),J32-H32,"")</f>
        <v/>
      </c>
      <c r="L32" s="28"/>
      <c r="M32" s="66" t="str">
        <f aca="false">IF(AND(ISNUMBER(L32),ISNUMBER(J32)),L32-J32,"")</f>
        <v/>
      </c>
    </row>
    <row r="33" customFormat="false" ht="23.85" hidden="false" customHeight="false" outlineLevel="0" collapsed="false">
      <c r="A33" s="5" t="s">
        <v>961</v>
      </c>
      <c r="B33" s="5" t="s">
        <v>999</v>
      </c>
      <c r="C33" s="5" t="s">
        <v>995</v>
      </c>
      <c r="D33" s="28"/>
      <c r="F33" s="28"/>
      <c r="G33" s="66" t="str">
        <f aca="false">IF(AND(ISNUMBER(F33),ISNUMBER(D33)),F33-D33,"")</f>
        <v/>
      </c>
      <c r="H33" s="28"/>
      <c r="I33" s="66" t="str">
        <f aca="false">IF(AND(ISNUMBER(H33),ISNUMBER(F33)),H33-F33,"")</f>
        <v/>
      </c>
      <c r="J33" s="28"/>
      <c r="K33" s="66" t="str">
        <f aca="false">IF(AND(ISNUMBER(J33),ISNUMBER(H33)),J33-H33,"")</f>
        <v/>
      </c>
      <c r="L33" s="28"/>
      <c r="M33" s="66" t="str">
        <f aca="false">IF(AND(ISNUMBER(L33),ISNUMBER(J33)),L33-J33,"")</f>
        <v/>
      </c>
    </row>
    <row r="34" customFormat="false" ht="23.85" hidden="false" customHeight="false" outlineLevel="0" collapsed="false">
      <c r="A34" s="5" t="s">
        <v>961</v>
      </c>
      <c r="B34" s="5" t="s">
        <v>1001</v>
      </c>
      <c r="C34" s="5" t="s">
        <v>995</v>
      </c>
      <c r="D34" s="28"/>
      <c r="F34" s="28"/>
      <c r="G34" s="66" t="str">
        <f aca="false">IF(AND(ISNUMBER(F34),ISNUMBER(D34)),F34-D34,"")</f>
        <v/>
      </c>
      <c r="H34" s="28"/>
      <c r="I34" s="66" t="str">
        <f aca="false">IF(AND(ISNUMBER(H34),ISNUMBER(F34)),H34-F34,"")</f>
        <v/>
      </c>
      <c r="J34" s="28"/>
      <c r="K34" s="66" t="str">
        <f aca="false">IF(AND(ISNUMBER(J34),ISNUMBER(H34)),J34-H34,"")</f>
        <v/>
      </c>
      <c r="L34" s="28"/>
      <c r="M34" s="66" t="str">
        <f aca="false">IF(AND(ISNUMBER(L34),ISNUMBER(J34)),L34-J34,"")</f>
        <v/>
      </c>
    </row>
    <row r="35" customFormat="false" ht="23.85" hidden="false" customHeight="false" outlineLevel="0" collapsed="false">
      <c r="A35" s="5" t="s">
        <v>961</v>
      </c>
      <c r="B35" s="5" t="s">
        <v>1003</v>
      </c>
      <c r="C35" s="5" t="s">
        <v>995</v>
      </c>
      <c r="D35" s="28"/>
      <c r="F35" s="28"/>
      <c r="G35" s="66" t="str">
        <f aca="false">IF(AND(ISNUMBER(F35),ISNUMBER(D35)),F35-D35,"")</f>
        <v/>
      </c>
      <c r="H35" s="28"/>
      <c r="I35" s="66" t="str">
        <f aca="false">IF(AND(ISNUMBER(H35),ISNUMBER(F35)),H35-F35,"")</f>
        <v/>
      </c>
      <c r="J35" s="28"/>
      <c r="K35" s="66" t="str">
        <f aca="false">IF(AND(ISNUMBER(J35),ISNUMBER(H35)),J35-H35,"")</f>
        <v/>
      </c>
      <c r="L35" s="28"/>
      <c r="M35" s="66" t="str">
        <f aca="false">IF(AND(ISNUMBER(L35),ISNUMBER(J35)),L35-J35,"")</f>
        <v/>
      </c>
    </row>
    <row r="36" customFormat="false" ht="23.85" hidden="false" customHeight="false" outlineLevel="0" collapsed="false">
      <c r="A36" s="5" t="s">
        <v>961</v>
      </c>
      <c r="B36" s="5" t="s">
        <v>1005</v>
      </c>
      <c r="C36" s="5" t="s">
        <v>995</v>
      </c>
      <c r="D36" s="28"/>
      <c r="F36" s="28"/>
      <c r="G36" s="66" t="str">
        <f aca="false">IF(AND(ISNUMBER(F36),ISNUMBER(D36)),F36-D36,"")</f>
        <v/>
      </c>
      <c r="H36" s="28"/>
      <c r="I36" s="66" t="str">
        <f aca="false">IF(AND(ISNUMBER(H36),ISNUMBER(F36)),H36-F36,"")</f>
        <v/>
      </c>
      <c r="J36" s="28"/>
      <c r="K36" s="66" t="str">
        <f aca="false">IF(AND(ISNUMBER(J36),ISNUMBER(H36)),J36-H36,"")</f>
        <v/>
      </c>
      <c r="L36" s="28"/>
      <c r="M36" s="66" t="str">
        <f aca="false">IF(AND(ISNUMBER(L36),ISNUMBER(J36)),L36-J36,"")</f>
        <v/>
      </c>
    </row>
    <row r="37" customFormat="false" ht="23.85" hidden="false" customHeight="false" outlineLevel="0" collapsed="false">
      <c r="A37" s="5" t="s">
        <v>961</v>
      </c>
      <c r="B37" s="5" t="s">
        <v>1007</v>
      </c>
      <c r="C37" s="5" t="s">
        <v>995</v>
      </c>
      <c r="D37" s="28"/>
      <c r="F37" s="28"/>
      <c r="G37" s="66" t="str">
        <f aca="false">IF(AND(ISNUMBER(F37),ISNUMBER(D37)),F37-D37,"")</f>
        <v/>
      </c>
      <c r="H37" s="28"/>
      <c r="I37" s="66" t="str">
        <f aca="false">IF(AND(ISNUMBER(H37),ISNUMBER(F37)),H37-F37,"")</f>
        <v/>
      </c>
      <c r="J37" s="28"/>
      <c r="K37" s="66" t="str">
        <f aca="false">IF(AND(ISNUMBER(J37),ISNUMBER(H37)),J37-H37,"")</f>
        <v/>
      </c>
      <c r="L37" s="28"/>
      <c r="M37" s="66" t="str">
        <f aca="false">IF(AND(ISNUMBER(L37),ISNUMBER(J37)),L37-J37,"")</f>
        <v/>
      </c>
    </row>
    <row r="38" customFormat="false" ht="23.85" hidden="false" customHeight="false" outlineLevel="0" collapsed="false">
      <c r="A38" s="5" t="s">
        <v>961</v>
      </c>
      <c r="B38" s="5" t="s">
        <v>1009</v>
      </c>
      <c r="C38" s="5" t="s">
        <v>995</v>
      </c>
      <c r="D38" s="28"/>
      <c r="F38" s="28"/>
      <c r="G38" s="66" t="str">
        <f aca="false">IF(AND(ISNUMBER(F38),ISNUMBER(D38)),F38-D38,"")</f>
        <v/>
      </c>
      <c r="H38" s="28"/>
      <c r="I38" s="66" t="str">
        <f aca="false">IF(AND(ISNUMBER(H38),ISNUMBER(F38)),H38-F38,"")</f>
        <v/>
      </c>
      <c r="J38" s="28"/>
      <c r="K38" s="66" t="str">
        <f aca="false">IF(AND(ISNUMBER(J38),ISNUMBER(H38)),J38-H38,"")</f>
        <v/>
      </c>
      <c r="L38" s="28"/>
      <c r="M38" s="66" t="str">
        <f aca="false">IF(AND(ISNUMBER(L38),ISNUMBER(J38)),L38-J38,"")</f>
        <v/>
      </c>
    </row>
    <row r="39" customFormat="false" ht="15" hidden="false" customHeight="false" outlineLevel="0" collapsed="false">
      <c r="A39" s="5" t="s">
        <v>961</v>
      </c>
      <c r="B39" s="5" t="s">
        <v>1011</v>
      </c>
      <c r="C39" s="5" t="s">
        <v>1012</v>
      </c>
      <c r="D39" s="19"/>
      <c r="F39" s="19"/>
      <c r="G39" s="67" t="str">
        <f aca="false">IF(AND(ISNUMBER(F39),ISNUMBER(D39)),F39-D39,"")</f>
        <v/>
      </c>
      <c r="H39" s="19"/>
      <c r="I39" s="67" t="str">
        <f aca="false">IF(AND(ISNUMBER(H39),ISNUMBER(F39)),H39-F39,"")</f>
        <v/>
      </c>
      <c r="J39" s="19"/>
      <c r="K39" s="67" t="str">
        <f aca="false">IF(AND(ISNUMBER(J39),ISNUMBER(H39)),J39-H39,"")</f>
        <v/>
      </c>
      <c r="L39" s="19"/>
      <c r="M39" s="67" t="str">
        <f aca="false">IF(AND(ISNUMBER(L39),ISNUMBER(J39)),L39-J39,"")</f>
        <v/>
      </c>
    </row>
    <row r="40" customFormat="false" ht="15" hidden="false" customHeight="false" outlineLevel="0" collapsed="false">
      <c r="A40" s="5" t="s">
        <v>961</v>
      </c>
      <c r="B40" s="5" t="s">
        <v>1014</v>
      </c>
      <c r="C40" s="5" t="s">
        <v>1012</v>
      </c>
      <c r="D40" s="19"/>
      <c r="F40" s="19"/>
      <c r="G40" s="67" t="str">
        <f aca="false">IF(AND(ISNUMBER(F40),ISNUMBER(D40)),F40-D40,"")</f>
        <v/>
      </c>
      <c r="H40" s="19"/>
      <c r="I40" s="67" t="str">
        <f aca="false">IF(AND(ISNUMBER(H40),ISNUMBER(F40)),H40-F40,"")</f>
        <v/>
      </c>
      <c r="J40" s="19"/>
      <c r="K40" s="67" t="str">
        <f aca="false">IF(AND(ISNUMBER(J40),ISNUMBER(H40)),J40-H40,"")</f>
        <v/>
      </c>
      <c r="L40" s="19"/>
      <c r="M40" s="67" t="str">
        <f aca="false">IF(AND(ISNUMBER(L40),ISNUMBER(J40)),L40-J40,"")</f>
        <v/>
      </c>
    </row>
    <row r="41" customFormat="false" ht="15" hidden="false" customHeight="false" outlineLevel="0" collapsed="false">
      <c r="A41" s="5" t="s">
        <v>961</v>
      </c>
      <c r="B41" s="5" t="s">
        <v>1016</v>
      </c>
      <c r="C41" s="5" t="s">
        <v>1012</v>
      </c>
      <c r="D41" s="19"/>
      <c r="F41" s="19"/>
      <c r="G41" s="67" t="str">
        <f aca="false">IF(AND(ISNUMBER(F41),ISNUMBER(D41)),F41-D41,"")</f>
        <v/>
      </c>
      <c r="H41" s="19"/>
      <c r="I41" s="67" t="str">
        <f aca="false">IF(AND(ISNUMBER(H41),ISNUMBER(F41)),H41-F41,"")</f>
        <v/>
      </c>
      <c r="J41" s="19"/>
      <c r="K41" s="67" t="str">
        <f aca="false">IF(AND(ISNUMBER(J41),ISNUMBER(H41)),J41-H41,"")</f>
        <v/>
      </c>
      <c r="L41" s="19"/>
      <c r="M41" s="67" t="str">
        <f aca="false">IF(AND(ISNUMBER(L41),ISNUMBER(J41)),L41-J41,"")</f>
        <v/>
      </c>
    </row>
    <row r="42" customFormat="false" ht="15" hidden="false" customHeight="false" outlineLevel="0" collapsed="false">
      <c r="A42" s="5" t="s">
        <v>961</v>
      </c>
      <c r="B42" s="5" t="s">
        <v>1018</v>
      </c>
      <c r="C42" s="5" t="s">
        <v>1012</v>
      </c>
      <c r="D42" s="19"/>
      <c r="F42" s="19"/>
      <c r="G42" s="67" t="str">
        <f aca="false">IF(AND(ISNUMBER(F42),ISNUMBER(D42)),F42-D42,"")</f>
        <v/>
      </c>
      <c r="H42" s="19"/>
      <c r="I42" s="67" t="str">
        <f aca="false">IF(AND(ISNUMBER(H42),ISNUMBER(F42)),H42-F42,"")</f>
        <v/>
      </c>
      <c r="J42" s="19"/>
      <c r="K42" s="67" t="str">
        <f aca="false">IF(AND(ISNUMBER(J42),ISNUMBER(H42)),J42-H42,"")</f>
        <v/>
      </c>
      <c r="L42" s="19"/>
      <c r="M42" s="67" t="str">
        <f aca="false">IF(AND(ISNUMBER(L42),ISNUMBER(J42)),L42-J42,"")</f>
        <v/>
      </c>
    </row>
    <row r="43" customFormat="false" ht="15" hidden="false" customHeight="false" outlineLevel="0" collapsed="false">
      <c r="A43" s="5" t="s">
        <v>961</v>
      </c>
      <c r="B43" s="5" t="s">
        <v>1020</v>
      </c>
      <c r="C43" s="5" t="s">
        <v>1012</v>
      </c>
      <c r="D43" s="19"/>
      <c r="F43" s="19"/>
      <c r="G43" s="67" t="str">
        <f aca="false">IF(AND(ISNUMBER(F43),ISNUMBER(D43)),F43-D43,"")</f>
        <v/>
      </c>
      <c r="H43" s="19"/>
      <c r="I43" s="67" t="str">
        <f aca="false">IF(AND(ISNUMBER(H43),ISNUMBER(F43)),H43-F43,"")</f>
        <v/>
      </c>
      <c r="J43" s="19"/>
      <c r="K43" s="67" t="str">
        <f aca="false">IF(AND(ISNUMBER(J43),ISNUMBER(H43)),J43-H43,"")</f>
        <v/>
      </c>
      <c r="L43" s="19"/>
      <c r="M43" s="67" t="str">
        <f aca="false">IF(AND(ISNUMBER(L43),ISNUMBER(J43)),L43-J43,"")</f>
        <v/>
      </c>
    </row>
    <row r="44" customFormat="false" ht="15" hidden="false" customHeight="false" outlineLevel="0" collapsed="false">
      <c r="A44" s="5" t="s">
        <v>961</v>
      </c>
      <c r="B44" s="5" t="s">
        <v>1022</v>
      </c>
      <c r="C44" s="5" t="s">
        <v>1012</v>
      </c>
      <c r="D44" s="19"/>
      <c r="F44" s="19"/>
      <c r="G44" s="67" t="str">
        <f aca="false">IF(AND(ISNUMBER(F44),ISNUMBER(D44)),F44-D44,"")</f>
        <v/>
      </c>
      <c r="H44" s="19"/>
      <c r="I44" s="67" t="str">
        <f aca="false">IF(AND(ISNUMBER(H44),ISNUMBER(F44)),H44-F44,"")</f>
        <v/>
      </c>
      <c r="J44" s="19"/>
      <c r="K44" s="67" t="str">
        <f aca="false">IF(AND(ISNUMBER(J44),ISNUMBER(H44)),J44-H44,"")</f>
        <v/>
      </c>
      <c r="L44" s="19"/>
      <c r="M44" s="67" t="str">
        <f aca="false">IF(AND(ISNUMBER(L44),ISNUMBER(J44)),L44-J44,"")</f>
        <v/>
      </c>
    </row>
    <row r="45" customFormat="false" ht="15" hidden="false" customHeight="false" outlineLevel="0" collapsed="false">
      <c r="A45" s="5" t="s">
        <v>961</v>
      </c>
      <c r="B45" s="5" t="s">
        <v>1024</v>
      </c>
      <c r="C45" s="5" t="s">
        <v>1012</v>
      </c>
      <c r="D45" s="19"/>
      <c r="F45" s="19"/>
      <c r="G45" s="67" t="str">
        <f aca="false">IF(AND(ISNUMBER(F45),ISNUMBER(D45)),F45-D45,"")</f>
        <v/>
      </c>
      <c r="H45" s="19"/>
      <c r="I45" s="67" t="str">
        <f aca="false">IF(AND(ISNUMBER(H45),ISNUMBER(F45)),H45-F45,"")</f>
        <v/>
      </c>
      <c r="J45" s="19"/>
      <c r="K45" s="67" t="str">
        <f aca="false">IF(AND(ISNUMBER(J45),ISNUMBER(H45)),J45-H45,"")</f>
        <v/>
      </c>
      <c r="L45" s="19"/>
      <c r="M45" s="67" t="str">
        <f aca="false">IF(AND(ISNUMBER(L45),ISNUMBER(J45)),L45-J45,"")</f>
        <v/>
      </c>
    </row>
    <row r="46" customFormat="false" ht="15" hidden="false" customHeight="false" outlineLevel="0" collapsed="false">
      <c r="A46" s="5" t="s">
        <v>961</v>
      </c>
      <c r="B46" s="5" t="s">
        <v>1026</v>
      </c>
      <c r="C46" s="5" t="s">
        <v>1012</v>
      </c>
      <c r="D46" s="19"/>
      <c r="F46" s="19"/>
      <c r="G46" s="67" t="str">
        <f aca="false">IF(AND(ISNUMBER(F46),ISNUMBER(D46)),F46-D46,"")</f>
        <v/>
      </c>
      <c r="H46" s="19"/>
      <c r="I46" s="67" t="str">
        <f aca="false">IF(AND(ISNUMBER(H46),ISNUMBER(F46)),H46-F46,"")</f>
        <v/>
      </c>
      <c r="J46" s="19"/>
      <c r="K46" s="67" t="str">
        <f aca="false">IF(AND(ISNUMBER(J46),ISNUMBER(H46)),J46-H46,"")</f>
        <v/>
      </c>
      <c r="L46" s="19"/>
      <c r="M46" s="67" t="str">
        <f aca="false">IF(AND(ISNUMBER(L46),ISNUMBER(J46)),L46-J46,"")</f>
        <v/>
      </c>
    </row>
    <row r="47" customFormat="false" ht="15" hidden="false" customHeight="false" outlineLevel="0" collapsed="false">
      <c r="A47" s="5" t="s">
        <v>1028</v>
      </c>
      <c r="B47" s="5" t="s">
        <v>1029</v>
      </c>
      <c r="C47" s="5" t="s">
        <v>952</v>
      </c>
      <c r="D47" s="19"/>
      <c r="F47" s="19"/>
      <c r="G47" s="67" t="str">
        <f aca="false">IF(AND(ISNUMBER(F47),ISNUMBER(D47)),F47-D47,"")</f>
        <v/>
      </c>
      <c r="H47" s="19"/>
      <c r="I47" s="67" t="str">
        <f aca="false">IF(AND(ISNUMBER(H47),ISNUMBER(F47)),H47-F47,"")</f>
        <v/>
      </c>
      <c r="J47" s="19"/>
      <c r="K47" s="67" t="str">
        <f aca="false">IF(AND(ISNUMBER(J47),ISNUMBER(H47)),J47-H47,"")</f>
        <v/>
      </c>
      <c r="L47" s="19"/>
      <c r="M47" s="67" t="str">
        <f aca="false">IF(AND(ISNUMBER(L47),ISNUMBER(J47)),L47-J47,"")</f>
        <v/>
      </c>
    </row>
    <row r="48" customFormat="false" ht="15" hidden="false" customHeight="false" outlineLevel="0" collapsed="false">
      <c r="A48" s="5" t="s">
        <v>1028</v>
      </c>
      <c r="B48" s="5" t="s">
        <v>1031</v>
      </c>
      <c r="C48" s="5" t="s">
        <v>952</v>
      </c>
      <c r="D48" s="19"/>
      <c r="F48" s="19"/>
      <c r="G48" s="67" t="str">
        <f aca="false">IF(AND(ISNUMBER(F48),ISNUMBER(D48)),F48-D48,"")</f>
        <v/>
      </c>
      <c r="H48" s="19"/>
      <c r="I48" s="67" t="str">
        <f aca="false">IF(AND(ISNUMBER(H48),ISNUMBER(F48)),H48-F48,"")</f>
        <v/>
      </c>
      <c r="J48" s="19"/>
      <c r="K48" s="67" t="str">
        <f aca="false">IF(AND(ISNUMBER(J48),ISNUMBER(H48)),J48-H48,"")</f>
        <v/>
      </c>
      <c r="L48" s="19"/>
      <c r="M48" s="67" t="str">
        <f aca="false">IF(AND(ISNUMBER(L48),ISNUMBER(J48)),L48-J48,"")</f>
        <v/>
      </c>
    </row>
    <row r="49" customFormat="false" ht="15" hidden="false" customHeight="false" outlineLevel="0" collapsed="false">
      <c r="A49" s="5" t="s">
        <v>1028</v>
      </c>
      <c r="B49" s="5" t="s">
        <v>1033</v>
      </c>
      <c r="C49" s="5" t="s">
        <v>1034</v>
      </c>
      <c r="D49" s="22"/>
      <c r="F49" s="22"/>
      <c r="G49" s="70" t="str">
        <f aca="false">IF(AND(ISNUMBER(F49),ISNUMBER(D49)),F49-D49,"")</f>
        <v/>
      </c>
      <c r="H49" s="22"/>
      <c r="I49" s="70" t="str">
        <f aca="false">IF(AND(ISNUMBER(H49),ISNUMBER(F49)),H49-F49,"")</f>
        <v/>
      </c>
      <c r="J49" s="22"/>
      <c r="K49" s="70" t="str">
        <f aca="false">IF(AND(ISNUMBER(J49),ISNUMBER(H49)),J49-H49,"")</f>
        <v/>
      </c>
      <c r="L49" s="22"/>
      <c r="M49" s="70" t="str">
        <f aca="false">IF(AND(ISNUMBER(L49),ISNUMBER(J49)),L49-J49,"")</f>
        <v/>
      </c>
    </row>
    <row r="50" customFormat="false" ht="15" hidden="false" customHeight="false" outlineLevel="0" collapsed="false">
      <c r="A50" s="5" t="s">
        <v>1028</v>
      </c>
      <c r="B50" s="5" t="s">
        <v>1036</v>
      </c>
      <c r="C50" s="5" t="s">
        <v>1034</v>
      </c>
      <c r="D50" s="22"/>
      <c r="F50" s="22"/>
      <c r="G50" s="70" t="str">
        <f aca="false">IF(AND(ISNUMBER(F50),ISNUMBER(D50)),F50-D50,"")</f>
        <v/>
      </c>
      <c r="H50" s="22"/>
      <c r="I50" s="70" t="str">
        <f aca="false">IF(AND(ISNUMBER(H50),ISNUMBER(F50)),H50-F50,"")</f>
        <v/>
      </c>
      <c r="J50" s="22"/>
      <c r="K50" s="70" t="str">
        <f aca="false">IF(AND(ISNUMBER(J50),ISNUMBER(H50)),J50-H50,"")</f>
        <v/>
      </c>
      <c r="L50" s="22"/>
      <c r="M50" s="70" t="str">
        <f aca="false">IF(AND(ISNUMBER(L50),ISNUMBER(J50)),L50-J50,"")</f>
        <v/>
      </c>
    </row>
    <row r="51" customFormat="false" ht="15" hidden="false" customHeight="false" outlineLevel="0" collapsed="false">
      <c r="A51" s="5" t="s">
        <v>1028</v>
      </c>
      <c r="B51" s="5" t="s">
        <v>1038</v>
      </c>
      <c r="C51" s="5" t="s">
        <v>1039</v>
      </c>
      <c r="D51" s="38"/>
      <c r="F51" s="38"/>
      <c r="G51" s="71" t="str">
        <f aca="false">IF(AND(ISNUMBER(F51),ISNUMBER(D51)),F51-D51,"")</f>
        <v/>
      </c>
      <c r="H51" s="38"/>
      <c r="I51" s="71" t="str">
        <f aca="false">IF(AND(ISNUMBER(H51),ISNUMBER(F51)),H51-F51,"")</f>
        <v/>
      </c>
      <c r="J51" s="38"/>
      <c r="K51" s="71" t="str">
        <f aca="false">IF(AND(ISNUMBER(J51),ISNUMBER(H51)),J51-H51,"")</f>
        <v/>
      </c>
      <c r="L51" s="38"/>
      <c r="M51" s="71" t="str">
        <f aca="false">IF(AND(ISNUMBER(L51),ISNUMBER(J51)),L51-J51,"")</f>
        <v/>
      </c>
    </row>
    <row r="52" customFormat="false" ht="15" hidden="false" customHeight="false" outlineLevel="0" collapsed="false">
      <c r="A52" s="5" t="s">
        <v>1028</v>
      </c>
      <c r="B52" s="5" t="s">
        <v>1041</v>
      </c>
      <c r="C52" s="5" t="s">
        <v>1039</v>
      </c>
      <c r="D52" s="38"/>
      <c r="F52" s="38"/>
      <c r="G52" s="71" t="str">
        <f aca="false">IF(AND(ISNUMBER(F52),ISNUMBER(D52)),F52-D52,"")</f>
        <v/>
      </c>
      <c r="H52" s="38"/>
      <c r="I52" s="71" t="str">
        <f aca="false">IF(AND(ISNUMBER(H52),ISNUMBER(F52)),H52-F52,"")</f>
        <v/>
      </c>
      <c r="J52" s="38"/>
      <c r="K52" s="71" t="str">
        <f aca="false">IF(AND(ISNUMBER(J52),ISNUMBER(H52)),J52-H52,"")</f>
        <v/>
      </c>
      <c r="L52" s="38"/>
      <c r="M52" s="71" t="str">
        <f aca="false">IF(AND(ISNUMBER(L52),ISNUMBER(J52)),L52-J52,"")</f>
        <v/>
      </c>
    </row>
    <row r="53" customFormat="false" ht="15" hidden="false" customHeight="false" outlineLevel="0" collapsed="false">
      <c r="A53" s="5" t="s">
        <v>1043</v>
      </c>
      <c r="B53" s="5" t="s">
        <v>1044</v>
      </c>
      <c r="C53" s="5" t="s">
        <v>1039</v>
      </c>
      <c r="D53" s="38"/>
      <c r="F53" s="38"/>
      <c r="G53" s="71" t="str">
        <f aca="false">IF(AND(ISNUMBER(F53),ISNUMBER(D53)),F53-D53,"")</f>
        <v/>
      </c>
      <c r="H53" s="38"/>
      <c r="I53" s="71" t="str">
        <f aca="false">IF(AND(ISNUMBER(H53),ISNUMBER(F53)),H53-F53,"")</f>
        <v/>
      </c>
      <c r="J53" s="38"/>
      <c r="K53" s="71" t="str">
        <f aca="false">IF(AND(ISNUMBER(J53),ISNUMBER(H53)),J53-H53,"")</f>
        <v/>
      </c>
      <c r="L53" s="38"/>
      <c r="M53" s="71" t="str">
        <f aca="false">IF(AND(ISNUMBER(L53),ISNUMBER(J53)),L53-J53,"")</f>
        <v/>
      </c>
    </row>
    <row r="54" customFormat="false" ht="15" hidden="false" customHeight="false" outlineLevel="0" collapsed="false">
      <c r="A54" s="5" t="s">
        <v>1043</v>
      </c>
      <c r="B54" s="5" t="s">
        <v>1046</v>
      </c>
      <c r="C54" s="5" t="s">
        <v>1047</v>
      </c>
      <c r="D54" s="62"/>
      <c r="F54" s="62"/>
      <c r="G54" s="69" t="str">
        <f aca="false">IF(AND(ISNUMBER(F54),ISNUMBER(D54)),F54-D54,"")</f>
        <v/>
      </c>
      <c r="H54" s="62"/>
      <c r="I54" s="69" t="str">
        <f aca="false">IF(AND(ISNUMBER(H54),ISNUMBER(F54)),H54-F54,"")</f>
        <v/>
      </c>
      <c r="J54" s="62"/>
      <c r="K54" s="69" t="str">
        <f aca="false">IF(AND(ISNUMBER(J54),ISNUMBER(H54)),J54-H54,"")</f>
        <v/>
      </c>
      <c r="L54" s="62"/>
      <c r="M54" s="69" t="str">
        <f aca="false">IF(AND(ISNUMBER(L54),ISNUMBER(J54)),L54-J54,"")</f>
        <v/>
      </c>
    </row>
    <row r="55" customFormat="false" ht="15" hidden="false" customHeight="false" outlineLevel="0" collapsed="false">
      <c r="A55" s="5" t="s">
        <v>1043</v>
      </c>
      <c r="B55" s="5" t="s">
        <v>1049</v>
      </c>
      <c r="C55" s="5" t="s">
        <v>1039</v>
      </c>
      <c r="D55" s="38"/>
      <c r="F55" s="38"/>
      <c r="G55" s="71" t="str">
        <f aca="false">IF(AND(ISNUMBER(F55),ISNUMBER(D55)),F55-D55,"")</f>
        <v/>
      </c>
      <c r="H55" s="38"/>
      <c r="I55" s="71" t="str">
        <f aca="false">IF(AND(ISNUMBER(H55),ISNUMBER(F55)),H55-F55,"")</f>
        <v/>
      </c>
      <c r="J55" s="38"/>
      <c r="K55" s="71" t="str">
        <f aca="false">IF(AND(ISNUMBER(J55),ISNUMBER(H55)),J55-H55,"")</f>
        <v/>
      </c>
      <c r="L55" s="38"/>
      <c r="M55" s="71" t="str">
        <f aca="false">IF(AND(ISNUMBER(L55),ISNUMBER(J55)),L55-J55,"")</f>
        <v/>
      </c>
    </row>
    <row r="56" customFormat="false" ht="15" hidden="false" customHeight="false" outlineLevel="0" collapsed="false">
      <c r="A56" s="5" t="s">
        <v>1051</v>
      </c>
      <c r="B56" s="5" t="s">
        <v>1052</v>
      </c>
      <c r="C56" s="5" t="s">
        <v>957</v>
      </c>
      <c r="D56" s="24"/>
      <c r="F56" s="24"/>
      <c r="G56" s="68" t="str">
        <f aca="false">IF(AND(ISNUMBER(F56),ISNUMBER(D56)),F56-D56,"")</f>
        <v/>
      </c>
      <c r="H56" s="24"/>
      <c r="I56" s="68" t="str">
        <f aca="false">IF(AND(ISNUMBER(H56),ISNUMBER(F56)),H56-F56,"")</f>
        <v/>
      </c>
      <c r="J56" s="24"/>
      <c r="K56" s="68" t="str">
        <f aca="false">IF(AND(ISNUMBER(J56),ISNUMBER(H56)),J56-H56,"")</f>
        <v/>
      </c>
      <c r="L56" s="24"/>
      <c r="M56" s="68" t="str">
        <f aca="false">IF(AND(ISNUMBER(L56),ISNUMBER(J56)),L56-J56,"")</f>
        <v/>
      </c>
    </row>
    <row r="57" customFormat="false" ht="15" hidden="false" customHeight="false" outlineLevel="0" collapsed="false">
      <c r="A57" s="5" t="s">
        <v>1051</v>
      </c>
      <c r="B57" s="5" t="s">
        <v>1054</v>
      </c>
      <c r="C57" s="5" t="s">
        <v>939</v>
      </c>
      <c r="D57" s="11"/>
      <c r="F57" s="11"/>
      <c r="H57" s="11"/>
      <c r="J57" s="11"/>
      <c r="L57" s="11"/>
    </row>
    <row r="58" customFormat="false" ht="15" hidden="false" customHeight="false" outlineLevel="0" collapsed="false">
      <c r="A58" s="5" t="s">
        <v>1056</v>
      </c>
      <c r="B58" s="5" t="s">
        <v>1057</v>
      </c>
      <c r="C58" s="5" t="s">
        <v>957</v>
      </c>
      <c r="D58" s="24"/>
      <c r="F58" s="24"/>
      <c r="G58" s="68" t="str">
        <f aca="false">IF(AND(ISNUMBER(F58),ISNUMBER(D58)),F58-D58,"")</f>
        <v/>
      </c>
      <c r="H58" s="24"/>
      <c r="I58" s="68" t="str">
        <f aca="false">IF(AND(ISNUMBER(H58),ISNUMBER(F58)),H58-F58,"")</f>
        <v/>
      </c>
      <c r="J58" s="24"/>
      <c r="K58" s="68" t="str">
        <f aca="false">IF(AND(ISNUMBER(J58),ISNUMBER(H58)),J58-H58,"")</f>
        <v/>
      </c>
      <c r="L58" s="24"/>
      <c r="M58" s="68" t="str">
        <f aca="false">IF(AND(ISNUMBER(L58),ISNUMBER(J58)),L58-J58,"")</f>
        <v/>
      </c>
    </row>
    <row r="59" customFormat="false" ht="15" hidden="false" customHeight="false" outlineLevel="0" collapsed="false">
      <c r="A59" s="5" t="s">
        <v>1056</v>
      </c>
      <c r="B59" s="5" t="s">
        <v>1059</v>
      </c>
      <c r="C59" s="5" t="s">
        <v>957</v>
      </c>
      <c r="D59" s="24"/>
      <c r="F59" s="24"/>
      <c r="G59" s="68" t="str">
        <f aca="false">IF(AND(ISNUMBER(F59),ISNUMBER(D59)),F59-D59,"")</f>
        <v/>
      </c>
      <c r="H59" s="24"/>
      <c r="I59" s="68" t="str">
        <f aca="false">IF(AND(ISNUMBER(H59),ISNUMBER(F59)),H59-F59,"")</f>
        <v/>
      </c>
      <c r="J59" s="24"/>
      <c r="K59" s="68" t="str">
        <f aca="false">IF(AND(ISNUMBER(J59),ISNUMBER(H59)),J59-H59,"")</f>
        <v/>
      </c>
      <c r="L59" s="24"/>
      <c r="M59" s="68" t="str">
        <f aca="false">IF(AND(ISNUMBER(L59),ISNUMBER(J59)),L59-J59,"")</f>
        <v/>
      </c>
    </row>
    <row r="60" customFormat="false" ht="15" hidden="false" customHeight="false" outlineLevel="0" collapsed="false">
      <c r="A60" s="5" t="s">
        <v>1056</v>
      </c>
      <c r="B60" s="5" t="s">
        <v>1061</v>
      </c>
      <c r="C60" s="5" t="s">
        <v>1062</v>
      </c>
      <c r="D60" s="24"/>
      <c r="F60" s="24"/>
      <c r="G60" s="68" t="str">
        <f aca="false">IF(AND(ISNUMBER(F60),ISNUMBER(D60)),F60-D60,"")</f>
        <v/>
      </c>
      <c r="H60" s="24"/>
      <c r="I60" s="68" t="str">
        <f aca="false">IF(AND(ISNUMBER(H60),ISNUMBER(F60)),H60-F60,"")</f>
        <v/>
      </c>
      <c r="J60" s="24"/>
      <c r="K60" s="68" t="str">
        <f aca="false">IF(AND(ISNUMBER(J60),ISNUMBER(H60)),J60-H60,"")</f>
        <v/>
      </c>
      <c r="L60" s="24"/>
      <c r="M60" s="68" t="str">
        <f aca="false">IF(AND(ISNUMBER(L60),ISNUMBER(J60)),L60-J60,"")</f>
        <v/>
      </c>
    </row>
    <row r="61" customFormat="false" ht="15" hidden="false" customHeight="false" outlineLevel="0" collapsed="false">
      <c r="A61" s="5" t="s">
        <v>1056</v>
      </c>
      <c r="B61" s="5" t="s">
        <v>1064</v>
      </c>
      <c r="C61" s="5" t="s">
        <v>1062</v>
      </c>
      <c r="D61" s="24"/>
      <c r="F61" s="24"/>
      <c r="G61" s="68" t="str">
        <f aca="false">IF(AND(ISNUMBER(F61),ISNUMBER(D61)),F61-D61,"")</f>
        <v/>
      </c>
      <c r="H61" s="24"/>
      <c r="I61" s="68" t="str">
        <f aca="false">IF(AND(ISNUMBER(H61),ISNUMBER(F61)),H61-F61,"")</f>
        <v/>
      </c>
      <c r="J61" s="24"/>
      <c r="K61" s="68" t="str">
        <f aca="false">IF(AND(ISNUMBER(J61),ISNUMBER(H61)),J61-H61,"")</f>
        <v/>
      </c>
      <c r="L61" s="24"/>
      <c r="M61" s="68" t="str">
        <f aca="false">IF(AND(ISNUMBER(L61),ISNUMBER(J61)),L61-J61,"")</f>
        <v/>
      </c>
    </row>
    <row r="62" customFormat="false" ht="15" hidden="false" customHeight="false" outlineLevel="0" collapsed="false">
      <c r="A62" s="5" t="s">
        <v>1056</v>
      </c>
      <c r="B62" s="5" t="s">
        <v>1066</v>
      </c>
      <c r="C62" s="5" t="s">
        <v>613</v>
      </c>
      <c r="D62" s="62"/>
      <c r="F62" s="62"/>
      <c r="G62" s="69" t="str">
        <f aca="false">IF(AND(ISNUMBER(F62),ISNUMBER(D62)),F62-D62,"")</f>
        <v/>
      </c>
      <c r="H62" s="62"/>
      <c r="I62" s="69" t="str">
        <f aca="false">IF(AND(ISNUMBER(H62),ISNUMBER(F62)),H62-F62,"")</f>
        <v/>
      </c>
      <c r="J62" s="62"/>
      <c r="K62" s="69" t="str">
        <f aca="false">IF(AND(ISNUMBER(J62),ISNUMBER(H62)),J62-H62,"")</f>
        <v/>
      </c>
      <c r="L62" s="62"/>
      <c r="M62" s="69" t="str">
        <f aca="false">IF(AND(ISNUMBER(L62),ISNUMBER(J62)),L62-J62,"")</f>
        <v/>
      </c>
    </row>
    <row r="64" customFormat="false" ht="15" hidden="false" customHeight="false" outlineLevel="0" collapsed="false">
      <c r="A64" s="64" t="s">
        <v>1116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</row>
    <row r="65" customFormat="false" ht="15" hidden="false" customHeight="false" outlineLevel="0" collapsed="false">
      <c r="A65" s="5" t="s">
        <v>1117</v>
      </c>
      <c r="B65" s="20" t="s">
        <v>105</v>
      </c>
      <c r="D65" s="72" t="n">
        <v>1.85</v>
      </c>
      <c r="F65" s="72" t="n">
        <v>2.1</v>
      </c>
      <c r="G65" s="73" t="n">
        <f aca="false">IF(AND(ISNUMBER(F65),ISNUMBER(D65)),F65-D65,"")</f>
        <v>0.25</v>
      </c>
      <c r="H65" s="72" t="n">
        <v>2.32</v>
      </c>
      <c r="I65" s="73" t="n">
        <f aca="false">IF(AND(ISNUMBER(H65),ISNUMBER(F65)),H65-F65,"")</f>
        <v>0.22</v>
      </c>
      <c r="J65" s="72"/>
      <c r="K65" s="73" t="str">
        <f aca="false">IF(AND(ISNUMBER(J65),ISNUMBER(H65)),J65-H65,"")</f>
        <v/>
      </c>
      <c r="L65" s="72"/>
      <c r="M65" s="73" t="str">
        <f aca="false">IF(AND(ISNUMBER(L65),ISNUMBER(J65)),L65-J65,"")</f>
        <v/>
      </c>
    </row>
    <row r="66" customFormat="false" ht="15" hidden="false" customHeight="false" outlineLevel="0" collapsed="false">
      <c r="A66" s="5" t="s">
        <v>1117</v>
      </c>
      <c r="B66" s="5" t="s">
        <v>1118</v>
      </c>
      <c r="D66" s="72" t="n">
        <v>2</v>
      </c>
      <c r="F66" s="72" t="n">
        <v>2.15</v>
      </c>
      <c r="G66" s="73" t="n">
        <f aca="false">IF(AND(ISNUMBER(F66),ISNUMBER(D66)),F66-D66,"")</f>
        <v>0.15</v>
      </c>
      <c r="H66" s="72" t="n">
        <v>2.3</v>
      </c>
      <c r="I66" s="73" t="n">
        <f aca="false">IF(AND(ISNUMBER(H66),ISNUMBER(F66)),H66-F66,"")</f>
        <v>0.15</v>
      </c>
      <c r="J66" s="72"/>
      <c r="K66" s="73" t="str">
        <f aca="false">IF(AND(ISNUMBER(J66),ISNUMBER(H66)),J66-H66,"")</f>
        <v/>
      </c>
      <c r="L66" s="72"/>
      <c r="M66" s="73" t="str">
        <f aca="false">IF(AND(ISNUMBER(L66),ISNUMBER(J66)),L66-J66,"")</f>
        <v/>
      </c>
    </row>
    <row r="67" customFormat="false" ht="15" hidden="false" customHeight="false" outlineLevel="0" collapsed="false">
      <c r="A67" s="5" t="s">
        <v>1117</v>
      </c>
      <c r="B67" s="20" t="s">
        <v>1119</v>
      </c>
      <c r="D67" s="22" t="n">
        <v>0.142</v>
      </c>
      <c r="F67" s="22" t="n">
        <v>0.155</v>
      </c>
      <c r="G67" s="70" t="n">
        <f aca="false">IF(AND(ISNUMBER(F67),ISNUMBER(D67)),F67-D67,"")</f>
        <v>0.013</v>
      </c>
      <c r="H67" s="22" t="n">
        <v>0.168</v>
      </c>
      <c r="I67" s="70" t="n">
        <f aca="false">IF(AND(ISNUMBER(H67),ISNUMBER(F67)),H67-F67,"")</f>
        <v>0.013</v>
      </c>
      <c r="J67" s="22"/>
      <c r="K67" s="70" t="str">
        <f aca="false">IF(AND(ISNUMBER(J67),ISNUMBER(H67)),J67-H67,"")</f>
        <v/>
      </c>
      <c r="L67" s="22"/>
      <c r="M67" s="70" t="str">
        <f aca="false">IF(AND(ISNUMBER(L67),ISNUMBER(J67)),L67-J67,"")</f>
        <v/>
      </c>
    </row>
    <row r="68" customFormat="false" ht="15" hidden="false" customHeight="false" outlineLevel="0" collapsed="false">
      <c r="A68" s="5" t="s">
        <v>1117</v>
      </c>
      <c r="B68" s="5" t="s">
        <v>1120</v>
      </c>
      <c r="D68" s="22" t="n">
        <v>0.15</v>
      </c>
      <c r="F68" s="22" t="n">
        <v>0.155</v>
      </c>
      <c r="G68" s="70" t="n">
        <f aca="false">IF(AND(ISNUMBER(F68),ISNUMBER(D68)),F68-D68,"")</f>
        <v>0.005</v>
      </c>
      <c r="H68" s="22" t="n">
        <v>0.16</v>
      </c>
      <c r="I68" s="70" t="n">
        <f aca="false">IF(AND(ISNUMBER(H68),ISNUMBER(F68)),H68-F68,"")</f>
        <v>0.005</v>
      </c>
      <c r="J68" s="22"/>
      <c r="K68" s="70" t="str">
        <f aca="false">IF(AND(ISNUMBER(J68),ISNUMBER(H68)),J68-H68,"")</f>
        <v/>
      </c>
      <c r="L68" s="22"/>
      <c r="M68" s="70" t="str">
        <f aca="false">IF(AND(ISNUMBER(L68),ISNUMBER(J68)),L68-J68,"")</f>
        <v/>
      </c>
    </row>
    <row r="69" customFormat="false" ht="15" hidden="false" customHeight="false" outlineLevel="0" collapsed="false">
      <c r="A69" s="5" t="s">
        <v>1117</v>
      </c>
      <c r="B69" s="20" t="s">
        <v>1121</v>
      </c>
      <c r="D69" s="72" t="n">
        <v>22.4</v>
      </c>
      <c r="F69" s="72" t="n">
        <v>26.1</v>
      </c>
      <c r="G69" s="73" t="n">
        <f aca="false">IF(AND(ISNUMBER(F69),ISNUMBER(D69)),F69-D69,"")</f>
        <v>3.7</v>
      </c>
      <c r="H69" s="72" t="n">
        <v>29.5</v>
      </c>
      <c r="I69" s="73" t="n">
        <f aca="false">IF(AND(ISNUMBER(H69),ISNUMBER(F69)),H69-F69,"")</f>
        <v>3.4</v>
      </c>
      <c r="J69" s="72"/>
      <c r="K69" s="73" t="str">
        <f aca="false">IF(AND(ISNUMBER(J69),ISNUMBER(H69)),J69-H69,"")</f>
        <v/>
      </c>
      <c r="L69" s="72"/>
      <c r="M69" s="73" t="str">
        <f aca="false">IF(AND(ISNUMBER(L69),ISNUMBER(J69)),L69-J69,"")</f>
        <v/>
      </c>
    </row>
    <row r="70" customFormat="false" ht="15" hidden="false" customHeight="false" outlineLevel="0" collapsed="false">
      <c r="A70" s="5" t="s">
        <v>1117</v>
      </c>
      <c r="B70" s="5" t="s">
        <v>1122</v>
      </c>
      <c r="D70" s="72" t="n">
        <v>25</v>
      </c>
      <c r="F70" s="72" t="n">
        <v>27</v>
      </c>
      <c r="G70" s="73" t="n">
        <f aca="false">IF(AND(ISNUMBER(F70),ISNUMBER(D70)),F70-D70,"")</f>
        <v>2</v>
      </c>
      <c r="H70" s="72" t="n">
        <v>29</v>
      </c>
      <c r="I70" s="73" t="n">
        <f aca="false">IF(AND(ISNUMBER(H70),ISNUMBER(F70)),H70-F70,"")</f>
        <v>2</v>
      </c>
      <c r="J70" s="72"/>
      <c r="K70" s="73" t="str">
        <f aca="false">IF(AND(ISNUMBER(J70),ISNUMBER(H70)),J70-H70,"")</f>
        <v/>
      </c>
      <c r="L70" s="72"/>
      <c r="M70" s="73" t="str">
        <f aca="false">IF(AND(ISNUMBER(L70),ISNUMBER(J70)),L70-J70,"")</f>
        <v/>
      </c>
    </row>
    <row r="71" customFormat="false" ht="15" hidden="false" customHeight="false" outlineLevel="0" collapsed="false">
      <c r="A71" s="5" t="s">
        <v>1117</v>
      </c>
      <c r="B71" s="5" t="s">
        <v>136</v>
      </c>
      <c r="D71" s="11" t="s">
        <v>1110</v>
      </c>
      <c r="F71" s="11" t="s">
        <v>1109</v>
      </c>
      <c r="H71" s="11" t="s">
        <v>1108</v>
      </c>
      <c r="J71" s="11"/>
      <c r="L71" s="11"/>
    </row>
    <row r="72" customFormat="false" ht="15" hidden="false" customHeight="false" outlineLevel="0" collapsed="false">
      <c r="A72" s="5" t="s">
        <v>1117</v>
      </c>
      <c r="B72" s="5" t="s">
        <v>1123</v>
      </c>
      <c r="D72" s="11" t="s">
        <v>1108</v>
      </c>
      <c r="F72" s="11" t="s">
        <v>1108</v>
      </c>
      <c r="H72" s="11" t="s">
        <v>1108</v>
      </c>
      <c r="J72" s="11"/>
      <c r="L72" s="11"/>
    </row>
    <row r="73" customFormat="false" ht="15" hidden="false" customHeight="false" outlineLevel="0" collapsed="false">
      <c r="A73" s="5" t="s">
        <v>1117</v>
      </c>
      <c r="B73" s="20" t="s">
        <v>1124</v>
      </c>
      <c r="D73" s="26" t="n">
        <f aca="false">IF(D71="","",IFERROR(22-MATCH(D71,CreditScale,0),""))</f>
        <v>8</v>
      </c>
      <c r="F73" s="26" t="n">
        <f aca="false">IF(F71="","",IFERROR(22-MATCH(F71,CreditScale,0),""))</f>
        <v>9</v>
      </c>
      <c r="G73" s="67" t="n">
        <f aca="false">IF(AND(ISNUMBER(F73),ISNUMBER(D73)),F73-D73,"")</f>
        <v>1</v>
      </c>
      <c r="H73" s="26" t="n">
        <f aca="false">IF(H71="","",IFERROR(22-MATCH(H71,CreditScale,0),""))</f>
        <v>10</v>
      </c>
      <c r="I73" s="67" t="n">
        <f aca="false">IF(AND(ISNUMBER(H73),ISNUMBER(F73)),H73-F73,"")</f>
        <v>1</v>
      </c>
      <c r="J73" s="26" t="str">
        <f aca="false">IF(J71="","",IFERROR(22-MATCH(J71,CreditScale,0),""))</f>
        <v/>
      </c>
      <c r="K73" s="67" t="str">
        <f aca="false">IF(AND(ISNUMBER(J73),ISNUMBER(H73)),J73-H73,"")</f>
        <v/>
      </c>
      <c r="L73" s="26" t="str">
        <f aca="false">IF(L71="","",IFERROR(22-MATCH(L71,CreditScale,0),""))</f>
        <v/>
      </c>
      <c r="M73" s="67" t="str">
        <f aca="false">IF(AND(ISNUMBER(L73),ISNUMBER(J73)),L73-J73,"")</f>
        <v/>
      </c>
    </row>
    <row r="74" customFormat="false" ht="15" hidden="false" customHeight="false" outlineLevel="0" collapsed="false">
      <c r="A74" s="5" t="s">
        <v>1117</v>
      </c>
      <c r="B74" s="20" t="s">
        <v>1125</v>
      </c>
      <c r="D74" s="19" t="n">
        <v>68</v>
      </c>
      <c r="F74" s="19" t="n">
        <v>71</v>
      </c>
      <c r="G74" s="67" t="n">
        <f aca="false">IF(AND(ISNUMBER(F74),ISNUMBER(D74)),F74-D74,"")</f>
        <v>3</v>
      </c>
      <c r="H74" s="19" t="n">
        <v>74</v>
      </c>
      <c r="I74" s="67" t="n">
        <f aca="false">IF(AND(ISNUMBER(H74),ISNUMBER(F74)),H74-F74,"")</f>
        <v>3</v>
      </c>
      <c r="J74" s="19"/>
      <c r="K74" s="67" t="str">
        <f aca="false">IF(AND(ISNUMBER(J74),ISNUMBER(H74)),J74-H74,"")</f>
        <v/>
      </c>
      <c r="L74" s="19"/>
      <c r="M74" s="67" t="str">
        <f aca="false">IF(AND(ISNUMBER(L74),ISNUMBER(J74)),L74-J74,"")</f>
        <v/>
      </c>
    </row>
    <row r="75" customFormat="false" ht="15" hidden="false" customHeight="false" outlineLevel="0" collapsed="false">
      <c r="A75" s="5" t="s">
        <v>1117</v>
      </c>
      <c r="B75" s="5" t="s">
        <v>1126</v>
      </c>
      <c r="D75" s="19" t="n">
        <v>70</v>
      </c>
      <c r="F75" s="19" t="n">
        <v>72</v>
      </c>
      <c r="G75" s="67" t="n">
        <f aca="false">IF(AND(ISNUMBER(F75),ISNUMBER(D75)),F75-D75,"")</f>
        <v>2</v>
      </c>
      <c r="H75" s="19" t="n">
        <v>74</v>
      </c>
      <c r="I75" s="67" t="n">
        <f aca="false">IF(AND(ISNUMBER(H75),ISNUMBER(F75)),H75-F75,"")</f>
        <v>2</v>
      </c>
      <c r="J75" s="19"/>
      <c r="K75" s="67" t="str">
        <f aca="false">IF(AND(ISNUMBER(J75),ISNUMBER(H75)),J75-H75,"")</f>
        <v/>
      </c>
      <c r="L75" s="19"/>
      <c r="M75" s="67" t="str">
        <f aca="false">IF(AND(ISNUMBER(L75),ISNUMBER(J75)),L75-J75,"")</f>
        <v/>
      </c>
    </row>
    <row r="76" customFormat="false" ht="15" hidden="false" customHeight="false" outlineLevel="0" collapsed="false">
      <c r="A76" s="5" t="s">
        <v>221</v>
      </c>
      <c r="B76" s="20" t="s">
        <v>1127</v>
      </c>
      <c r="D76" s="19" t="n">
        <v>78</v>
      </c>
      <c r="F76" s="19" t="n">
        <v>84</v>
      </c>
      <c r="G76" s="67" t="n">
        <f aca="false">IF(AND(ISNUMBER(F76),ISNUMBER(D76)),F76-D76,"")</f>
        <v>6</v>
      </c>
      <c r="H76" s="19" t="n">
        <v>89</v>
      </c>
      <c r="I76" s="67" t="n">
        <f aca="false">IF(AND(ISNUMBER(H76),ISNUMBER(F76)),H76-F76,"")</f>
        <v>5</v>
      </c>
      <c r="J76" s="19"/>
      <c r="K76" s="67" t="str">
        <f aca="false">IF(AND(ISNUMBER(J76),ISNUMBER(H76)),J76-H76,"")</f>
        <v/>
      </c>
      <c r="L76" s="19"/>
      <c r="M76" s="67" t="str">
        <f aca="false">IF(AND(ISNUMBER(L76),ISNUMBER(J76)),L76-J76,"")</f>
        <v/>
      </c>
    </row>
    <row r="77" customFormat="false" ht="15" hidden="false" customHeight="false" outlineLevel="0" collapsed="false">
      <c r="A77" s="5" t="s">
        <v>221</v>
      </c>
      <c r="B77" s="20" t="s">
        <v>1128</v>
      </c>
      <c r="D77" s="19" t="n">
        <v>3</v>
      </c>
      <c r="F77" s="19" t="n">
        <v>2</v>
      </c>
      <c r="G77" s="67" t="n">
        <f aca="false">IF(AND(ISNUMBER(F77),ISNUMBER(D77)),F77-D77,"")</f>
        <v>-1</v>
      </c>
      <c r="H77" s="19" t="n">
        <v>1</v>
      </c>
      <c r="I77" s="67" t="n">
        <f aca="false">IF(AND(ISNUMBER(H77),ISNUMBER(F77)),H77-F77,"")</f>
        <v>-1</v>
      </c>
      <c r="J77" s="19"/>
      <c r="K77" s="67" t="str">
        <f aca="false">IF(AND(ISNUMBER(J77),ISNUMBER(H77)),J77-H77,"")</f>
        <v/>
      </c>
      <c r="L77" s="19"/>
      <c r="M77" s="67" t="str">
        <f aca="false">IF(AND(ISNUMBER(L77),ISNUMBER(J77)),L77-J77,"")</f>
        <v/>
      </c>
    </row>
    <row r="78" customFormat="false" ht="15" hidden="false" customHeight="false" outlineLevel="0" collapsed="false">
      <c r="A78" s="5" t="s">
        <v>221</v>
      </c>
      <c r="B78" s="20" t="s">
        <v>1129</v>
      </c>
      <c r="D78" s="24" t="n">
        <v>412000</v>
      </c>
      <c r="F78" s="24" t="n">
        <v>455000</v>
      </c>
      <c r="G78" s="68" t="n">
        <f aca="false">IF(AND(ISNUMBER(F78),ISNUMBER(D78)),F78-D78,"")</f>
        <v>43000</v>
      </c>
      <c r="H78" s="24" t="n">
        <v>498000</v>
      </c>
      <c r="I78" s="68" t="n">
        <f aca="false">IF(AND(ISNUMBER(H78),ISNUMBER(F78)),H78-F78,"")</f>
        <v>43000</v>
      </c>
      <c r="J78" s="24"/>
      <c r="K78" s="68" t="str">
        <f aca="false">IF(AND(ISNUMBER(J78),ISNUMBER(H78)),J78-H78,"")</f>
        <v/>
      </c>
      <c r="L78" s="24"/>
      <c r="M78" s="68" t="str">
        <f aca="false">IF(AND(ISNUMBER(L78),ISNUMBER(J78)),L78-J78,"")</f>
        <v/>
      </c>
    </row>
    <row r="79" customFormat="false" ht="15" hidden="false" customHeight="false" outlineLevel="0" collapsed="false">
      <c r="A79" s="5" t="s">
        <v>221</v>
      </c>
      <c r="B79" s="20" t="s">
        <v>1130</v>
      </c>
      <c r="D79" s="24" t="n">
        <v>18500</v>
      </c>
      <c r="F79" s="24" t="n">
        <v>21900</v>
      </c>
      <c r="G79" s="68" t="n">
        <f aca="false">IF(AND(ISNUMBER(F79),ISNUMBER(D79)),F79-D79,"")</f>
        <v>3400</v>
      </c>
      <c r="H79" s="24" t="n">
        <v>24800</v>
      </c>
      <c r="I79" s="68" t="n">
        <f aca="false">IF(AND(ISNUMBER(H79),ISNUMBER(F79)),H79-F79,"")</f>
        <v>2900</v>
      </c>
      <c r="J79" s="24"/>
      <c r="K79" s="68" t="str">
        <f aca="false">IF(AND(ISNUMBER(J79),ISNUMBER(H79)),J79-H79,"")</f>
        <v/>
      </c>
      <c r="L79" s="24"/>
      <c r="M79" s="68" t="str">
        <f aca="false">IF(AND(ISNUMBER(L79),ISNUMBER(J79)),L79-J79,"")</f>
        <v/>
      </c>
    </row>
    <row r="80" customFormat="false" ht="15" hidden="false" customHeight="false" outlineLevel="0" collapsed="false">
      <c r="A80" s="5" t="s">
        <v>221</v>
      </c>
      <c r="B80" s="20" t="s">
        <v>1131</v>
      </c>
      <c r="D80" s="24" t="n">
        <v>14200</v>
      </c>
      <c r="F80" s="24" t="n">
        <v>19800</v>
      </c>
      <c r="G80" s="68" t="n">
        <f aca="false">IF(AND(ISNUMBER(F80),ISNUMBER(D80)),F80-D80,"")</f>
        <v>5600</v>
      </c>
      <c r="H80" s="24" t="n">
        <v>23500</v>
      </c>
      <c r="I80" s="68" t="n">
        <f aca="false">IF(AND(ISNUMBER(H80),ISNUMBER(F80)),H80-F80,"")</f>
        <v>3700</v>
      </c>
      <c r="J80" s="24"/>
      <c r="K80" s="68" t="str">
        <f aca="false">IF(AND(ISNUMBER(J80),ISNUMBER(H80)),J80-H80,"")</f>
        <v/>
      </c>
      <c r="L80" s="24"/>
      <c r="M80" s="68" t="str">
        <f aca="false">IF(AND(ISNUMBER(L80),ISNUMBER(J80)),L80-J80,"")</f>
        <v/>
      </c>
    </row>
    <row r="81" customFormat="false" ht="15" hidden="false" customHeight="false" outlineLevel="0" collapsed="false">
      <c r="A81" s="5" t="s">
        <v>1132</v>
      </c>
      <c r="B81" s="20" t="s">
        <v>1133</v>
      </c>
      <c r="D81" s="24" t="n">
        <v>1450</v>
      </c>
      <c r="F81" s="24" t="n">
        <v>1610</v>
      </c>
      <c r="G81" s="68" t="n">
        <f aca="false">IF(AND(ISNUMBER(F81),ISNUMBER(D81)),F81-D81,"")</f>
        <v>160</v>
      </c>
      <c r="H81" s="24" t="n">
        <v>1720</v>
      </c>
      <c r="I81" s="68" t="n">
        <f aca="false">IF(AND(ISNUMBER(H81),ISNUMBER(F81)),H81-F81,"")</f>
        <v>110</v>
      </c>
      <c r="J81" s="24"/>
      <c r="K81" s="68" t="str">
        <f aca="false">IF(AND(ISNUMBER(J81),ISNUMBER(H81)),J81-H81,"")</f>
        <v/>
      </c>
      <c r="L81" s="24"/>
      <c r="M81" s="68" t="str">
        <f aca="false">IF(AND(ISNUMBER(L81),ISNUMBER(J81)),L81-J81,"")</f>
        <v/>
      </c>
    </row>
    <row r="82" customFormat="false" ht="15" hidden="false" customHeight="false" outlineLevel="0" collapsed="false">
      <c r="A82" s="5" t="s">
        <v>1132</v>
      </c>
      <c r="B82" s="5" t="s">
        <v>1134</v>
      </c>
      <c r="D82" s="38" t="n">
        <v>264</v>
      </c>
      <c r="F82" s="38" t="n">
        <v>259</v>
      </c>
      <c r="G82" s="71" t="n">
        <f aca="false">IF(AND(ISNUMBER(F82),ISNUMBER(D82)),F82-D82,"")</f>
        <v>-5</v>
      </c>
      <c r="H82" s="38" t="n">
        <v>255</v>
      </c>
      <c r="I82" s="71" t="n">
        <f aca="false">IF(AND(ISNUMBER(H82),ISNUMBER(F82)),H82-F82,"")</f>
        <v>-4</v>
      </c>
      <c r="J82" s="38"/>
      <c r="K82" s="71" t="str">
        <f aca="false">IF(AND(ISNUMBER(J82),ISNUMBER(H82)),J82-H82,"")</f>
        <v/>
      </c>
      <c r="L82" s="38"/>
      <c r="M82" s="71" t="str">
        <f aca="false">IF(AND(ISNUMBER(L82),ISNUMBER(J82)),L82-J82,"")</f>
        <v/>
      </c>
    </row>
    <row r="83" customFormat="false" ht="15" hidden="false" customHeight="false" outlineLevel="0" collapsed="false">
      <c r="A83" s="5" t="s">
        <v>1132</v>
      </c>
      <c r="B83" s="5" t="s">
        <v>1135</v>
      </c>
      <c r="D83" s="38" t="n">
        <v>276</v>
      </c>
      <c r="F83" s="38" t="n">
        <v>271</v>
      </c>
      <c r="G83" s="71" t="n">
        <f aca="false">IF(AND(ISNUMBER(F83),ISNUMBER(D83)),F83-D83,"")</f>
        <v>-5</v>
      </c>
      <c r="H83" s="38" t="n">
        <v>268</v>
      </c>
      <c r="I83" s="71" t="n">
        <f aca="false">IF(AND(ISNUMBER(H83),ISNUMBER(F83)),H83-F83,"")</f>
        <v>-3</v>
      </c>
      <c r="J83" s="38"/>
      <c r="K83" s="71" t="str">
        <f aca="false">IF(AND(ISNUMBER(J83),ISNUMBER(H83)),J83-H83,"")</f>
        <v/>
      </c>
      <c r="L83" s="38"/>
      <c r="M83" s="71" t="str">
        <f aca="false">IF(AND(ISNUMBER(L83),ISNUMBER(J83)),L83-J83,"")</f>
        <v/>
      </c>
    </row>
    <row r="84" customFormat="false" ht="15" hidden="false" customHeight="false" outlineLevel="0" collapsed="false">
      <c r="A84" s="5" t="s">
        <v>1132</v>
      </c>
      <c r="B84" s="5" t="s">
        <v>1136</v>
      </c>
      <c r="D84" s="25" t="n">
        <f aca="false">IF(AND(ISNUMBER(D82),ISNUMBER(D83)),D82/D83-1,"")</f>
        <v>-0.0434782608695652</v>
      </c>
      <c r="F84" s="25" t="n">
        <f aca="false">IF(AND(ISNUMBER(F82),ISNUMBER(F83)),F82/F83-1,"")</f>
        <v>-0.044280442804428</v>
      </c>
      <c r="G84" s="70" t="n">
        <f aca="false">IF(AND(ISNUMBER(F84),ISNUMBER(D84)),F84-D84,"")</f>
        <v>-0.000802181934862811</v>
      </c>
      <c r="H84" s="25" t="n">
        <f aca="false">IF(AND(ISNUMBER(H82),ISNUMBER(H83)),H82/H83-1,"")</f>
        <v>-0.0485074626865671</v>
      </c>
      <c r="I84" s="70" t="n">
        <f aca="false">IF(AND(ISNUMBER(H84),ISNUMBER(F84)),H84-F84,"")</f>
        <v>-0.00422701988213914</v>
      </c>
      <c r="J84" s="25" t="str">
        <f aca="false">IF(AND(ISNUMBER(J82),ISNUMBER(J83)),J82/J83-1,"")</f>
        <v/>
      </c>
      <c r="K84" s="70" t="str">
        <f aca="false">IF(AND(ISNUMBER(J84),ISNUMBER(H84)),J84-H84,"")</f>
        <v/>
      </c>
      <c r="L84" s="25" t="str">
        <f aca="false">IF(AND(ISNUMBER(L82),ISNUMBER(L83)),L82/L83-1,"")</f>
        <v/>
      </c>
      <c r="M84" s="70" t="str">
        <f aca="false">IF(AND(ISNUMBER(L84),ISNUMBER(J84)),L84-J84,"")</f>
        <v/>
      </c>
    </row>
    <row r="85" customFormat="false" ht="15" hidden="false" customHeight="false" outlineLevel="0" collapsed="false">
      <c r="A85" s="5" t="s">
        <v>1132</v>
      </c>
      <c r="B85" s="20" t="s">
        <v>1137</v>
      </c>
      <c r="D85" s="28" t="n">
        <v>4</v>
      </c>
      <c r="F85" s="28" t="n">
        <v>4.2</v>
      </c>
      <c r="G85" s="66" t="n">
        <f aca="false">IF(AND(ISNUMBER(F85),ISNUMBER(D85)),F85-D85,"")</f>
        <v>0.2</v>
      </c>
      <c r="H85" s="28" t="n">
        <v>4.3</v>
      </c>
      <c r="I85" s="66" t="n">
        <f aca="false">IF(AND(ISNUMBER(H85),ISNUMBER(F85)),H85-F85,"")</f>
        <v>0.0999999999999996</v>
      </c>
      <c r="J85" s="28"/>
      <c r="K85" s="66" t="str">
        <f aca="false">IF(AND(ISNUMBER(J85),ISNUMBER(H85)),J85-H85,"")</f>
        <v/>
      </c>
      <c r="L85" s="28"/>
      <c r="M85" s="66" t="str">
        <f aca="false">IF(AND(ISNUMBER(L85),ISNUMBER(J85)),L85-J85,"")</f>
        <v/>
      </c>
    </row>
    <row r="86" customFormat="false" ht="15" hidden="false" customHeight="false" outlineLevel="0" collapsed="false">
      <c r="A86" s="5" t="s">
        <v>1132</v>
      </c>
      <c r="B86" s="5" t="s">
        <v>1138</v>
      </c>
      <c r="D86" s="28" t="n">
        <v>4</v>
      </c>
      <c r="F86" s="28" t="n">
        <v>4.1</v>
      </c>
      <c r="G86" s="66" t="n">
        <f aca="false">IF(AND(ISNUMBER(F86),ISNUMBER(D86)),F86-D86,"")</f>
        <v>0.0999999999999996</v>
      </c>
      <c r="H86" s="28" t="n">
        <v>4.2</v>
      </c>
      <c r="I86" s="66" t="n">
        <f aca="false">IF(AND(ISNUMBER(H86),ISNUMBER(F86)),H86-F86,"")</f>
        <v>0.100000000000001</v>
      </c>
      <c r="J86" s="28"/>
      <c r="K86" s="66" t="str">
        <f aca="false">IF(AND(ISNUMBER(J86),ISNUMBER(H86)),J86-H86,"")</f>
        <v/>
      </c>
      <c r="L86" s="28"/>
      <c r="M86" s="66" t="str">
        <f aca="false">IF(AND(ISNUMBER(L86),ISNUMBER(J86)),L86-J86,"")</f>
        <v/>
      </c>
    </row>
    <row r="87" customFormat="false" ht="15" hidden="false" customHeight="false" outlineLevel="0" collapsed="false">
      <c r="A87" s="5" t="s">
        <v>1132</v>
      </c>
      <c r="B87" s="20" t="s">
        <v>1139</v>
      </c>
      <c r="D87" s="38" t="n">
        <v>182</v>
      </c>
      <c r="F87" s="38" t="n">
        <v>176</v>
      </c>
      <c r="G87" s="71" t="n">
        <f aca="false">IF(AND(ISNUMBER(F87),ISNUMBER(D87)),F87-D87,"")</f>
        <v>-6</v>
      </c>
      <c r="H87" s="38" t="n">
        <v>171</v>
      </c>
      <c r="I87" s="71" t="n">
        <f aca="false">IF(AND(ISNUMBER(H87),ISNUMBER(F87)),H87-F87,"")</f>
        <v>-5</v>
      </c>
      <c r="J87" s="38"/>
      <c r="K87" s="71" t="str">
        <f aca="false">IF(AND(ISNUMBER(J87),ISNUMBER(H87)),J87-H87,"")</f>
        <v/>
      </c>
      <c r="L87" s="38"/>
      <c r="M87" s="71" t="str">
        <f aca="false">IF(AND(ISNUMBER(L87),ISNUMBER(J87)),L87-J87,"")</f>
        <v/>
      </c>
    </row>
    <row r="88" customFormat="false" ht="15" hidden="false" customHeight="false" outlineLevel="0" collapsed="false">
      <c r="A88" s="5" t="s">
        <v>1132</v>
      </c>
      <c r="B88" s="5" t="s">
        <v>1140</v>
      </c>
      <c r="D88" s="38" t="n">
        <v>186</v>
      </c>
      <c r="F88" s="38" t="n">
        <v>184</v>
      </c>
      <c r="G88" s="71" t="n">
        <f aca="false">IF(AND(ISNUMBER(F88),ISNUMBER(D88)),F88-D88,"")</f>
        <v>-2</v>
      </c>
      <c r="H88" s="38" t="n">
        <v>181</v>
      </c>
      <c r="I88" s="71" t="n">
        <f aca="false">IF(AND(ISNUMBER(H88),ISNUMBER(F88)),H88-F88,"")</f>
        <v>-3</v>
      </c>
      <c r="J88" s="38"/>
      <c r="K88" s="71" t="str">
        <f aca="false">IF(AND(ISNUMBER(J88),ISNUMBER(H88)),J88-H88,"")</f>
        <v/>
      </c>
      <c r="L88" s="38"/>
      <c r="M88" s="71" t="str">
        <f aca="false">IF(AND(ISNUMBER(L88),ISNUMBER(J88)),L88-J88,"")</f>
        <v/>
      </c>
    </row>
    <row r="89" customFormat="false" ht="15" hidden="false" customHeight="false" outlineLevel="0" collapsed="false">
      <c r="A89" s="5" t="s">
        <v>1132</v>
      </c>
      <c r="B89" s="20" t="s">
        <v>1141</v>
      </c>
      <c r="D89" s="25" t="n">
        <f aca="false">IF(AND(ISNUMBER(D87),ISNUMBER(D88)),D87/D88-1,"")</f>
        <v>-0.021505376344086</v>
      </c>
      <c r="F89" s="25" t="n">
        <f aca="false">IF(AND(ISNUMBER(F87),ISNUMBER(F88)),F87/F88-1,"")</f>
        <v>-0.0434782608695652</v>
      </c>
      <c r="G89" s="70" t="n">
        <f aca="false">IF(AND(ISNUMBER(F89),ISNUMBER(D89)),F89-D89,"")</f>
        <v>-0.0219728845254792</v>
      </c>
      <c r="H89" s="25" t="n">
        <f aca="false">IF(AND(ISNUMBER(H87),ISNUMBER(H88)),H87/H88-1,"")</f>
        <v>-0.0552486187845304</v>
      </c>
      <c r="I89" s="70" t="n">
        <f aca="false">IF(AND(ISNUMBER(H89),ISNUMBER(F89)),H89-F89,"")</f>
        <v>-0.0117703579149652</v>
      </c>
      <c r="J89" s="25" t="str">
        <f aca="false">IF(AND(ISNUMBER(J87),ISNUMBER(J88)),J87/J88-1,"")</f>
        <v/>
      </c>
      <c r="K89" s="70" t="str">
        <f aca="false">IF(AND(ISNUMBER(J89),ISNUMBER(H89)),J89-H89,"")</f>
        <v/>
      </c>
      <c r="L89" s="25" t="str">
        <f aca="false">IF(AND(ISNUMBER(L87),ISNUMBER(L88)),L87/L88-1,"")</f>
        <v/>
      </c>
      <c r="M89" s="70" t="str">
        <f aca="false">IF(AND(ISNUMBER(L89),ISNUMBER(J89)),L89-J89,"")</f>
        <v/>
      </c>
    </row>
    <row r="90" customFormat="false" ht="15" hidden="false" customHeight="false" outlineLevel="0" collapsed="false">
      <c r="A90" s="5" t="s">
        <v>1132</v>
      </c>
      <c r="B90" s="20" t="s">
        <v>1142</v>
      </c>
      <c r="D90" s="22" t="n">
        <v>0.11</v>
      </c>
      <c r="F90" s="22" t="n">
        <v>0.125</v>
      </c>
      <c r="G90" s="70" t="n">
        <f aca="false">IF(AND(ISNUMBER(F90),ISNUMBER(D90)),F90-D90,"")</f>
        <v>0.015</v>
      </c>
      <c r="H90" s="22" t="n">
        <v>0.135</v>
      </c>
      <c r="I90" s="70" t="n">
        <f aca="false">IF(AND(ISNUMBER(H90),ISNUMBER(F90)),H90-F90,"")</f>
        <v>0.01</v>
      </c>
      <c r="J90" s="22"/>
      <c r="K90" s="70" t="str">
        <f aca="false">IF(AND(ISNUMBER(J90),ISNUMBER(H90)),J90-H90,"")</f>
        <v/>
      </c>
      <c r="L90" s="22"/>
      <c r="M90" s="70" t="str">
        <f aca="false">IF(AND(ISNUMBER(L90),ISNUMBER(J90)),L90-J90,"")</f>
        <v/>
      </c>
    </row>
    <row r="91" customFormat="false" ht="15" hidden="false" customHeight="false" outlineLevel="0" collapsed="false">
      <c r="A91" s="5" t="s">
        <v>1132</v>
      </c>
      <c r="B91" s="20" t="s">
        <v>1143</v>
      </c>
      <c r="D91" s="28" t="n">
        <v>12</v>
      </c>
      <c r="F91" s="28" t="n">
        <v>13.1</v>
      </c>
      <c r="G91" s="66" t="n">
        <f aca="false">IF(AND(ISNUMBER(F91),ISNUMBER(D91)),F91-D91,"")</f>
        <v>1.1</v>
      </c>
      <c r="H91" s="28" t="n">
        <v>13.8</v>
      </c>
      <c r="I91" s="66" t="n">
        <f aca="false">IF(AND(ISNUMBER(H91),ISNUMBER(F91)),H91-F91,"")</f>
        <v>0.700000000000001</v>
      </c>
      <c r="J91" s="28"/>
      <c r="K91" s="66" t="str">
        <f aca="false">IF(AND(ISNUMBER(J91),ISNUMBER(H91)),J91-H91,"")</f>
        <v/>
      </c>
      <c r="L91" s="28"/>
      <c r="M91" s="66" t="str">
        <f aca="false">IF(AND(ISNUMBER(L91),ISNUMBER(J91)),L91-J91,"")</f>
        <v/>
      </c>
    </row>
    <row r="92" customFormat="false" ht="15" hidden="false" customHeight="false" outlineLevel="0" collapsed="false">
      <c r="A92" s="5" t="s">
        <v>1132</v>
      </c>
      <c r="B92" s="20" t="s">
        <v>1144</v>
      </c>
      <c r="D92" s="28" t="n">
        <v>11.5</v>
      </c>
      <c r="F92" s="28" t="n">
        <v>12.2</v>
      </c>
      <c r="G92" s="66" t="n">
        <f aca="false">IF(AND(ISNUMBER(F92),ISNUMBER(D92)),F92-D92,"")</f>
        <v>0.699999999999999</v>
      </c>
      <c r="H92" s="28" t="n">
        <v>12.9</v>
      </c>
      <c r="I92" s="66" t="n">
        <f aca="false">IF(AND(ISNUMBER(H92),ISNUMBER(F92)),H92-F92,"")</f>
        <v>0.700000000000001</v>
      </c>
      <c r="J92" s="28"/>
      <c r="K92" s="66" t="str">
        <f aca="false">IF(AND(ISNUMBER(J92),ISNUMBER(H92)),J92-H92,"")</f>
        <v/>
      </c>
      <c r="L92" s="28"/>
      <c r="M92" s="66" t="str">
        <f aca="false">IF(AND(ISNUMBER(L92),ISNUMBER(J92)),L92-J92,"")</f>
        <v/>
      </c>
    </row>
    <row r="93" customFormat="false" ht="15" hidden="false" customHeight="false" outlineLevel="0" collapsed="false">
      <c r="A93" s="5" t="s">
        <v>1132</v>
      </c>
      <c r="B93" s="20" t="s">
        <v>1145</v>
      </c>
      <c r="D93" s="28" t="n">
        <v>12.4</v>
      </c>
      <c r="F93" s="28" t="n">
        <v>13</v>
      </c>
      <c r="G93" s="66" t="n">
        <f aca="false">IF(AND(ISNUMBER(F93),ISNUMBER(D93)),F93-D93,"")</f>
        <v>0.6</v>
      </c>
      <c r="H93" s="28" t="n">
        <v>13.5</v>
      </c>
      <c r="I93" s="66" t="n">
        <f aca="false">IF(AND(ISNUMBER(H93),ISNUMBER(F93)),H93-F93,"")</f>
        <v>0.5</v>
      </c>
      <c r="J93" s="28"/>
      <c r="K93" s="66" t="str">
        <f aca="false">IF(AND(ISNUMBER(J93),ISNUMBER(H93)),J93-H93,"")</f>
        <v/>
      </c>
      <c r="L93" s="28"/>
      <c r="M93" s="66" t="str">
        <f aca="false">IF(AND(ISNUMBER(L93),ISNUMBER(J93)),L93-J93,"")</f>
        <v/>
      </c>
    </row>
    <row r="94" customFormat="false" ht="15" hidden="false" customHeight="false" outlineLevel="0" collapsed="false">
      <c r="A94" s="5" t="s">
        <v>1132</v>
      </c>
      <c r="B94" s="20" t="s">
        <v>1146</v>
      </c>
      <c r="D94" s="28" t="n">
        <v>13</v>
      </c>
      <c r="F94" s="28" t="n">
        <v>13.6</v>
      </c>
      <c r="G94" s="66" t="n">
        <f aca="false">IF(AND(ISNUMBER(F94),ISNUMBER(D94)),F94-D94,"")</f>
        <v>0.6</v>
      </c>
      <c r="H94" s="28" t="n">
        <v>14.1</v>
      </c>
      <c r="I94" s="66" t="n">
        <f aca="false">IF(AND(ISNUMBER(H94),ISNUMBER(F94)),H94-F94,"")</f>
        <v>0.5</v>
      </c>
      <c r="J94" s="28"/>
      <c r="K94" s="66" t="str">
        <f aca="false">IF(AND(ISNUMBER(J94),ISNUMBER(H94)),J94-H94,"")</f>
        <v/>
      </c>
      <c r="L94" s="28"/>
      <c r="M94" s="66" t="str">
        <f aca="false">IF(AND(ISNUMBER(L94),ISNUMBER(J94)),L94-J94,"")</f>
        <v/>
      </c>
    </row>
    <row r="95" customFormat="false" ht="15" hidden="false" customHeight="false" outlineLevel="0" collapsed="false">
      <c r="A95" s="5" t="s">
        <v>1132</v>
      </c>
      <c r="B95" s="20" t="s">
        <v>1147</v>
      </c>
      <c r="D95" s="27" t="n">
        <f aca="false">IF(COUNT(D91:D94)=0,"",AVERAGE(D91:D94))</f>
        <v>12.225</v>
      </c>
      <c r="F95" s="27" t="n">
        <f aca="false">IF(COUNT(F91:F94)=0,"",AVERAGE(F91:F94))</f>
        <v>12.975</v>
      </c>
      <c r="G95" s="66" t="n">
        <f aca="false">IF(AND(ISNUMBER(F95),ISNUMBER(D95)),F95-D95,"")</f>
        <v>0.75</v>
      </c>
      <c r="H95" s="27" t="n">
        <f aca="false">IF(COUNT(H91:H94)=0,"",AVERAGE(H91:H94))</f>
        <v>13.575</v>
      </c>
      <c r="I95" s="66" t="n">
        <f aca="false">IF(AND(ISNUMBER(H95),ISNUMBER(F95)),H95-F95,"")</f>
        <v>0.6</v>
      </c>
      <c r="J95" s="27" t="str">
        <f aca="false">IF(COUNT(J91:J94)=0,"",AVERAGE(J91:J94))</f>
        <v/>
      </c>
      <c r="K95" s="66" t="str">
        <f aca="false">IF(AND(ISNUMBER(J95),ISNUMBER(H95)),J95-H95,"")</f>
        <v/>
      </c>
      <c r="L95" s="27" t="str">
        <f aca="false">IF(COUNT(L91:L94)=0,"",AVERAGE(L91:L94))</f>
        <v/>
      </c>
      <c r="M95" s="66" t="str">
        <f aca="false">IF(AND(ISNUMBER(L95),ISNUMBER(J95)),L95-J95,"")</f>
        <v/>
      </c>
    </row>
    <row r="96" customFormat="false" ht="15" hidden="false" customHeight="false" outlineLevel="0" collapsed="false">
      <c r="A96" s="5" t="s">
        <v>1148</v>
      </c>
      <c r="B96" s="20" t="s">
        <v>1149</v>
      </c>
      <c r="D96" s="24" t="n">
        <v>120</v>
      </c>
      <c r="F96" s="24" t="n">
        <v>131</v>
      </c>
      <c r="G96" s="68" t="n">
        <f aca="false">IF(AND(ISNUMBER(F96),ISNUMBER(D96)),F96-D96,"")</f>
        <v>11</v>
      </c>
      <c r="H96" s="24" t="n">
        <v>142</v>
      </c>
      <c r="I96" s="68" t="n">
        <f aca="false">IF(AND(ISNUMBER(H96),ISNUMBER(F96)),H96-F96,"")</f>
        <v>11</v>
      </c>
      <c r="J96" s="24"/>
      <c r="K96" s="68" t="str">
        <f aca="false">IF(AND(ISNUMBER(J96),ISNUMBER(H96)),J96-H96,"")</f>
        <v/>
      </c>
      <c r="L96" s="24"/>
      <c r="M96" s="68" t="str">
        <f aca="false">IF(AND(ISNUMBER(L96),ISNUMBER(J96)),L96-J96,"")</f>
        <v/>
      </c>
    </row>
    <row r="97" customFormat="false" ht="15" hidden="false" customHeight="false" outlineLevel="0" collapsed="false">
      <c r="A97" s="5" t="s">
        <v>1148</v>
      </c>
      <c r="B97" s="5" t="s">
        <v>1150</v>
      </c>
      <c r="D97" s="38" t="n">
        <v>1237</v>
      </c>
      <c r="F97" s="38" t="n">
        <v>1229</v>
      </c>
      <c r="G97" s="71" t="n">
        <f aca="false">IF(AND(ISNUMBER(F97),ISNUMBER(D97)),F97-D97,"")</f>
        <v>-8</v>
      </c>
      <c r="H97" s="38" t="n">
        <v>1219</v>
      </c>
      <c r="I97" s="71" t="n">
        <f aca="false">IF(AND(ISNUMBER(H97),ISNUMBER(F97)),H97-F97,"")</f>
        <v>-10</v>
      </c>
      <c r="J97" s="38"/>
      <c r="K97" s="71" t="str">
        <f aca="false">IF(AND(ISNUMBER(J97),ISNUMBER(H97)),J97-H97,"")</f>
        <v/>
      </c>
      <c r="L97" s="38"/>
      <c r="M97" s="71" t="str">
        <f aca="false">IF(AND(ISNUMBER(L97),ISNUMBER(J97)),L97-J97,"")</f>
        <v/>
      </c>
    </row>
    <row r="98" customFormat="false" ht="15" hidden="false" customHeight="false" outlineLevel="0" collapsed="false">
      <c r="A98" s="5" t="s">
        <v>1148</v>
      </c>
      <c r="B98" s="5" t="s">
        <v>1151</v>
      </c>
      <c r="D98" s="38" t="n">
        <v>1195</v>
      </c>
      <c r="F98" s="38" t="n">
        <v>1188</v>
      </c>
      <c r="G98" s="71" t="n">
        <f aca="false">IF(AND(ISNUMBER(F98),ISNUMBER(D98)),F98-D98,"")</f>
        <v>-7</v>
      </c>
      <c r="H98" s="38" t="n">
        <v>1181</v>
      </c>
      <c r="I98" s="71" t="n">
        <f aca="false">IF(AND(ISNUMBER(H98),ISNUMBER(F98)),H98-F98,"")</f>
        <v>-7</v>
      </c>
      <c r="J98" s="38"/>
      <c r="K98" s="71" t="str">
        <f aca="false">IF(AND(ISNUMBER(J98),ISNUMBER(H98)),J98-H98,"")</f>
        <v/>
      </c>
      <c r="L98" s="38"/>
      <c r="M98" s="71" t="str">
        <f aca="false">IF(AND(ISNUMBER(L98),ISNUMBER(J98)),L98-J98,"")</f>
        <v/>
      </c>
    </row>
    <row r="99" customFormat="false" ht="15" hidden="false" customHeight="false" outlineLevel="0" collapsed="false">
      <c r="A99" s="5" t="s">
        <v>1148</v>
      </c>
      <c r="B99" s="5" t="s">
        <v>1152</v>
      </c>
      <c r="D99" s="25" t="n">
        <f aca="false">IF(AND(ISNUMBER(D97),ISNUMBER(D98)),D97/D98-1,"")</f>
        <v>0.0351464435146442</v>
      </c>
      <c r="F99" s="25" t="n">
        <f aca="false">IF(AND(ISNUMBER(F97),ISNUMBER(F98)),F97/F98-1,"")</f>
        <v>0.0345117845117846</v>
      </c>
      <c r="G99" s="70" t="n">
        <f aca="false">IF(AND(ISNUMBER(F99),ISNUMBER(D99)),F99-D99,"")</f>
        <v>-0.000634659002859639</v>
      </c>
      <c r="H99" s="25" t="n">
        <f aca="false">IF(AND(ISNUMBER(H97),ISNUMBER(H98)),H97/H98-1,"")</f>
        <v>0.0321761219305674</v>
      </c>
      <c r="I99" s="70" t="n">
        <f aca="false">IF(AND(ISNUMBER(H99),ISNUMBER(F99)),H99-F99,"")</f>
        <v>-0.0023356625812172</v>
      </c>
      <c r="J99" s="25" t="str">
        <f aca="false">IF(AND(ISNUMBER(J97),ISNUMBER(J98)),J97/J98-1,"")</f>
        <v/>
      </c>
      <c r="K99" s="70" t="str">
        <f aca="false">IF(AND(ISNUMBER(J99),ISNUMBER(H99)),J99-H99,"")</f>
        <v/>
      </c>
      <c r="L99" s="25" t="str">
        <f aca="false">IF(AND(ISNUMBER(L97),ISNUMBER(L98)),L97/L98-1,"")</f>
        <v/>
      </c>
      <c r="M99" s="70" t="str">
        <f aca="false">IF(AND(ISNUMBER(L99),ISNUMBER(J99)),L99-J99,"")</f>
        <v/>
      </c>
    </row>
    <row r="100" customFormat="false" ht="15" hidden="false" customHeight="false" outlineLevel="0" collapsed="false">
      <c r="A100" s="5" t="s">
        <v>1148</v>
      </c>
      <c r="B100" s="20" t="s">
        <v>1153</v>
      </c>
      <c r="D100" s="28" t="n">
        <v>4.2</v>
      </c>
      <c r="F100" s="28" t="n">
        <v>4.4</v>
      </c>
      <c r="G100" s="66" t="n">
        <f aca="false">IF(AND(ISNUMBER(F100),ISNUMBER(D100)),F100-D100,"")</f>
        <v>0.2</v>
      </c>
      <c r="H100" s="28" t="n">
        <v>4.6</v>
      </c>
      <c r="I100" s="66" t="n">
        <f aca="false">IF(AND(ISNUMBER(H100),ISNUMBER(F100)),H100-F100,"")</f>
        <v>0.199999999999999</v>
      </c>
      <c r="J100" s="28"/>
      <c r="K100" s="66" t="str">
        <f aca="false">IF(AND(ISNUMBER(J100),ISNUMBER(H100)),J100-H100,"")</f>
        <v/>
      </c>
      <c r="L100" s="28"/>
      <c r="M100" s="66" t="str">
        <f aca="false">IF(AND(ISNUMBER(L100),ISNUMBER(J100)),L100-J100,"")</f>
        <v/>
      </c>
    </row>
    <row r="101" customFormat="false" ht="15" hidden="false" customHeight="false" outlineLevel="0" collapsed="false">
      <c r="A101" s="5" t="s">
        <v>1148</v>
      </c>
      <c r="B101" s="5" t="s">
        <v>1154</v>
      </c>
      <c r="D101" s="28" t="n">
        <v>4.1</v>
      </c>
      <c r="F101" s="28" t="n">
        <v>4.2</v>
      </c>
      <c r="G101" s="66" t="n">
        <f aca="false">IF(AND(ISNUMBER(F101),ISNUMBER(D101)),F101-D101,"")</f>
        <v>0.100000000000001</v>
      </c>
      <c r="H101" s="28" t="n">
        <v>4.3</v>
      </c>
      <c r="I101" s="66" t="n">
        <f aca="false">IF(AND(ISNUMBER(H101),ISNUMBER(F101)),H101-F101,"")</f>
        <v>0.0999999999999996</v>
      </c>
      <c r="J101" s="28"/>
      <c r="K101" s="66" t="str">
        <f aca="false">IF(AND(ISNUMBER(J101),ISNUMBER(H101)),J101-H101,"")</f>
        <v/>
      </c>
      <c r="L101" s="28"/>
      <c r="M101" s="66" t="str">
        <f aca="false">IF(AND(ISNUMBER(L101),ISNUMBER(J101)),L101-J101,"")</f>
        <v/>
      </c>
    </row>
    <row r="102" customFormat="false" ht="15" hidden="false" customHeight="false" outlineLevel="0" collapsed="false">
      <c r="A102" s="5" t="s">
        <v>1148</v>
      </c>
      <c r="B102" s="20" t="s">
        <v>1155</v>
      </c>
      <c r="D102" s="38" t="n">
        <v>905</v>
      </c>
      <c r="F102" s="38" t="n">
        <v>884</v>
      </c>
      <c r="G102" s="71" t="n">
        <f aca="false">IF(AND(ISNUMBER(F102),ISNUMBER(D102)),F102-D102,"")</f>
        <v>-21</v>
      </c>
      <c r="H102" s="38" t="n">
        <v>870</v>
      </c>
      <c r="I102" s="71" t="n">
        <f aca="false">IF(AND(ISNUMBER(H102),ISNUMBER(F102)),H102-F102,"")</f>
        <v>-14</v>
      </c>
      <c r="J102" s="38"/>
      <c r="K102" s="71" t="str">
        <f aca="false">IF(AND(ISNUMBER(J102),ISNUMBER(H102)),J102-H102,"")</f>
        <v/>
      </c>
      <c r="L102" s="38"/>
      <c r="M102" s="71" t="str">
        <f aca="false">IF(AND(ISNUMBER(L102),ISNUMBER(J102)),L102-J102,"")</f>
        <v/>
      </c>
    </row>
    <row r="103" customFormat="false" ht="15" hidden="false" customHeight="false" outlineLevel="0" collapsed="false">
      <c r="A103" s="5" t="s">
        <v>1148</v>
      </c>
      <c r="B103" s="5" t="s">
        <v>1156</v>
      </c>
      <c r="D103" s="38" t="n">
        <v>890</v>
      </c>
      <c r="F103" s="38" t="n">
        <v>879</v>
      </c>
      <c r="G103" s="71" t="n">
        <f aca="false">IF(AND(ISNUMBER(F103),ISNUMBER(D103)),F103-D103,"")</f>
        <v>-11</v>
      </c>
      <c r="H103" s="38" t="n">
        <v>871</v>
      </c>
      <c r="I103" s="71" t="n">
        <f aca="false">IF(AND(ISNUMBER(H103),ISNUMBER(F103)),H103-F103,"")</f>
        <v>-8</v>
      </c>
      <c r="J103" s="38"/>
      <c r="K103" s="71" t="str">
        <f aca="false">IF(AND(ISNUMBER(J103),ISNUMBER(H103)),J103-H103,"")</f>
        <v/>
      </c>
      <c r="L103" s="38"/>
      <c r="M103" s="71" t="str">
        <f aca="false">IF(AND(ISNUMBER(L103),ISNUMBER(J103)),L103-J103,"")</f>
        <v/>
      </c>
    </row>
    <row r="104" customFormat="false" ht="15" hidden="false" customHeight="false" outlineLevel="0" collapsed="false">
      <c r="A104" s="5" t="s">
        <v>1148</v>
      </c>
      <c r="B104" s="20" t="s">
        <v>1157</v>
      </c>
      <c r="D104" s="25" t="n">
        <f aca="false">IF(AND(ISNUMBER(D102),ISNUMBER(D103)),D102/D103-1,"")</f>
        <v>0.0168539325842696</v>
      </c>
      <c r="F104" s="25" t="n">
        <f aca="false">IF(AND(ISNUMBER(F102),ISNUMBER(F103)),F102/F103-1,"")</f>
        <v>0.00568828213879402</v>
      </c>
      <c r="G104" s="70" t="n">
        <f aca="false">IF(AND(ISNUMBER(F104),ISNUMBER(D104)),F104-D104,"")</f>
        <v>-0.0111656504454756</v>
      </c>
      <c r="H104" s="25" t="n">
        <f aca="false">IF(AND(ISNUMBER(H102),ISNUMBER(H103)),H102/H103-1,"")</f>
        <v>-0.00114810562571754</v>
      </c>
      <c r="I104" s="70" t="n">
        <f aca="false">IF(AND(ISNUMBER(H104),ISNUMBER(F104)),H104-F104,"")</f>
        <v>-0.00683638776451156</v>
      </c>
      <c r="J104" s="25" t="str">
        <f aca="false">IF(AND(ISNUMBER(J102),ISNUMBER(J103)),J102/J103-1,"")</f>
        <v/>
      </c>
      <c r="K104" s="70" t="str">
        <f aca="false">IF(AND(ISNUMBER(J104),ISNUMBER(H104)),J104-H104,"")</f>
        <v/>
      </c>
      <c r="L104" s="25" t="str">
        <f aca="false">IF(AND(ISNUMBER(L102),ISNUMBER(L103)),L102/L103-1,"")</f>
        <v/>
      </c>
      <c r="M104" s="70" t="str">
        <f aca="false">IF(AND(ISNUMBER(L104),ISNUMBER(J104)),L104-J104,"")</f>
        <v/>
      </c>
    </row>
    <row r="105" customFormat="false" ht="15" hidden="false" customHeight="false" outlineLevel="0" collapsed="false">
      <c r="A105" s="5" t="s">
        <v>1148</v>
      </c>
      <c r="B105" s="20" t="s">
        <v>1158</v>
      </c>
      <c r="D105" s="22" t="n">
        <v>0.09</v>
      </c>
      <c r="F105" s="22" t="n">
        <v>0.105</v>
      </c>
      <c r="G105" s="70" t="n">
        <f aca="false">IF(AND(ISNUMBER(F105),ISNUMBER(D105)),F105-D105,"")</f>
        <v>0.015</v>
      </c>
      <c r="H105" s="22" t="n">
        <v>0.112</v>
      </c>
      <c r="I105" s="70" t="n">
        <f aca="false">IF(AND(ISNUMBER(H105),ISNUMBER(F105)),H105-F105,"")</f>
        <v>0.00700000000000001</v>
      </c>
      <c r="J105" s="22"/>
      <c r="K105" s="70" t="str">
        <f aca="false">IF(AND(ISNUMBER(J105),ISNUMBER(H105)),J105-H105,"")</f>
        <v/>
      </c>
      <c r="L105" s="22"/>
      <c r="M105" s="70" t="str">
        <f aca="false">IF(AND(ISNUMBER(L105),ISNUMBER(J105)),L105-J105,"")</f>
        <v/>
      </c>
    </row>
    <row r="106" customFormat="false" ht="15" hidden="false" customHeight="false" outlineLevel="0" collapsed="false">
      <c r="A106" s="5" t="s">
        <v>1148</v>
      </c>
      <c r="B106" s="20" t="s">
        <v>1159</v>
      </c>
      <c r="D106" s="28" t="n">
        <v>12</v>
      </c>
      <c r="F106" s="28" t="n">
        <v>12.8</v>
      </c>
      <c r="G106" s="66" t="n">
        <f aca="false">IF(AND(ISNUMBER(F106),ISNUMBER(D106)),F106-D106,"")</f>
        <v>0.800000000000001</v>
      </c>
      <c r="H106" s="28" t="n">
        <v>13.4</v>
      </c>
      <c r="I106" s="66" t="n">
        <f aca="false">IF(AND(ISNUMBER(H106),ISNUMBER(F106)),H106-F106,"")</f>
        <v>0.6</v>
      </c>
      <c r="J106" s="28"/>
      <c r="K106" s="66" t="str">
        <f aca="false">IF(AND(ISNUMBER(J106),ISNUMBER(H106)),J106-H106,"")</f>
        <v/>
      </c>
      <c r="L106" s="28"/>
      <c r="M106" s="66" t="str">
        <f aca="false">IF(AND(ISNUMBER(L106),ISNUMBER(J106)),L106-J106,"")</f>
        <v/>
      </c>
    </row>
    <row r="107" customFormat="false" ht="15" hidden="false" customHeight="false" outlineLevel="0" collapsed="false">
      <c r="A107" s="5" t="s">
        <v>1148</v>
      </c>
      <c r="B107" s="20" t="s">
        <v>1160</v>
      </c>
      <c r="D107" s="28" t="n">
        <v>12.6</v>
      </c>
      <c r="F107" s="28" t="n">
        <v>13</v>
      </c>
      <c r="G107" s="66" t="n">
        <f aca="false">IF(AND(ISNUMBER(F107),ISNUMBER(D107)),F107-D107,"")</f>
        <v>0.4</v>
      </c>
      <c r="H107" s="28" t="n">
        <v>13.6</v>
      </c>
      <c r="I107" s="66" t="n">
        <f aca="false">IF(AND(ISNUMBER(H107),ISNUMBER(F107)),H107-F107,"")</f>
        <v>0.6</v>
      </c>
      <c r="J107" s="28"/>
      <c r="K107" s="66" t="str">
        <f aca="false">IF(AND(ISNUMBER(J107),ISNUMBER(H107)),J107-H107,"")</f>
        <v/>
      </c>
      <c r="L107" s="28"/>
      <c r="M107" s="66" t="str">
        <f aca="false">IF(AND(ISNUMBER(L107),ISNUMBER(J107)),L107-J107,"")</f>
        <v/>
      </c>
    </row>
    <row r="108" customFormat="false" ht="15" hidden="false" customHeight="false" outlineLevel="0" collapsed="false">
      <c r="A108" s="5" t="s">
        <v>1148</v>
      </c>
      <c r="B108" s="20" t="s">
        <v>1161</v>
      </c>
      <c r="D108" s="28" t="n">
        <v>11.1</v>
      </c>
      <c r="F108" s="28" t="n">
        <v>11.9</v>
      </c>
      <c r="G108" s="66" t="n">
        <f aca="false">IF(AND(ISNUMBER(F108),ISNUMBER(D108)),F108-D108,"")</f>
        <v>0.800000000000001</v>
      </c>
      <c r="H108" s="28" t="n">
        <v>12.5</v>
      </c>
      <c r="I108" s="66" t="n">
        <f aca="false">IF(AND(ISNUMBER(H108),ISNUMBER(F108)),H108-F108,"")</f>
        <v>0.6</v>
      </c>
      <c r="J108" s="28"/>
      <c r="K108" s="66" t="str">
        <f aca="false">IF(AND(ISNUMBER(J108),ISNUMBER(H108)),J108-H108,"")</f>
        <v/>
      </c>
      <c r="L108" s="28"/>
      <c r="M108" s="66" t="str">
        <f aca="false">IF(AND(ISNUMBER(L108),ISNUMBER(J108)),L108-J108,"")</f>
        <v/>
      </c>
    </row>
    <row r="109" customFormat="false" ht="15" hidden="false" customHeight="false" outlineLevel="0" collapsed="false">
      <c r="A109" s="5" t="s">
        <v>1148</v>
      </c>
      <c r="B109" s="20" t="s">
        <v>1162</v>
      </c>
      <c r="D109" s="28" t="n">
        <v>12.2</v>
      </c>
      <c r="F109" s="28" t="n">
        <v>12.5</v>
      </c>
      <c r="G109" s="66" t="n">
        <f aca="false">IF(AND(ISNUMBER(F109),ISNUMBER(D109)),F109-D109,"")</f>
        <v>0.300000000000001</v>
      </c>
      <c r="H109" s="28" t="n">
        <v>13</v>
      </c>
      <c r="I109" s="66" t="n">
        <f aca="false">IF(AND(ISNUMBER(H109),ISNUMBER(F109)),H109-F109,"")</f>
        <v>0.5</v>
      </c>
      <c r="J109" s="28"/>
      <c r="K109" s="66" t="str">
        <f aca="false">IF(AND(ISNUMBER(J109),ISNUMBER(H109)),J109-H109,"")</f>
        <v/>
      </c>
      <c r="L109" s="28"/>
      <c r="M109" s="66" t="str">
        <f aca="false">IF(AND(ISNUMBER(L109),ISNUMBER(J109)),L109-J109,"")</f>
        <v/>
      </c>
    </row>
    <row r="110" customFormat="false" ht="15" hidden="false" customHeight="false" outlineLevel="0" collapsed="false">
      <c r="A110" s="5" t="s">
        <v>1148</v>
      </c>
      <c r="B110" s="20" t="s">
        <v>1163</v>
      </c>
      <c r="D110" s="27" t="n">
        <f aca="false">IF(COUNT(D106:D109)=0,"",AVERAGE(D106:D109))</f>
        <v>11.975</v>
      </c>
      <c r="F110" s="27" t="n">
        <f aca="false">IF(COUNT(F106:F109)=0,"",AVERAGE(F106:F109))</f>
        <v>12.55</v>
      </c>
      <c r="G110" s="66" t="n">
        <f aca="false">IF(AND(ISNUMBER(F110),ISNUMBER(D110)),F110-D110,"")</f>
        <v>0.575000000000001</v>
      </c>
      <c r="H110" s="27" t="n">
        <f aca="false">IF(COUNT(H106:H109)=0,"",AVERAGE(H106:H109))</f>
        <v>13.125</v>
      </c>
      <c r="I110" s="66" t="n">
        <f aca="false">IF(AND(ISNUMBER(H110),ISNUMBER(F110)),H110-F110,"")</f>
        <v>0.574999999999999</v>
      </c>
      <c r="J110" s="27" t="str">
        <f aca="false">IF(COUNT(J106:J109)=0,"",AVERAGE(J106:J109))</f>
        <v/>
      </c>
      <c r="K110" s="66" t="str">
        <f aca="false">IF(AND(ISNUMBER(J110),ISNUMBER(H110)),J110-H110,"")</f>
        <v/>
      </c>
      <c r="L110" s="27" t="str">
        <f aca="false">IF(COUNT(L106:L109)=0,"",AVERAGE(L106:L109))</f>
        <v/>
      </c>
      <c r="M110" s="66" t="str">
        <f aca="false">IF(AND(ISNUMBER(L110),ISNUMBER(J110)),L110-J110,"")</f>
        <v/>
      </c>
    </row>
  </sheetData>
  <conditionalFormatting sqref="G65 I65 K65 M65">
    <cfRule type="expression" priority="2" aboveAverage="0" equalAverage="0" bottom="0" percent="0" rank="0" text="" dxfId="0">
      <formula>AND(ISNUMBER(G65),G65&gt;0)</formula>
    </cfRule>
    <cfRule type="expression" priority="3" aboveAverage="0" equalAverage="0" bottom="0" percent="0" rank="0" text="" dxfId="2">
      <formula>AND(ISNUMBER(G65),G65&lt;0)</formula>
    </cfRule>
  </conditionalFormatting>
  <conditionalFormatting sqref="G67 I67 K67 M67">
    <cfRule type="expression" priority="4" aboveAverage="0" equalAverage="0" bottom="0" percent="0" rank="0" text="" dxfId="0">
      <formula>AND(ISNUMBER(G67),G67&gt;0)</formula>
    </cfRule>
    <cfRule type="expression" priority="5" aboveAverage="0" equalAverage="0" bottom="0" percent="0" rank="0" text="" dxfId="2">
      <formula>AND(ISNUMBER(G67),G67&lt;0)</formula>
    </cfRule>
  </conditionalFormatting>
  <conditionalFormatting sqref="G69 I69 K69 M69">
    <cfRule type="expression" priority="6" aboveAverage="0" equalAverage="0" bottom="0" percent="0" rank="0" text="" dxfId="0">
      <formula>AND(ISNUMBER(G69),G69&gt;0)</formula>
    </cfRule>
    <cfRule type="expression" priority="7" aboveAverage="0" equalAverage="0" bottom="0" percent="0" rank="0" text="" dxfId="2">
      <formula>AND(ISNUMBER(G69),G69&lt;0)</formula>
    </cfRule>
  </conditionalFormatting>
  <conditionalFormatting sqref="G73 I73 K73 M73">
    <cfRule type="expression" priority="8" aboveAverage="0" equalAverage="0" bottom="0" percent="0" rank="0" text="" dxfId="0">
      <formula>AND(ISNUMBER(G73),G73&gt;0)</formula>
    </cfRule>
    <cfRule type="expression" priority="9" aboveAverage="0" equalAverage="0" bottom="0" percent="0" rank="0" text="" dxfId="2">
      <formula>AND(ISNUMBER(G73),G73&lt;0)</formula>
    </cfRule>
  </conditionalFormatting>
  <conditionalFormatting sqref="G74 I74 K74 M74">
    <cfRule type="expression" priority="10" aboveAverage="0" equalAverage="0" bottom="0" percent="0" rank="0" text="" dxfId="0">
      <formula>AND(ISNUMBER(G74),G74&gt;0)</formula>
    </cfRule>
    <cfRule type="expression" priority="11" aboveAverage="0" equalAverage="0" bottom="0" percent="0" rank="0" text="" dxfId="2">
      <formula>AND(ISNUMBER(G74),G74&lt;0)</formula>
    </cfRule>
  </conditionalFormatting>
  <conditionalFormatting sqref="G76 I76 K76 M76">
    <cfRule type="expression" priority="12" aboveAverage="0" equalAverage="0" bottom="0" percent="0" rank="0" text="" dxfId="0">
      <formula>AND(ISNUMBER(G76),G76&gt;0)</formula>
    </cfRule>
    <cfRule type="expression" priority="13" aboveAverage="0" equalAverage="0" bottom="0" percent="0" rank="0" text="" dxfId="2">
      <formula>AND(ISNUMBER(G76),G76&lt;0)</formula>
    </cfRule>
  </conditionalFormatting>
  <conditionalFormatting sqref="G77 I77 K77 M77">
    <cfRule type="expression" priority="14" aboveAverage="0" equalAverage="0" bottom="0" percent="0" rank="0" text="" dxfId="0">
      <formula>AND(ISNUMBER(G77),G77&lt;0)</formula>
    </cfRule>
    <cfRule type="expression" priority="15" aboveAverage="0" equalAverage="0" bottom="0" percent="0" rank="0" text="" dxfId="2">
      <formula>AND(ISNUMBER(G77),G77&gt;0)</formula>
    </cfRule>
  </conditionalFormatting>
  <conditionalFormatting sqref="G78 I78 K78 M78">
    <cfRule type="expression" priority="16" aboveAverage="0" equalAverage="0" bottom="0" percent="0" rank="0" text="" dxfId="0">
      <formula>AND(ISNUMBER(G78),G78&gt;0)</formula>
    </cfRule>
    <cfRule type="expression" priority="17" aboveAverage="0" equalAverage="0" bottom="0" percent="0" rank="0" text="" dxfId="2">
      <formula>AND(ISNUMBER(G78),G78&lt;0)</formula>
    </cfRule>
  </conditionalFormatting>
  <conditionalFormatting sqref="G79 I79 K79 M79">
    <cfRule type="expression" priority="18" aboveAverage="0" equalAverage="0" bottom="0" percent="0" rank="0" text="" dxfId="0">
      <formula>AND(ISNUMBER(G79),G79&gt;0)</formula>
    </cfRule>
    <cfRule type="expression" priority="19" aboveAverage="0" equalAverage="0" bottom="0" percent="0" rank="0" text="" dxfId="2">
      <formula>AND(ISNUMBER(G79),G79&lt;0)</formula>
    </cfRule>
  </conditionalFormatting>
  <conditionalFormatting sqref="G80 I80 K80 M80">
    <cfRule type="expression" priority="20" aboveAverage="0" equalAverage="0" bottom="0" percent="0" rank="0" text="" dxfId="0">
      <formula>AND(ISNUMBER(G80),G80&gt;0)</formula>
    </cfRule>
    <cfRule type="expression" priority="21" aboveAverage="0" equalAverage="0" bottom="0" percent="0" rank="0" text="" dxfId="2">
      <formula>AND(ISNUMBER(G80),G80&lt;0)</formula>
    </cfRule>
  </conditionalFormatting>
  <conditionalFormatting sqref="G81 I81 K81 M81">
    <cfRule type="expression" priority="22" aboveAverage="0" equalAverage="0" bottom="0" percent="0" rank="0" text="" dxfId="0">
      <formula>AND(ISNUMBER(G81),G81&gt;0)</formula>
    </cfRule>
    <cfRule type="expression" priority="23" aboveAverage="0" equalAverage="0" bottom="0" percent="0" rank="0" text="" dxfId="2">
      <formula>AND(ISNUMBER(G81),G81&lt;0)</formula>
    </cfRule>
  </conditionalFormatting>
  <conditionalFormatting sqref="G85 I85 K85 M85">
    <cfRule type="expression" priority="24" aboveAverage="0" equalAverage="0" bottom="0" percent="0" rank="0" text="" dxfId="0">
      <formula>AND(ISNUMBER(G85),G85&gt;0)</formula>
    </cfRule>
    <cfRule type="expression" priority="25" aboveAverage="0" equalAverage="0" bottom="0" percent="0" rank="0" text="" dxfId="2">
      <formula>AND(ISNUMBER(G85),G85&lt;0)</formula>
    </cfRule>
  </conditionalFormatting>
  <conditionalFormatting sqref="G87 I87 K87 M87">
    <cfRule type="expression" priority="26" aboveAverage="0" equalAverage="0" bottom="0" percent="0" rank="0" text="" dxfId="0">
      <formula>AND(ISNUMBER(G87),G87&lt;0)</formula>
    </cfRule>
    <cfRule type="expression" priority="27" aboveAverage="0" equalAverage="0" bottom="0" percent="0" rank="0" text="" dxfId="2">
      <formula>AND(ISNUMBER(G87),G87&gt;0)</formula>
    </cfRule>
  </conditionalFormatting>
  <conditionalFormatting sqref="G89 I89 K89 M89">
    <cfRule type="expression" priority="28" aboveAverage="0" equalAverage="0" bottom="0" percent="0" rank="0" text="" dxfId="0">
      <formula>AND(ISNUMBER(G89),G89&lt;0)</formula>
    </cfRule>
    <cfRule type="expression" priority="29" aboveAverage="0" equalAverage="0" bottom="0" percent="0" rank="0" text="" dxfId="2">
      <formula>AND(ISNUMBER(G89),G89&gt;0)</formula>
    </cfRule>
  </conditionalFormatting>
  <conditionalFormatting sqref="G90 I90 K90 M90">
    <cfRule type="expression" priority="30" aboveAverage="0" equalAverage="0" bottom="0" percent="0" rank="0" text="" dxfId="0">
      <formula>AND(ISNUMBER(G90),G90&gt;0)</formula>
    </cfRule>
    <cfRule type="expression" priority="31" aboveAverage="0" equalAverage="0" bottom="0" percent="0" rank="0" text="" dxfId="2">
      <formula>AND(ISNUMBER(G90),G90&lt;0)</formula>
    </cfRule>
  </conditionalFormatting>
  <conditionalFormatting sqref="G91 I91 K91 M91">
    <cfRule type="expression" priority="32" aboveAverage="0" equalAverage="0" bottom="0" percent="0" rank="0" text="" dxfId="0">
      <formula>AND(ISNUMBER(G91),G91&gt;0)</formula>
    </cfRule>
    <cfRule type="expression" priority="33" aboveAverage="0" equalAverage="0" bottom="0" percent="0" rank="0" text="" dxfId="2">
      <formula>AND(ISNUMBER(G91),G91&lt;0)</formula>
    </cfRule>
  </conditionalFormatting>
  <conditionalFormatting sqref="G92 I92 K92 M92">
    <cfRule type="expression" priority="34" aboveAverage="0" equalAverage="0" bottom="0" percent="0" rank="0" text="" dxfId="0">
      <formula>AND(ISNUMBER(G92),G92&gt;0)</formula>
    </cfRule>
    <cfRule type="expression" priority="35" aboveAverage="0" equalAverage="0" bottom="0" percent="0" rank="0" text="" dxfId="2">
      <formula>AND(ISNUMBER(G92),G92&lt;0)</formula>
    </cfRule>
  </conditionalFormatting>
  <conditionalFormatting sqref="G93 I93 K93 M93">
    <cfRule type="expression" priority="36" aboveAverage="0" equalAverage="0" bottom="0" percent="0" rank="0" text="" dxfId="0">
      <formula>AND(ISNUMBER(G93),G93&gt;0)</formula>
    </cfRule>
    <cfRule type="expression" priority="37" aboveAverage="0" equalAverage="0" bottom="0" percent="0" rank="0" text="" dxfId="2">
      <formula>AND(ISNUMBER(G93),G93&lt;0)</formula>
    </cfRule>
  </conditionalFormatting>
  <conditionalFormatting sqref="G94 I94 K94 M94">
    <cfRule type="expression" priority="38" aboveAverage="0" equalAverage="0" bottom="0" percent="0" rank="0" text="" dxfId="0">
      <formula>AND(ISNUMBER(G94),G94&gt;0)</formula>
    </cfRule>
    <cfRule type="expression" priority="39" aboveAverage="0" equalAverage="0" bottom="0" percent="0" rank="0" text="" dxfId="2">
      <formula>AND(ISNUMBER(G94),G94&lt;0)</formula>
    </cfRule>
  </conditionalFormatting>
  <conditionalFormatting sqref="G95 I95 K95 M95">
    <cfRule type="expression" priority="40" aboveAverage="0" equalAverage="0" bottom="0" percent="0" rank="0" text="" dxfId="0">
      <formula>AND(ISNUMBER(G95),G95&gt;0)</formula>
    </cfRule>
    <cfRule type="expression" priority="41" aboveAverage="0" equalAverage="0" bottom="0" percent="0" rank="0" text="" dxfId="2">
      <formula>AND(ISNUMBER(G95),G95&lt;0)</formula>
    </cfRule>
  </conditionalFormatting>
  <conditionalFormatting sqref="G96 I96 K96 M96">
    <cfRule type="expression" priority="42" aboveAverage="0" equalAverage="0" bottom="0" percent="0" rank="0" text="" dxfId="0">
      <formula>AND(ISNUMBER(G96),G96&gt;0)</formula>
    </cfRule>
    <cfRule type="expression" priority="43" aboveAverage="0" equalAverage="0" bottom="0" percent="0" rank="0" text="" dxfId="2">
      <formula>AND(ISNUMBER(G96),G96&lt;0)</formula>
    </cfRule>
  </conditionalFormatting>
  <conditionalFormatting sqref="G100 I100 K100 M100">
    <cfRule type="expression" priority="44" aboveAverage="0" equalAverage="0" bottom="0" percent="0" rank="0" text="" dxfId="0">
      <formula>AND(ISNUMBER(G100),G100&gt;0)</formula>
    </cfRule>
    <cfRule type="expression" priority="45" aboveAverage="0" equalAverage="0" bottom="0" percent="0" rank="0" text="" dxfId="2">
      <formula>AND(ISNUMBER(G100),G100&lt;0)</formula>
    </cfRule>
  </conditionalFormatting>
  <conditionalFormatting sqref="G102 I102 K102 M102">
    <cfRule type="expression" priority="46" aboveAverage="0" equalAverage="0" bottom="0" percent="0" rank="0" text="" dxfId="0">
      <formula>AND(ISNUMBER(G102),G102&lt;0)</formula>
    </cfRule>
    <cfRule type="expression" priority="47" aboveAverage="0" equalAverage="0" bottom="0" percent="0" rank="0" text="" dxfId="2">
      <formula>AND(ISNUMBER(G102),G102&gt;0)</formula>
    </cfRule>
  </conditionalFormatting>
  <conditionalFormatting sqref="G104 I104 K104 M104">
    <cfRule type="expression" priority="48" aboveAverage="0" equalAverage="0" bottom="0" percent="0" rank="0" text="" dxfId="0">
      <formula>AND(ISNUMBER(G104),G104&lt;0)</formula>
    </cfRule>
    <cfRule type="expression" priority="49" aboveAverage="0" equalAverage="0" bottom="0" percent="0" rank="0" text="" dxfId="2">
      <formula>AND(ISNUMBER(G104),G104&gt;0)</formula>
    </cfRule>
  </conditionalFormatting>
  <conditionalFormatting sqref="G105 I105 K105 M105">
    <cfRule type="expression" priority="50" aboveAverage="0" equalAverage="0" bottom="0" percent="0" rank="0" text="" dxfId="0">
      <formula>AND(ISNUMBER(G105),G105&gt;0)</formula>
    </cfRule>
    <cfRule type="expression" priority="51" aboveAverage="0" equalAverage="0" bottom="0" percent="0" rank="0" text="" dxfId="2">
      <formula>AND(ISNUMBER(G105),G105&lt;0)</formula>
    </cfRule>
  </conditionalFormatting>
  <conditionalFormatting sqref="G106 I106 K106 M106">
    <cfRule type="expression" priority="52" aboveAverage="0" equalAverage="0" bottom="0" percent="0" rank="0" text="" dxfId="0">
      <formula>AND(ISNUMBER(G106),G106&gt;0)</formula>
    </cfRule>
    <cfRule type="expression" priority="53" aboveAverage="0" equalAverage="0" bottom="0" percent="0" rank="0" text="" dxfId="2">
      <formula>AND(ISNUMBER(G106),G106&lt;0)</formula>
    </cfRule>
  </conditionalFormatting>
  <conditionalFormatting sqref="G107 I107 K107 M107">
    <cfRule type="expression" priority="54" aboveAverage="0" equalAverage="0" bottom="0" percent="0" rank="0" text="" dxfId="0">
      <formula>AND(ISNUMBER(G107),G107&gt;0)</formula>
    </cfRule>
    <cfRule type="expression" priority="55" aboveAverage="0" equalAverage="0" bottom="0" percent="0" rank="0" text="" dxfId="2">
      <formula>AND(ISNUMBER(G107),G107&lt;0)</formula>
    </cfRule>
  </conditionalFormatting>
  <conditionalFormatting sqref="G108 I108 K108 M108">
    <cfRule type="expression" priority="56" aboveAverage="0" equalAverage="0" bottom="0" percent="0" rank="0" text="" dxfId="0">
      <formula>AND(ISNUMBER(G108),G108&gt;0)</formula>
    </cfRule>
    <cfRule type="expression" priority="57" aboveAverage="0" equalAverage="0" bottom="0" percent="0" rank="0" text="" dxfId="2">
      <formula>AND(ISNUMBER(G108),G108&lt;0)</formula>
    </cfRule>
  </conditionalFormatting>
  <conditionalFormatting sqref="G109 I109 K109 M109">
    <cfRule type="expression" priority="58" aboveAverage="0" equalAverage="0" bottom="0" percent="0" rank="0" text="" dxfId="0">
      <formula>AND(ISNUMBER(G109),G109&gt;0)</formula>
    </cfRule>
    <cfRule type="expression" priority="59" aboveAverage="0" equalAverage="0" bottom="0" percent="0" rank="0" text="" dxfId="2">
      <formula>AND(ISNUMBER(G109),G109&lt;0)</formula>
    </cfRule>
  </conditionalFormatting>
  <conditionalFormatting sqref="G110 I110 K110 M110">
    <cfRule type="expression" priority="60" aboveAverage="0" equalAverage="0" bottom="0" percent="0" rank="0" text="" dxfId="0">
      <formula>AND(ISNUMBER(G110),G110&gt;0)</formula>
    </cfRule>
    <cfRule type="expression" priority="61" aboveAverage="0" equalAverage="0" bottom="0" percent="0" rank="0" text="" dxfId="2">
      <formula>AND(ISNUMBER(G110),G110&lt;0)</formula>
    </cfRule>
  </conditionalFormatting>
  <conditionalFormatting sqref="D65">
    <cfRule type="expression" priority="62" aboveAverage="0" equalAverage="0" bottom="0" percent="0" rank="0" text="" dxfId="0">
      <formula>AND(ISNUMBER(D65),ISNUMBER(D66),D65&gt;=D66)</formula>
    </cfRule>
    <cfRule type="expression" priority="63" aboveAverage="0" equalAverage="0" bottom="0" percent="0" rank="0" text="" dxfId="1">
      <formula>AND(ISNUMBER(D65),ISNUMBER(D66),D65&lt;D66)</formula>
    </cfRule>
  </conditionalFormatting>
  <conditionalFormatting sqref="F65">
    <cfRule type="expression" priority="64" aboveAverage="0" equalAverage="0" bottom="0" percent="0" rank="0" text="" dxfId="0">
      <formula>AND(ISNUMBER(F65),ISNUMBER(F66),F65&gt;=F66)</formula>
    </cfRule>
    <cfRule type="expression" priority="65" aboveAverage="0" equalAverage="0" bottom="0" percent="0" rank="0" text="" dxfId="1">
      <formula>AND(ISNUMBER(F65),ISNUMBER(F66),F65&lt;F66)</formula>
    </cfRule>
  </conditionalFormatting>
  <conditionalFormatting sqref="H65">
    <cfRule type="expression" priority="66" aboveAverage="0" equalAverage="0" bottom="0" percent="0" rank="0" text="" dxfId="0">
      <formula>AND(ISNUMBER(H65),ISNUMBER(H66),H65&gt;=H66)</formula>
    </cfRule>
    <cfRule type="expression" priority="67" aboveAverage="0" equalAverage="0" bottom="0" percent="0" rank="0" text="" dxfId="1">
      <formula>AND(ISNUMBER(H65),ISNUMBER(H66),H65&lt;H66)</formula>
    </cfRule>
  </conditionalFormatting>
  <conditionalFormatting sqref="J65">
    <cfRule type="expression" priority="68" aboveAverage="0" equalAverage="0" bottom="0" percent="0" rank="0" text="" dxfId="0">
      <formula>AND(ISNUMBER(J65),ISNUMBER(J66),J65&gt;=J66)</formula>
    </cfRule>
    <cfRule type="expression" priority="69" aboveAverage="0" equalAverage="0" bottom="0" percent="0" rank="0" text="" dxfId="1">
      <formula>AND(ISNUMBER(J65),ISNUMBER(J66),J65&lt;J66)</formula>
    </cfRule>
  </conditionalFormatting>
  <conditionalFormatting sqref="L65">
    <cfRule type="expression" priority="70" aboveAverage="0" equalAverage="0" bottom="0" percent="0" rank="0" text="" dxfId="0">
      <formula>AND(ISNUMBER(L65),ISNUMBER(L66),L65&gt;=L66)</formula>
    </cfRule>
    <cfRule type="expression" priority="71" aboveAverage="0" equalAverage="0" bottom="0" percent="0" rank="0" text="" dxfId="1">
      <formula>AND(ISNUMBER(L65),ISNUMBER(L66),L65&lt;L66)</formula>
    </cfRule>
  </conditionalFormatting>
  <conditionalFormatting sqref="D67">
    <cfRule type="expression" priority="72" aboveAverage="0" equalAverage="0" bottom="0" percent="0" rank="0" text="" dxfId="0">
      <formula>AND(ISNUMBER(D67),ISNUMBER(D68),D67&gt;=D68)</formula>
    </cfRule>
    <cfRule type="expression" priority="73" aboveAverage="0" equalAverage="0" bottom="0" percent="0" rank="0" text="" dxfId="1">
      <formula>AND(ISNUMBER(D67),ISNUMBER(D68),D67&lt;D68)</formula>
    </cfRule>
  </conditionalFormatting>
  <conditionalFormatting sqref="F67">
    <cfRule type="expression" priority="74" aboveAverage="0" equalAverage="0" bottom="0" percent="0" rank="0" text="" dxfId="0">
      <formula>AND(ISNUMBER(F67),ISNUMBER(F68),F67&gt;=F68)</formula>
    </cfRule>
    <cfRule type="expression" priority="75" aboveAverage="0" equalAverage="0" bottom="0" percent="0" rank="0" text="" dxfId="1">
      <formula>AND(ISNUMBER(F67),ISNUMBER(F68),F67&lt;F68)</formula>
    </cfRule>
  </conditionalFormatting>
  <conditionalFormatting sqref="H67">
    <cfRule type="expression" priority="76" aboveAverage="0" equalAverage="0" bottom="0" percent="0" rank="0" text="" dxfId="0">
      <formula>AND(ISNUMBER(H67),ISNUMBER(H68),H67&gt;=H68)</formula>
    </cfRule>
    <cfRule type="expression" priority="77" aboveAverage="0" equalAverage="0" bottom="0" percent="0" rank="0" text="" dxfId="1">
      <formula>AND(ISNUMBER(H67),ISNUMBER(H68),H67&lt;H68)</formula>
    </cfRule>
  </conditionalFormatting>
  <conditionalFormatting sqref="J67">
    <cfRule type="expression" priority="78" aboveAverage="0" equalAverage="0" bottom="0" percent="0" rank="0" text="" dxfId="0">
      <formula>AND(ISNUMBER(J67),ISNUMBER(J68),J67&gt;=J68)</formula>
    </cfRule>
    <cfRule type="expression" priority="79" aboveAverage="0" equalAverage="0" bottom="0" percent="0" rank="0" text="" dxfId="1">
      <formula>AND(ISNUMBER(J67),ISNUMBER(J68),J67&lt;J68)</formula>
    </cfRule>
  </conditionalFormatting>
  <conditionalFormatting sqref="L67">
    <cfRule type="expression" priority="80" aboveAverage="0" equalAverage="0" bottom="0" percent="0" rank="0" text="" dxfId="0">
      <formula>AND(ISNUMBER(L67),ISNUMBER(L68),L67&gt;=L68)</formula>
    </cfRule>
    <cfRule type="expression" priority="81" aboveAverage="0" equalAverage="0" bottom="0" percent="0" rank="0" text="" dxfId="1">
      <formula>AND(ISNUMBER(L67),ISNUMBER(L68),L67&lt;L68)</formula>
    </cfRule>
  </conditionalFormatting>
  <conditionalFormatting sqref="D69">
    <cfRule type="expression" priority="82" aboveAverage="0" equalAverage="0" bottom="0" percent="0" rank="0" text="" dxfId="0">
      <formula>AND(ISNUMBER(D69),ISNUMBER(D70),D69&gt;=D70)</formula>
    </cfRule>
    <cfRule type="expression" priority="83" aboveAverage="0" equalAverage="0" bottom="0" percent="0" rank="0" text="" dxfId="1">
      <formula>AND(ISNUMBER(D69),ISNUMBER(D70),D69&lt;D70)</formula>
    </cfRule>
  </conditionalFormatting>
  <conditionalFormatting sqref="F69">
    <cfRule type="expression" priority="84" aboveAverage="0" equalAverage="0" bottom="0" percent="0" rank="0" text="" dxfId="0">
      <formula>AND(ISNUMBER(F69),ISNUMBER(F70),F69&gt;=F70)</formula>
    </cfRule>
    <cfRule type="expression" priority="85" aboveAverage="0" equalAverage="0" bottom="0" percent="0" rank="0" text="" dxfId="1">
      <formula>AND(ISNUMBER(F69),ISNUMBER(F70),F69&lt;F70)</formula>
    </cfRule>
  </conditionalFormatting>
  <conditionalFormatting sqref="H69">
    <cfRule type="expression" priority="86" aboveAverage="0" equalAverage="0" bottom="0" percent="0" rank="0" text="" dxfId="0">
      <formula>AND(ISNUMBER(H69),ISNUMBER(H70),H69&gt;=H70)</formula>
    </cfRule>
    <cfRule type="expression" priority="87" aboveAverage="0" equalAverage="0" bottom="0" percent="0" rank="0" text="" dxfId="1">
      <formula>AND(ISNUMBER(H69),ISNUMBER(H70),H69&lt;H70)</formula>
    </cfRule>
  </conditionalFormatting>
  <conditionalFormatting sqref="J69">
    <cfRule type="expression" priority="88" aboveAverage="0" equalAverage="0" bottom="0" percent="0" rank="0" text="" dxfId="0">
      <formula>AND(ISNUMBER(J69),ISNUMBER(J70),J69&gt;=J70)</formula>
    </cfRule>
    <cfRule type="expression" priority="89" aboveAverage="0" equalAverage="0" bottom="0" percent="0" rank="0" text="" dxfId="1">
      <formula>AND(ISNUMBER(J69),ISNUMBER(J70),J69&lt;J70)</formula>
    </cfRule>
  </conditionalFormatting>
  <conditionalFormatting sqref="L69">
    <cfRule type="expression" priority="90" aboveAverage="0" equalAverage="0" bottom="0" percent="0" rank="0" text="" dxfId="0">
      <formula>AND(ISNUMBER(L69),ISNUMBER(L70),L69&gt;=L70)</formula>
    </cfRule>
    <cfRule type="expression" priority="91" aboveAverage="0" equalAverage="0" bottom="0" percent="0" rank="0" text="" dxfId="1">
      <formula>AND(ISNUMBER(L69),ISNUMBER(L70),L69&lt;L70)</formula>
    </cfRule>
  </conditionalFormatting>
  <conditionalFormatting sqref="D74">
    <cfRule type="expression" priority="92" aboveAverage="0" equalAverage="0" bottom="0" percent="0" rank="0" text="" dxfId="0">
      <formula>AND(ISNUMBER(D74),ISNUMBER(D75),D74&gt;=D75)</formula>
    </cfRule>
    <cfRule type="expression" priority="93" aboveAverage="0" equalAverage="0" bottom="0" percent="0" rank="0" text="" dxfId="1">
      <formula>AND(ISNUMBER(D74),ISNUMBER(D75),D74&lt;D75)</formula>
    </cfRule>
  </conditionalFormatting>
  <conditionalFormatting sqref="F74">
    <cfRule type="expression" priority="94" aboveAverage="0" equalAverage="0" bottom="0" percent="0" rank="0" text="" dxfId="0">
      <formula>AND(ISNUMBER(F74),ISNUMBER(F75),F74&gt;=F75)</formula>
    </cfRule>
    <cfRule type="expression" priority="95" aboveAverage="0" equalAverage="0" bottom="0" percent="0" rank="0" text="" dxfId="1">
      <formula>AND(ISNUMBER(F74),ISNUMBER(F75),F74&lt;F75)</formula>
    </cfRule>
  </conditionalFormatting>
  <conditionalFormatting sqref="H74">
    <cfRule type="expression" priority="96" aboveAverage="0" equalAverage="0" bottom="0" percent="0" rank="0" text="" dxfId="0">
      <formula>AND(ISNUMBER(H74),ISNUMBER(H75),H74&gt;=H75)</formula>
    </cfRule>
    <cfRule type="expression" priority="97" aboveAverage="0" equalAverage="0" bottom="0" percent="0" rank="0" text="" dxfId="1">
      <formula>AND(ISNUMBER(H74),ISNUMBER(H75),H74&lt;H75)</formula>
    </cfRule>
  </conditionalFormatting>
  <conditionalFormatting sqref="J74">
    <cfRule type="expression" priority="98" aboveAverage="0" equalAverage="0" bottom="0" percent="0" rank="0" text="" dxfId="0">
      <formula>AND(ISNUMBER(J74),ISNUMBER(J75),J74&gt;=J75)</formula>
    </cfRule>
    <cfRule type="expression" priority="99" aboveAverage="0" equalAverage="0" bottom="0" percent="0" rank="0" text="" dxfId="1">
      <formula>AND(ISNUMBER(J74),ISNUMBER(J75),J74&lt;J75)</formula>
    </cfRule>
  </conditionalFormatting>
  <conditionalFormatting sqref="L74">
    <cfRule type="expression" priority="100" aboveAverage="0" equalAverage="0" bottom="0" percent="0" rank="0" text="" dxfId="0">
      <formula>AND(ISNUMBER(L74),ISNUMBER(L75),L74&gt;=L75)</formula>
    </cfRule>
    <cfRule type="expression" priority="101" aboveAverage="0" equalAverage="0" bottom="0" percent="0" rank="0" text="" dxfId="1">
      <formula>AND(ISNUMBER(L74),ISNUMBER(L75),L74&lt;L75)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K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7" t="s">
        <v>1164</v>
      </c>
    </row>
    <row r="2" customFormat="false" ht="15" hidden="false" customHeight="false" outlineLevel="0" collapsed="false">
      <c r="A2" s="3" t="s">
        <v>1165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1127</v>
      </c>
      <c r="B5" s="12" t="s">
        <v>95</v>
      </c>
      <c r="C5" s="12" t="s">
        <v>1096</v>
      </c>
      <c r="D5" s="12" t="s">
        <v>927</v>
      </c>
      <c r="E5" s="12" t="s">
        <v>1096</v>
      </c>
      <c r="F5" s="12" t="s">
        <v>928</v>
      </c>
      <c r="G5" s="12" t="s">
        <v>1096</v>
      </c>
      <c r="H5" s="12" t="s">
        <v>929</v>
      </c>
      <c r="I5" s="12" t="s">
        <v>1096</v>
      </c>
      <c r="J5" s="12" t="s">
        <v>930</v>
      </c>
      <c r="K5" s="12" t="s">
        <v>1096</v>
      </c>
    </row>
    <row r="6" customFormat="false" ht="15" hidden="false" customHeight="false" outlineLevel="0" collapsed="false">
      <c r="A6" s="74" t="s">
        <v>1166</v>
      </c>
      <c r="B6" s="19" t="n">
        <v>80</v>
      </c>
      <c r="D6" s="19" t="n">
        <v>79</v>
      </c>
      <c r="E6" s="67" t="n">
        <f aca="false">IF(AND(ISNUMBER(D6),ISNUMBER(B6)),D6-B6,"")</f>
        <v>-1</v>
      </c>
      <c r="F6" s="19" t="n">
        <v>76</v>
      </c>
      <c r="G6" s="67" t="n">
        <f aca="false">IF(AND(ISNUMBER(F6),ISNUMBER(D6)),F6-D6,"")</f>
        <v>-3</v>
      </c>
      <c r="H6" s="19"/>
      <c r="I6" s="67" t="str">
        <f aca="false">IF(AND(ISNUMBER(H6),ISNUMBER(F6)),H6-F6,"")</f>
        <v/>
      </c>
      <c r="J6" s="19"/>
      <c r="K6" s="67" t="str">
        <f aca="false">IF(AND(ISNUMBER(J6),ISNUMBER(H6)),J6-H6,"")</f>
        <v/>
      </c>
    </row>
    <row r="7" customFormat="false" ht="15" hidden="false" customHeight="false" outlineLevel="0" collapsed="false">
      <c r="A7" s="74" t="s">
        <v>1167</v>
      </c>
      <c r="B7" s="19" t="n">
        <v>72</v>
      </c>
      <c r="D7" s="19" t="n">
        <v>73</v>
      </c>
      <c r="E7" s="67" t="n">
        <f aca="false">IF(AND(ISNUMBER(D7),ISNUMBER(B7)),D7-B7,"")</f>
        <v>1</v>
      </c>
      <c r="F7" s="19" t="n">
        <v>76</v>
      </c>
      <c r="G7" s="67" t="n">
        <f aca="false">IF(AND(ISNUMBER(F7),ISNUMBER(D7)),F7-D7,"")</f>
        <v>3</v>
      </c>
      <c r="H7" s="19"/>
      <c r="I7" s="67" t="str">
        <f aca="false">IF(AND(ISNUMBER(H7),ISNUMBER(F7)),H7-F7,"")</f>
        <v/>
      </c>
      <c r="J7" s="19"/>
      <c r="K7" s="67" t="str">
        <f aca="false">IF(AND(ISNUMBER(J7),ISNUMBER(H7)),J7-H7,"")</f>
        <v/>
      </c>
    </row>
    <row r="8" customFormat="false" ht="15" hidden="false" customHeight="false" outlineLevel="0" collapsed="false">
      <c r="A8" s="4" t="s">
        <v>1168</v>
      </c>
      <c r="B8" s="75" t="n">
        <v>78</v>
      </c>
      <c r="D8" s="75" t="n">
        <v>84</v>
      </c>
      <c r="E8" s="67" t="n">
        <f aca="false">IF(AND(ISNUMBER(D8),ISNUMBER(B8)),D8-B8,"")</f>
        <v>6</v>
      </c>
      <c r="F8" s="75" t="n">
        <v>89</v>
      </c>
      <c r="G8" s="67" t="n">
        <f aca="false">IF(AND(ISNUMBER(F8),ISNUMBER(D8)),F8-D8,"")</f>
        <v>5</v>
      </c>
      <c r="H8" s="75"/>
      <c r="I8" s="67" t="str">
        <f aca="false">IF(AND(ISNUMBER(H8),ISNUMBER(F8)),H8-F8,"")</f>
        <v/>
      </c>
      <c r="J8" s="75"/>
      <c r="K8" s="67" t="str">
        <f aca="false">IF(AND(ISNUMBER(J8),ISNUMBER(H8)),J8-H8,"")</f>
        <v/>
      </c>
    </row>
    <row r="9" customFormat="false" ht="15" hidden="false" customHeight="false" outlineLevel="0" collapsed="false">
      <c r="A9" s="74" t="s">
        <v>1169</v>
      </c>
      <c r="B9" s="19" t="n">
        <v>85</v>
      </c>
      <c r="D9" s="19" t="n">
        <v>86</v>
      </c>
      <c r="E9" s="67" t="n">
        <f aca="false">IF(AND(ISNUMBER(D9),ISNUMBER(B9)),D9-B9,"")</f>
        <v>1</v>
      </c>
      <c r="F9" s="19" t="n">
        <v>85</v>
      </c>
      <c r="G9" s="67" t="n">
        <f aca="false">IF(AND(ISNUMBER(F9),ISNUMBER(D9)),F9-D9,"")</f>
        <v>-1</v>
      </c>
      <c r="H9" s="19"/>
      <c r="I9" s="67" t="str">
        <f aca="false">IF(AND(ISNUMBER(H9),ISNUMBER(F9)),H9-F9,"")</f>
        <v/>
      </c>
      <c r="J9" s="19"/>
      <c r="K9" s="67" t="str">
        <f aca="false">IF(AND(ISNUMBER(J9),ISNUMBER(H9)),J9-H9,"")</f>
        <v/>
      </c>
    </row>
    <row r="10" customFormat="false" ht="15" hidden="false" customHeight="false" outlineLevel="0" collapsed="false">
      <c r="A10" s="74" t="s">
        <v>1170</v>
      </c>
      <c r="B10" s="19" t="n">
        <v>70</v>
      </c>
      <c r="D10" s="19" t="n">
        <v>72</v>
      </c>
      <c r="E10" s="67" t="n">
        <f aca="false">IF(AND(ISNUMBER(D10),ISNUMBER(B10)),D10-B10,"")</f>
        <v>2</v>
      </c>
      <c r="F10" s="19" t="n">
        <v>64</v>
      </c>
      <c r="G10" s="67" t="n">
        <f aca="false">IF(AND(ISNUMBER(F10),ISNUMBER(D10)),F10-D10,"")</f>
        <v>-8</v>
      </c>
      <c r="H10" s="19"/>
      <c r="I10" s="67" t="str">
        <f aca="false">IF(AND(ISNUMBER(H10),ISNUMBER(F10)),H10-F10,"")</f>
        <v/>
      </c>
      <c r="J10" s="19"/>
      <c r="K10" s="67" t="str">
        <f aca="false">IF(AND(ISNUMBER(J10),ISNUMBER(H10)),J10-H10,"")</f>
        <v/>
      </c>
    </row>
    <row r="11" customFormat="false" ht="15" hidden="false" customHeight="false" outlineLevel="0" collapsed="false">
      <c r="A11" s="74" t="s">
        <v>1171</v>
      </c>
      <c r="B11" s="19" t="n">
        <v>75</v>
      </c>
      <c r="D11" s="19" t="n">
        <v>75</v>
      </c>
      <c r="E11" s="67" t="n">
        <f aca="false">IF(AND(ISNUMBER(D11),ISNUMBER(B11)),D11-B11,"")</f>
        <v>0</v>
      </c>
      <c r="F11" s="19" t="n">
        <v>81</v>
      </c>
      <c r="G11" s="67" t="n">
        <f aca="false">IF(AND(ISNUMBER(F11),ISNUMBER(D11)),F11-D11,"")</f>
        <v>6</v>
      </c>
      <c r="H11" s="19"/>
      <c r="I11" s="67" t="str">
        <f aca="false">IF(AND(ISNUMBER(H11),ISNUMBER(F11)),H11-F11,"")</f>
        <v/>
      </c>
      <c r="J11" s="19"/>
      <c r="K11" s="67" t="str">
        <f aca="false">IF(AND(ISNUMBER(J11),ISNUMBER(H11)),J11-H11,"")</f>
        <v/>
      </c>
    </row>
    <row r="12" customFormat="false" ht="15" hidden="false" customHeight="false" outlineLevel="0" collapsed="false">
      <c r="A12" s="74" t="s">
        <v>1172</v>
      </c>
      <c r="B12" s="19" t="n">
        <v>82</v>
      </c>
      <c r="D12" s="19" t="n">
        <v>86</v>
      </c>
      <c r="E12" s="67" t="n">
        <f aca="false">IF(AND(ISNUMBER(D12),ISNUMBER(B12)),D12-B12,"")</f>
        <v>4</v>
      </c>
      <c r="F12" s="19" t="n">
        <v>92</v>
      </c>
      <c r="G12" s="67" t="n">
        <f aca="false">IF(AND(ISNUMBER(F12),ISNUMBER(D12)),F12-D12,"")</f>
        <v>6</v>
      </c>
      <c r="H12" s="19"/>
      <c r="I12" s="67" t="str">
        <f aca="false">IF(AND(ISNUMBER(H12),ISNUMBER(F12)),H12-F12,"")</f>
        <v/>
      </c>
      <c r="J12" s="19"/>
      <c r="K12" s="67" t="str">
        <f aca="false">IF(AND(ISNUMBER(J12),ISNUMBER(H12)),J12-H12,"")</f>
        <v/>
      </c>
    </row>
    <row r="13" customFormat="false" ht="15" hidden="false" customHeight="false" outlineLevel="0" collapsed="false">
      <c r="A13" s="74" t="s">
        <v>1173</v>
      </c>
      <c r="B13" s="19" t="n">
        <v>68</v>
      </c>
      <c r="D13" s="19" t="n">
        <v>71</v>
      </c>
      <c r="E13" s="67" t="n">
        <f aca="false">IF(AND(ISNUMBER(D13),ISNUMBER(B13)),D13-B13,"")</f>
        <v>3</v>
      </c>
      <c r="F13" s="19" t="n">
        <v>68</v>
      </c>
      <c r="G13" s="67" t="n">
        <f aca="false">IF(AND(ISNUMBER(F13),ISNUMBER(D13)),F13-D13,"")</f>
        <v>-3</v>
      </c>
      <c r="H13" s="19"/>
      <c r="I13" s="67" t="str">
        <f aca="false">IF(AND(ISNUMBER(H13),ISNUMBER(F13)),H13-F13,"")</f>
        <v/>
      </c>
      <c r="J13" s="19"/>
      <c r="K13" s="67" t="str">
        <f aca="false">IF(AND(ISNUMBER(J13),ISNUMBER(H13)),J13-H13,"")</f>
        <v/>
      </c>
    </row>
    <row r="14" customFormat="false" ht="15" hidden="false" customHeight="false" outlineLevel="0" collapsed="false">
      <c r="A14" s="5" t="s">
        <v>1174</v>
      </c>
      <c r="B14" s="26" t="n">
        <f aca="false">IF(COUNT(B6:B13)=0,"",AVERAGE(B6:B13))</f>
        <v>76.25</v>
      </c>
      <c r="D14" s="26" t="n">
        <f aca="false">IF(COUNT(D6:D13)=0,"",AVERAGE(D6:D13))</f>
        <v>78.25</v>
      </c>
      <c r="F14" s="26" t="n">
        <f aca="false">IF(COUNT(F6:F13)=0,"",AVERAGE(F6:F13))</f>
        <v>78.875</v>
      </c>
      <c r="H14" s="26" t="str">
        <f aca="false">IF(COUNT(H6:H13)=0,"",AVERAGE(H6:H13))</f>
        <v/>
      </c>
      <c r="J14" s="26" t="str">
        <f aca="false">IF(COUNT(J6:J13)=0,"",AVERAGE(J6:J13))</f>
        <v/>
      </c>
    </row>
    <row r="15" customFormat="false" ht="15" hidden="false" customHeight="false" outlineLevel="0" collapsed="false">
      <c r="A15" s="20" t="s">
        <v>1175</v>
      </c>
      <c r="B15" s="57" t="n">
        <f aca="false">IF(ISNUMBER(B8),RANK(B8,B6:B13,0),"")</f>
        <v>4</v>
      </c>
      <c r="D15" s="57" t="n">
        <f aca="false">IF(ISNUMBER(D8),RANK(D8,D6:D13,0),"")</f>
        <v>3</v>
      </c>
      <c r="E15" s="67" t="n">
        <f aca="false">IF(AND(ISNUMBER(D15),ISNUMBER(B15)),D15-B15,"")</f>
        <v>-1</v>
      </c>
      <c r="F15" s="57" t="n">
        <f aca="false">IF(ISNUMBER(F8),RANK(F8,F6:F13,0),"")</f>
        <v>2</v>
      </c>
      <c r="G15" s="67" t="n">
        <f aca="false">IF(AND(ISNUMBER(F15),ISNUMBER(D15)),F15-D15,"")</f>
        <v>-1</v>
      </c>
      <c r="H15" s="57" t="str">
        <f aca="false">IF(ISNUMBER(H8),RANK(H8,H6:H13,0),"")</f>
        <v/>
      </c>
      <c r="I15" s="67" t="str">
        <f aca="false">IF(AND(ISNUMBER(H15),ISNUMBER(F15)),H15-F15,"")</f>
        <v/>
      </c>
      <c r="J15" s="57" t="str">
        <f aca="false">IF(ISNUMBER(J8),RANK(J8,J6:J13,0),"")</f>
        <v/>
      </c>
      <c r="K15" s="67" t="str">
        <f aca="false">IF(AND(ISNUMBER(J15),ISNUMBER(H15)),J15-H15,"")</f>
        <v/>
      </c>
    </row>
    <row r="17" customFormat="false" ht="30" hidden="false" customHeight="true" outlineLevel="0" collapsed="false">
      <c r="A17" s="12" t="s">
        <v>368</v>
      </c>
      <c r="B17" s="12" t="s">
        <v>95</v>
      </c>
      <c r="C17" s="12" t="s">
        <v>1096</v>
      </c>
      <c r="D17" s="12" t="s">
        <v>927</v>
      </c>
      <c r="E17" s="12" t="s">
        <v>1096</v>
      </c>
      <c r="F17" s="12" t="s">
        <v>928</v>
      </c>
      <c r="G17" s="12" t="s">
        <v>1096</v>
      </c>
      <c r="H17" s="12" t="s">
        <v>929</v>
      </c>
      <c r="I17" s="12" t="s">
        <v>1096</v>
      </c>
      <c r="J17" s="12" t="s">
        <v>930</v>
      </c>
      <c r="K17" s="12" t="s">
        <v>1096</v>
      </c>
    </row>
    <row r="18" customFormat="false" ht="15" hidden="false" customHeight="false" outlineLevel="0" collapsed="false">
      <c r="A18" s="74" t="s">
        <v>1166</v>
      </c>
      <c r="B18" s="19" t="n">
        <v>3</v>
      </c>
      <c r="D18" s="19" t="n">
        <v>4</v>
      </c>
      <c r="E18" s="67" t="n">
        <f aca="false">IF(AND(ISNUMBER(D18),ISNUMBER(B18)),D18-B18,"")</f>
        <v>1</v>
      </c>
      <c r="F18" s="19" t="n">
        <v>5</v>
      </c>
      <c r="G18" s="67" t="n">
        <f aca="false">IF(AND(ISNUMBER(F18),ISNUMBER(D18)),F18-D18,"")</f>
        <v>1</v>
      </c>
      <c r="H18" s="19"/>
      <c r="I18" s="67" t="str">
        <f aca="false">IF(AND(ISNUMBER(H18),ISNUMBER(F18)),H18-F18,"")</f>
        <v/>
      </c>
      <c r="J18" s="19"/>
      <c r="K18" s="67" t="str">
        <f aca="false">IF(AND(ISNUMBER(J18),ISNUMBER(H18)),J18-H18,"")</f>
        <v/>
      </c>
    </row>
    <row r="19" customFormat="false" ht="15" hidden="false" customHeight="false" outlineLevel="0" collapsed="false">
      <c r="A19" s="74" t="s">
        <v>1167</v>
      </c>
      <c r="B19" s="19" t="n">
        <v>6</v>
      </c>
      <c r="D19" s="19" t="n">
        <v>6</v>
      </c>
      <c r="E19" s="67" t="n">
        <f aca="false">IF(AND(ISNUMBER(D19),ISNUMBER(B19)),D19-B19,"")</f>
        <v>0</v>
      </c>
      <c r="F19" s="19" t="n">
        <v>6</v>
      </c>
      <c r="G19" s="67" t="n">
        <f aca="false">IF(AND(ISNUMBER(F19),ISNUMBER(D19)),F19-D19,"")</f>
        <v>0</v>
      </c>
      <c r="H19" s="19"/>
      <c r="I19" s="67" t="str">
        <f aca="false">IF(AND(ISNUMBER(H19),ISNUMBER(F19)),H19-F19,"")</f>
        <v/>
      </c>
      <c r="J19" s="19"/>
      <c r="K19" s="67" t="str">
        <f aca="false">IF(AND(ISNUMBER(J19),ISNUMBER(H19)),J19-H19,"")</f>
        <v/>
      </c>
    </row>
    <row r="20" customFormat="false" ht="15" hidden="false" customHeight="false" outlineLevel="0" collapsed="false">
      <c r="A20" s="4" t="s">
        <v>1168</v>
      </c>
      <c r="B20" s="75" t="n">
        <v>4</v>
      </c>
      <c r="D20" s="75" t="n">
        <v>3</v>
      </c>
      <c r="E20" s="67" t="n">
        <f aca="false">IF(AND(ISNUMBER(D20),ISNUMBER(B20)),D20-B20,"")</f>
        <v>-1</v>
      </c>
      <c r="F20" s="75" t="n">
        <v>2</v>
      </c>
      <c r="G20" s="67" t="n">
        <f aca="false">IF(AND(ISNUMBER(F20),ISNUMBER(D20)),F20-D20,"")</f>
        <v>-1</v>
      </c>
      <c r="H20" s="75"/>
      <c r="I20" s="67" t="str">
        <f aca="false">IF(AND(ISNUMBER(H20),ISNUMBER(F20)),H20-F20,"")</f>
        <v/>
      </c>
      <c r="J20" s="75"/>
      <c r="K20" s="67" t="str">
        <f aca="false">IF(AND(ISNUMBER(J20),ISNUMBER(H20)),J20-H20,"")</f>
        <v/>
      </c>
    </row>
    <row r="21" customFormat="false" ht="15" hidden="false" customHeight="false" outlineLevel="0" collapsed="false">
      <c r="A21" s="74" t="s">
        <v>1169</v>
      </c>
      <c r="B21" s="19" t="n">
        <v>1</v>
      </c>
      <c r="D21" s="19" t="n">
        <v>1</v>
      </c>
      <c r="E21" s="67" t="n">
        <f aca="false">IF(AND(ISNUMBER(D21),ISNUMBER(B21)),D21-B21,"")</f>
        <v>0</v>
      </c>
      <c r="F21" s="19" t="n">
        <v>3</v>
      </c>
      <c r="G21" s="67" t="n">
        <f aca="false">IF(AND(ISNUMBER(F21),ISNUMBER(D21)),F21-D21,"")</f>
        <v>2</v>
      </c>
      <c r="H21" s="19"/>
      <c r="I21" s="67" t="str">
        <f aca="false">IF(AND(ISNUMBER(H21),ISNUMBER(F21)),H21-F21,"")</f>
        <v/>
      </c>
      <c r="J21" s="19"/>
      <c r="K21" s="67" t="str">
        <f aca="false">IF(AND(ISNUMBER(J21),ISNUMBER(H21)),J21-H21,"")</f>
        <v/>
      </c>
    </row>
    <row r="22" customFormat="false" ht="15" hidden="false" customHeight="false" outlineLevel="0" collapsed="false">
      <c r="A22" s="74" t="s">
        <v>1170</v>
      </c>
      <c r="B22" s="19" t="n">
        <v>7</v>
      </c>
      <c r="D22" s="19" t="n">
        <v>7</v>
      </c>
      <c r="E22" s="67" t="n">
        <f aca="false">IF(AND(ISNUMBER(D22),ISNUMBER(B22)),D22-B22,"")</f>
        <v>0</v>
      </c>
      <c r="F22" s="19" t="n">
        <v>8</v>
      </c>
      <c r="G22" s="67" t="n">
        <f aca="false">IF(AND(ISNUMBER(F22),ISNUMBER(D22)),F22-D22,"")</f>
        <v>1</v>
      </c>
      <c r="H22" s="19"/>
      <c r="I22" s="67" t="str">
        <f aca="false">IF(AND(ISNUMBER(H22),ISNUMBER(F22)),H22-F22,"")</f>
        <v/>
      </c>
      <c r="J22" s="19"/>
      <c r="K22" s="67" t="str">
        <f aca="false">IF(AND(ISNUMBER(J22),ISNUMBER(H22)),J22-H22,"")</f>
        <v/>
      </c>
    </row>
    <row r="23" customFormat="false" ht="15" hidden="false" customHeight="false" outlineLevel="0" collapsed="false">
      <c r="A23" s="74" t="s">
        <v>1171</v>
      </c>
      <c r="B23" s="19" t="n">
        <v>5</v>
      </c>
      <c r="D23" s="19" t="n">
        <v>5</v>
      </c>
      <c r="E23" s="67" t="n">
        <f aca="false">IF(AND(ISNUMBER(D23),ISNUMBER(B23)),D23-B23,"")</f>
        <v>0</v>
      </c>
      <c r="F23" s="19" t="n">
        <v>4</v>
      </c>
      <c r="G23" s="67" t="n">
        <f aca="false">IF(AND(ISNUMBER(F23),ISNUMBER(D23)),F23-D23,"")</f>
        <v>-1</v>
      </c>
      <c r="H23" s="19"/>
      <c r="I23" s="67" t="str">
        <f aca="false">IF(AND(ISNUMBER(H23),ISNUMBER(F23)),H23-F23,"")</f>
        <v/>
      </c>
      <c r="J23" s="19"/>
      <c r="K23" s="67" t="str">
        <f aca="false">IF(AND(ISNUMBER(J23),ISNUMBER(H23)),J23-H23,"")</f>
        <v/>
      </c>
    </row>
    <row r="24" customFormat="false" ht="15" hidden="false" customHeight="false" outlineLevel="0" collapsed="false">
      <c r="A24" s="74" t="s">
        <v>1172</v>
      </c>
      <c r="B24" s="19" t="n">
        <v>2</v>
      </c>
      <c r="D24" s="19" t="n">
        <v>2</v>
      </c>
      <c r="E24" s="67" t="n">
        <f aca="false">IF(AND(ISNUMBER(D24),ISNUMBER(B24)),D24-B24,"")</f>
        <v>0</v>
      </c>
      <c r="F24" s="19" t="n">
        <v>1</v>
      </c>
      <c r="G24" s="67" t="n">
        <f aca="false">IF(AND(ISNUMBER(F24),ISNUMBER(D24)),F24-D24,"")</f>
        <v>-1</v>
      </c>
      <c r="H24" s="19"/>
      <c r="I24" s="67" t="str">
        <f aca="false">IF(AND(ISNUMBER(H24),ISNUMBER(F24)),H24-F24,"")</f>
        <v/>
      </c>
      <c r="J24" s="19"/>
      <c r="K24" s="67" t="str">
        <f aca="false">IF(AND(ISNUMBER(J24),ISNUMBER(H24)),J24-H24,"")</f>
        <v/>
      </c>
    </row>
    <row r="25" customFormat="false" ht="15" hidden="false" customHeight="false" outlineLevel="0" collapsed="false">
      <c r="A25" s="74" t="s">
        <v>1173</v>
      </c>
      <c r="B25" s="19" t="n">
        <v>8</v>
      </c>
      <c r="D25" s="19" t="n">
        <v>8</v>
      </c>
      <c r="E25" s="67" t="n">
        <f aca="false">IF(AND(ISNUMBER(D25),ISNUMBER(B25)),D25-B25,"")</f>
        <v>0</v>
      </c>
      <c r="F25" s="19" t="n">
        <v>7</v>
      </c>
      <c r="G25" s="67" t="n">
        <f aca="false">IF(AND(ISNUMBER(F25),ISNUMBER(D25)),F25-D25,"")</f>
        <v>-1</v>
      </c>
      <c r="H25" s="19"/>
      <c r="I25" s="67" t="str">
        <f aca="false">IF(AND(ISNUMBER(H25),ISNUMBER(F25)),H25-F25,"")</f>
        <v/>
      </c>
      <c r="J25" s="19"/>
      <c r="K25" s="67" t="str">
        <f aca="false">IF(AND(ISNUMBER(J25),ISNUMBER(H25)),J25-H25,"")</f>
        <v/>
      </c>
    </row>
    <row r="26" customFormat="false" ht="15" hidden="false" customHeight="false" outlineLevel="0" collapsed="false">
      <c r="A26" s="5" t="s">
        <v>1174</v>
      </c>
      <c r="B26" s="26" t="n">
        <f aca="false">IF(COUNT(B18:B25)=0,"",AVERAGE(B18:B25))</f>
        <v>4.5</v>
      </c>
      <c r="D26" s="26" t="n">
        <f aca="false">IF(COUNT(D18:D25)=0,"",AVERAGE(D18:D25))</f>
        <v>4.5</v>
      </c>
      <c r="F26" s="26" t="n">
        <f aca="false">IF(COUNT(F18:F25)=0,"",AVERAGE(F18:F25))</f>
        <v>4.5</v>
      </c>
      <c r="H26" s="26" t="str">
        <f aca="false">IF(COUNT(H18:H25)=0,"",AVERAGE(H18:H25))</f>
        <v/>
      </c>
      <c r="J26" s="26" t="str">
        <f aca="false">IF(COUNT(J18:J25)=0,"",AVERAGE(J18:J25))</f>
        <v/>
      </c>
    </row>
    <row r="28" customFormat="false" ht="30" hidden="false" customHeight="true" outlineLevel="0" collapsed="false">
      <c r="A28" s="12" t="s">
        <v>1176</v>
      </c>
      <c r="B28" s="12" t="s">
        <v>95</v>
      </c>
      <c r="C28" s="12" t="s">
        <v>1096</v>
      </c>
      <c r="D28" s="12" t="s">
        <v>927</v>
      </c>
      <c r="E28" s="12" t="s">
        <v>1096</v>
      </c>
      <c r="F28" s="12" t="s">
        <v>928</v>
      </c>
      <c r="G28" s="12" t="s">
        <v>1096</v>
      </c>
      <c r="H28" s="12" t="s">
        <v>929</v>
      </c>
      <c r="I28" s="12" t="s">
        <v>1096</v>
      </c>
      <c r="J28" s="12" t="s">
        <v>930</v>
      </c>
      <c r="K28" s="12" t="s">
        <v>1096</v>
      </c>
    </row>
    <row r="29" customFormat="false" ht="15" hidden="false" customHeight="false" outlineLevel="0" collapsed="false">
      <c r="A29" s="74" t="s">
        <v>1166</v>
      </c>
      <c r="B29" s="72" t="n">
        <v>2.14</v>
      </c>
      <c r="D29" s="72" t="n">
        <v>2.09</v>
      </c>
      <c r="E29" s="73" t="n">
        <f aca="false">IF(AND(ISNUMBER(D29),ISNUMBER(B29)),D29-B29,"")</f>
        <v>-0.0500000000000003</v>
      </c>
      <c r="F29" s="72" t="n">
        <v>1.88</v>
      </c>
      <c r="G29" s="73" t="n">
        <f aca="false">IF(AND(ISNUMBER(F29),ISNUMBER(D29)),F29-D29,"")</f>
        <v>-0.21</v>
      </c>
      <c r="H29" s="72"/>
      <c r="I29" s="73" t="str">
        <f aca="false">IF(AND(ISNUMBER(H29),ISNUMBER(F29)),H29-F29,"")</f>
        <v/>
      </c>
      <c r="J29" s="72"/>
      <c r="K29" s="73" t="str">
        <f aca="false">IF(AND(ISNUMBER(J29),ISNUMBER(H29)),J29-H29,"")</f>
        <v/>
      </c>
    </row>
    <row r="30" customFormat="false" ht="15" hidden="false" customHeight="false" outlineLevel="0" collapsed="false">
      <c r="A30" s="74" t="s">
        <v>1167</v>
      </c>
      <c r="B30" s="72" t="n">
        <v>2.06</v>
      </c>
      <c r="D30" s="72" t="n">
        <v>2</v>
      </c>
      <c r="E30" s="73" t="n">
        <f aca="false">IF(AND(ISNUMBER(D30),ISNUMBER(B30)),D30-B30,"")</f>
        <v>-0.0600000000000001</v>
      </c>
      <c r="F30" s="72" t="n">
        <v>2.08</v>
      </c>
      <c r="G30" s="73" t="n">
        <f aca="false">IF(AND(ISNUMBER(F30),ISNUMBER(D30)),F30-D30,"")</f>
        <v>0.0800000000000001</v>
      </c>
      <c r="H30" s="72"/>
      <c r="I30" s="73" t="str">
        <f aca="false">IF(AND(ISNUMBER(H30),ISNUMBER(F30)),H30-F30,"")</f>
        <v/>
      </c>
      <c r="J30" s="72"/>
      <c r="K30" s="73" t="str">
        <f aca="false">IF(AND(ISNUMBER(J30),ISNUMBER(H30)),J30-H30,"")</f>
        <v/>
      </c>
    </row>
    <row r="31" customFormat="false" ht="15" hidden="false" customHeight="false" outlineLevel="0" collapsed="false">
      <c r="A31" s="4" t="s">
        <v>1168</v>
      </c>
      <c r="B31" s="76" t="n">
        <v>2.1</v>
      </c>
      <c r="D31" s="76" t="n">
        <v>2.14</v>
      </c>
      <c r="E31" s="73" t="n">
        <f aca="false">IF(AND(ISNUMBER(D31),ISNUMBER(B31)),D31-B31,"")</f>
        <v>0.04</v>
      </c>
      <c r="F31" s="76" t="n">
        <v>1.9</v>
      </c>
      <c r="G31" s="73" t="n">
        <f aca="false">IF(AND(ISNUMBER(F31),ISNUMBER(D31)),F31-D31,"")</f>
        <v>-0.24</v>
      </c>
      <c r="H31" s="76"/>
      <c r="I31" s="73" t="str">
        <f aca="false">IF(AND(ISNUMBER(H31),ISNUMBER(F31)),H31-F31,"")</f>
        <v/>
      </c>
      <c r="J31" s="76"/>
      <c r="K31" s="73" t="str">
        <f aca="false">IF(AND(ISNUMBER(J31),ISNUMBER(H31)),J31-H31,"")</f>
        <v/>
      </c>
    </row>
    <row r="32" customFormat="false" ht="15" hidden="false" customHeight="false" outlineLevel="0" collapsed="false">
      <c r="A32" s="74" t="s">
        <v>1169</v>
      </c>
      <c r="B32" s="72" t="n">
        <v>2.04</v>
      </c>
      <c r="D32" s="72" t="n">
        <v>2.36</v>
      </c>
      <c r="E32" s="73" t="n">
        <f aca="false">IF(AND(ISNUMBER(D32),ISNUMBER(B32)),D32-B32,"")</f>
        <v>0.32</v>
      </c>
      <c r="F32" s="72" t="n">
        <v>2.34</v>
      </c>
      <c r="G32" s="73" t="n">
        <f aca="false">IF(AND(ISNUMBER(F32),ISNUMBER(D32)),F32-D32,"")</f>
        <v>-0.02</v>
      </c>
      <c r="H32" s="72"/>
      <c r="I32" s="73" t="str">
        <f aca="false">IF(AND(ISNUMBER(H32),ISNUMBER(F32)),H32-F32,"")</f>
        <v/>
      </c>
      <c r="J32" s="72"/>
      <c r="K32" s="73" t="str">
        <f aca="false">IF(AND(ISNUMBER(J32),ISNUMBER(H32)),J32-H32,"")</f>
        <v/>
      </c>
    </row>
    <row r="33" customFormat="false" ht="15" hidden="false" customHeight="false" outlineLevel="0" collapsed="false">
      <c r="A33" s="74" t="s">
        <v>1170</v>
      </c>
      <c r="B33" s="72" t="n">
        <v>2.07</v>
      </c>
      <c r="D33" s="72" t="n">
        <v>2.21</v>
      </c>
      <c r="E33" s="73" t="n">
        <f aca="false">IF(AND(ISNUMBER(D33),ISNUMBER(B33)),D33-B33,"")</f>
        <v>0.14</v>
      </c>
      <c r="F33" s="72" t="n">
        <v>2.13</v>
      </c>
      <c r="G33" s="73" t="n">
        <f aca="false">IF(AND(ISNUMBER(F33),ISNUMBER(D33)),F33-D33,"")</f>
        <v>-0.0800000000000001</v>
      </c>
      <c r="H33" s="72"/>
      <c r="I33" s="73" t="str">
        <f aca="false">IF(AND(ISNUMBER(H33),ISNUMBER(F33)),H33-F33,"")</f>
        <v/>
      </c>
      <c r="J33" s="72"/>
      <c r="K33" s="73" t="str">
        <f aca="false">IF(AND(ISNUMBER(J33),ISNUMBER(H33)),J33-H33,"")</f>
        <v/>
      </c>
    </row>
    <row r="34" customFormat="false" ht="15" hidden="false" customHeight="false" outlineLevel="0" collapsed="false">
      <c r="A34" s="74" t="s">
        <v>1171</v>
      </c>
      <c r="B34" s="72" t="n">
        <v>1.97</v>
      </c>
      <c r="D34" s="72" t="n">
        <v>2.1</v>
      </c>
      <c r="E34" s="73" t="n">
        <f aca="false">IF(AND(ISNUMBER(D34),ISNUMBER(B34)),D34-B34,"")</f>
        <v>0.13</v>
      </c>
      <c r="F34" s="72" t="n">
        <v>2.06</v>
      </c>
      <c r="G34" s="73" t="n">
        <f aca="false">IF(AND(ISNUMBER(F34),ISNUMBER(D34)),F34-D34,"")</f>
        <v>-0.04</v>
      </c>
      <c r="H34" s="72"/>
      <c r="I34" s="73" t="str">
        <f aca="false">IF(AND(ISNUMBER(H34),ISNUMBER(F34)),H34-F34,"")</f>
        <v/>
      </c>
      <c r="J34" s="72"/>
      <c r="K34" s="73" t="str">
        <f aca="false">IF(AND(ISNUMBER(J34),ISNUMBER(H34)),J34-H34,"")</f>
        <v/>
      </c>
    </row>
    <row r="35" customFormat="false" ht="15" hidden="false" customHeight="false" outlineLevel="0" collapsed="false">
      <c r="A35" s="74" t="s">
        <v>1172</v>
      </c>
      <c r="B35" s="72" t="n">
        <v>2.21</v>
      </c>
      <c r="D35" s="72" t="n">
        <v>2.3</v>
      </c>
      <c r="E35" s="73" t="n">
        <f aca="false">IF(AND(ISNUMBER(D35),ISNUMBER(B35)),D35-B35,"")</f>
        <v>0.0899999999999999</v>
      </c>
      <c r="F35" s="72" t="n">
        <v>2.06</v>
      </c>
      <c r="G35" s="73" t="n">
        <f aca="false">IF(AND(ISNUMBER(F35),ISNUMBER(D35)),F35-D35,"")</f>
        <v>-0.24</v>
      </c>
      <c r="H35" s="72"/>
      <c r="I35" s="73" t="str">
        <f aca="false">IF(AND(ISNUMBER(H35),ISNUMBER(F35)),H35-F35,"")</f>
        <v/>
      </c>
      <c r="J35" s="72"/>
      <c r="K35" s="73" t="str">
        <f aca="false">IF(AND(ISNUMBER(J35),ISNUMBER(H35)),J35-H35,"")</f>
        <v/>
      </c>
    </row>
    <row r="36" customFormat="false" ht="15" hidden="false" customHeight="false" outlineLevel="0" collapsed="false">
      <c r="A36" s="74" t="s">
        <v>1173</v>
      </c>
      <c r="B36" s="72" t="n">
        <v>2.17</v>
      </c>
      <c r="D36" s="72" t="n">
        <v>2.17</v>
      </c>
      <c r="E36" s="73" t="n">
        <f aca="false">IF(AND(ISNUMBER(D36),ISNUMBER(B36)),D36-B36,"")</f>
        <v>0</v>
      </c>
      <c r="F36" s="72" t="n">
        <v>2.15</v>
      </c>
      <c r="G36" s="73" t="n">
        <f aca="false">IF(AND(ISNUMBER(F36),ISNUMBER(D36)),F36-D36,"")</f>
        <v>-0.02</v>
      </c>
      <c r="H36" s="72"/>
      <c r="I36" s="73" t="str">
        <f aca="false">IF(AND(ISNUMBER(H36),ISNUMBER(F36)),H36-F36,"")</f>
        <v/>
      </c>
      <c r="J36" s="72"/>
      <c r="K36" s="73" t="str">
        <f aca="false">IF(AND(ISNUMBER(J36),ISNUMBER(H36)),J36-H36,"")</f>
        <v/>
      </c>
    </row>
    <row r="37" customFormat="false" ht="15" hidden="false" customHeight="false" outlineLevel="0" collapsed="false">
      <c r="A37" s="5" t="s">
        <v>1174</v>
      </c>
      <c r="B37" s="77" t="n">
        <f aca="false">IF(COUNT(B29:B36)=0,"",AVERAGE(B29:B36))</f>
        <v>2.095</v>
      </c>
      <c r="D37" s="77" t="n">
        <f aca="false">IF(COUNT(D29:D36)=0,"",AVERAGE(D29:D36))</f>
        <v>2.17125</v>
      </c>
      <c r="F37" s="77" t="n">
        <f aca="false">IF(COUNT(F29:F36)=0,"",AVERAGE(F29:F36))</f>
        <v>2.075</v>
      </c>
      <c r="H37" s="77" t="str">
        <f aca="false">IF(COUNT(H29:H36)=0,"",AVERAGE(H29:H36))</f>
        <v/>
      </c>
      <c r="J37" s="77" t="str">
        <f aca="false">IF(COUNT(J29:J36)=0,"",AVERAGE(J29:J36))</f>
        <v/>
      </c>
    </row>
    <row r="38" customFormat="false" ht="15" hidden="false" customHeight="false" outlineLevel="0" collapsed="false">
      <c r="A38" s="20" t="s">
        <v>1175</v>
      </c>
      <c r="B38" s="57" t="n">
        <f aca="false">IF(ISNUMBER(B31),RANK(B31,B29:B36,0),"")</f>
        <v>4</v>
      </c>
      <c r="D38" s="57" t="n">
        <f aca="false">IF(ISNUMBER(D31),RANK(D31,D29:D36,0),"")</f>
        <v>5</v>
      </c>
      <c r="E38" s="67" t="n">
        <f aca="false">IF(AND(ISNUMBER(D38),ISNUMBER(B38)),D38-B38,"")</f>
        <v>1</v>
      </c>
      <c r="F38" s="57" t="n">
        <f aca="false">IF(ISNUMBER(F31),RANK(F31,F29:F36,0),"")</f>
        <v>7</v>
      </c>
      <c r="G38" s="67" t="n">
        <f aca="false">IF(AND(ISNUMBER(F38),ISNUMBER(D38)),F38-D38,"")</f>
        <v>2</v>
      </c>
      <c r="H38" s="57" t="str">
        <f aca="false">IF(ISNUMBER(H31),RANK(H31,H29:H36,0),"")</f>
        <v/>
      </c>
      <c r="I38" s="67" t="str">
        <f aca="false">IF(AND(ISNUMBER(H38),ISNUMBER(F38)),H38-F38,"")</f>
        <v/>
      </c>
      <c r="J38" s="57" t="str">
        <f aca="false">IF(ISNUMBER(J31),RANK(J31,J29:J36,0),"")</f>
        <v/>
      </c>
      <c r="K38" s="67" t="str">
        <f aca="false">IF(AND(ISNUMBER(J38),ISNUMBER(H38)),J38-H38,"")</f>
        <v/>
      </c>
    </row>
    <row r="40" customFormat="false" ht="30" hidden="false" customHeight="true" outlineLevel="0" collapsed="false">
      <c r="A40" s="12" t="s">
        <v>1177</v>
      </c>
      <c r="B40" s="12" t="s">
        <v>95</v>
      </c>
      <c r="C40" s="12" t="s">
        <v>1096</v>
      </c>
      <c r="D40" s="12" t="s">
        <v>927</v>
      </c>
      <c r="E40" s="12" t="s">
        <v>1096</v>
      </c>
      <c r="F40" s="12" t="s">
        <v>928</v>
      </c>
      <c r="G40" s="12" t="s">
        <v>1096</v>
      </c>
      <c r="H40" s="12" t="s">
        <v>929</v>
      </c>
      <c r="I40" s="12" t="s">
        <v>1096</v>
      </c>
      <c r="J40" s="12" t="s">
        <v>930</v>
      </c>
      <c r="K40" s="12" t="s">
        <v>1096</v>
      </c>
    </row>
    <row r="41" customFormat="false" ht="15" hidden="false" customHeight="false" outlineLevel="0" collapsed="false">
      <c r="A41" s="74" t="s">
        <v>1166</v>
      </c>
      <c r="B41" s="38" t="n">
        <v>236</v>
      </c>
      <c r="D41" s="38" t="n">
        <v>238</v>
      </c>
      <c r="E41" s="71" t="n">
        <f aca="false">IF(AND(ISNUMBER(D41),ISNUMBER(B41)),D41-B41,"")</f>
        <v>2</v>
      </c>
      <c r="F41" s="38" t="n">
        <v>243</v>
      </c>
      <c r="G41" s="71" t="n">
        <f aca="false">IF(AND(ISNUMBER(F41),ISNUMBER(D41)),F41-D41,"")</f>
        <v>5</v>
      </c>
      <c r="H41" s="38"/>
      <c r="I41" s="71" t="str">
        <f aca="false">IF(AND(ISNUMBER(H41),ISNUMBER(F41)),H41-F41,"")</f>
        <v/>
      </c>
      <c r="J41" s="38"/>
      <c r="K41" s="71" t="str">
        <f aca="false">IF(AND(ISNUMBER(J41),ISNUMBER(H41)),J41-H41,"")</f>
        <v/>
      </c>
    </row>
    <row r="42" customFormat="false" ht="15" hidden="false" customHeight="false" outlineLevel="0" collapsed="false">
      <c r="A42" s="74" t="s">
        <v>1167</v>
      </c>
      <c r="B42" s="38" t="n">
        <v>250</v>
      </c>
      <c r="D42" s="38" t="n">
        <v>249</v>
      </c>
      <c r="E42" s="71" t="n">
        <f aca="false">IF(AND(ISNUMBER(D42),ISNUMBER(B42)),D42-B42,"")</f>
        <v>-1</v>
      </c>
      <c r="F42" s="38" t="n">
        <v>247</v>
      </c>
      <c r="G42" s="71" t="n">
        <f aca="false">IF(AND(ISNUMBER(F42),ISNUMBER(D42)),F42-D42,"")</f>
        <v>-2</v>
      </c>
      <c r="H42" s="38"/>
      <c r="I42" s="71" t="str">
        <f aca="false">IF(AND(ISNUMBER(H42),ISNUMBER(F42)),H42-F42,"")</f>
        <v/>
      </c>
      <c r="J42" s="38"/>
      <c r="K42" s="71" t="str">
        <f aca="false">IF(AND(ISNUMBER(J42),ISNUMBER(H42)),J42-H42,"")</f>
        <v/>
      </c>
    </row>
    <row r="43" customFormat="false" ht="15" hidden="false" customHeight="false" outlineLevel="0" collapsed="false">
      <c r="A43" s="4" t="s">
        <v>1168</v>
      </c>
      <c r="B43" s="78" t="n">
        <v>260</v>
      </c>
      <c r="D43" s="78" t="n">
        <v>257</v>
      </c>
      <c r="E43" s="71" t="n">
        <f aca="false">IF(AND(ISNUMBER(D43),ISNUMBER(B43)),D43-B43,"")</f>
        <v>-3</v>
      </c>
      <c r="F43" s="78" t="n">
        <v>253</v>
      </c>
      <c r="G43" s="71" t="n">
        <f aca="false">IF(AND(ISNUMBER(F43),ISNUMBER(D43)),F43-D43,"")</f>
        <v>-4</v>
      </c>
      <c r="H43" s="78"/>
      <c r="I43" s="71" t="str">
        <f aca="false">IF(AND(ISNUMBER(H43),ISNUMBER(F43)),H43-F43,"")</f>
        <v/>
      </c>
      <c r="J43" s="78"/>
      <c r="K43" s="71" t="str">
        <f aca="false">IF(AND(ISNUMBER(J43),ISNUMBER(H43)),J43-H43,"")</f>
        <v/>
      </c>
    </row>
    <row r="44" customFormat="false" ht="15" hidden="false" customHeight="false" outlineLevel="0" collapsed="false">
      <c r="A44" s="74" t="s">
        <v>1169</v>
      </c>
      <c r="B44" s="38" t="n">
        <v>263</v>
      </c>
      <c r="D44" s="38" t="n">
        <v>271</v>
      </c>
      <c r="E44" s="71" t="n">
        <f aca="false">IF(AND(ISNUMBER(D44),ISNUMBER(B44)),D44-B44,"")</f>
        <v>8</v>
      </c>
      <c r="F44" s="38" t="n">
        <v>265</v>
      </c>
      <c r="G44" s="71" t="n">
        <f aca="false">IF(AND(ISNUMBER(F44),ISNUMBER(D44)),F44-D44,"")</f>
        <v>-6</v>
      </c>
      <c r="H44" s="38"/>
      <c r="I44" s="71" t="str">
        <f aca="false">IF(AND(ISNUMBER(H44),ISNUMBER(F44)),H44-F44,"")</f>
        <v/>
      </c>
      <c r="J44" s="38"/>
      <c r="K44" s="71" t="str">
        <f aca="false">IF(AND(ISNUMBER(J44),ISNUMBER(H44)),J44-H44,"")</f>
        <v/>
      </c>
    </row>
    <row r="45" customFormat="false" ht="15" hidden="false" customHeight="false" outlineLevel="0" collapsed="false">
      <c r="A45" s="74" t="s">
        <v>1170</v>
      </c>
      <c r="B45" s="38" t="n">
        <v>271</v>
      </c>
      <c r="D45" s="38" t="n">
        <v>279</v>
      </c>
      <c r="E45" s="71" t="n">
        <f aca="false">IF(AND(ISNUMBER(D45),ISNUMBER(B45)),D45-B45,"")</f>
        <v>8</v>
      </c>
      <c r="F45" s="38" t="n">
        <v>275</v>
      </c>
      <c r="G45" s="71" t="n">
        <f aca="false">IF(AND(ISNUMBER(F45),ISNUMBER(D45)),F45-D45,"")</f>
        <v>-4</v>
      </c>
      <c r="H45" s="38"/>
      <c r="I45" s="71" t="str">
        <f aca="false">IF(AND(ISNUMBER(H45),ISNUMBER(F45)),H45-F45,"")</f>
        <v/>
      </c>
      <c r="J45" s="38"/>
      <c r="K45" s="71" t="str">
        <f aca="false">IF(AND(ISNUMBER(J45),ISNUMBER(H45)),J45-H45,"")</f>
        <v/>
      </c>
    </row>
    <row r="46" customFormat="false" ht="15" hidden="false" customHeight="false" outlineLevel="0" collapsed="false">
      <c r="A46" s="74" t="s">
        <v>1171</v>
      </c>
      <c r="B46" s="38" t="n">
        <v>279</v>
      </c>
      <c r="D46" s="38" t="n">
        <v>288</v>
      </c>
      <c r="E46" s="71" t="n">
        <f aca="false">IF(AND(ISNUMBER(D46),ISNUMBER(B46)),D46-B46,"")</f>
        <v>9</v>
      </c>
      <c r="F46" s="38" t="n">
        <v>287</v>
      </c>
      <c r="G46" s="71" t="n">
        <f aca="false">IF(AND(ISNUMBER(F46),ISNUMBER(D46)),F46-D46,"")</f>
        <v>-1</v>
      </c>
      <c r="H46" s="38"/>
      <c r="I46" s="71" t="str">
        <f aca="false">IF(AND(ISNUMBER(H46),ISNUMBER(F46)),H46-F46,"")</f>
        <v/>
      </c>
      <c r="J46" s="38"/>
      <c r="K46" s="71" t="str">
        <f aca="false">IF(AND(ISNUMBER(J46),ISNUMBER(H46)),J46-H46,"")</f>
        <v/>
      </c>
    </row>
    <row r="47" customFormat="false" ht="15" hidden="false" customHeight="false" outlineLevel="0" collapsed="false">
      <c r="A47" s="74" t="s">
        <v>1172</v>
      </c>
      <c r="B47" s="38" t="n">
        <v>294</v>
      </c>
      <c r="D47" s="38" t="n">
        <v>295</v>
      </c>
      <c r="E47" s="71" t="n">
        <f aca="false">IF(AND(ISNUMBER(D47),ISNUMBER(B47)),D47-B47,"")</f>
        <v>1</v>
      </c>
      <c r="F47" s="38" t="n">
        <v>300</v>
      </c>
      <c r="G47" s="71" t="n">
        <f aca="false">IF(AND(ISNUMBER(F47),ISNUMBER(D47)),F47-D47,"")</f>
        <v>5</v>
      </c>
      <c r="H47" s="38"/>
      <c r="I47" s="71" t="str">
        <f aca="false">IF(AND(ISNUMBER(H47),ISNUMBER(F47)),H47-F47,"")</f>
        <v/>
      </c>
      <c r="J47" s="38"/>
      <c r="K47" s="71" t="str">
        <f aca="false">IF(AND(ISNUMBER(J47),ISNUMBER(H47)),J47-H47,"")</f>
        <v/>
      </c>
    </row>
    <row r="48" customFormat="false" ht="15" hidden="false" customHeight="false" outlineLevel="0" collapsed="false">
      <c r="A48" s="74" t="s">
        <v>1173</v>
      </c>
      <c r="B48" s="38" t="n">
        <v>299</v>
      </c>
      <c r="D48" s="38" t="n">
        <v>297</v>
      </c>
      <c r="E48" s="71" t="n">
        <f aca="false">IF(AND(ISNUMBER(D48),ISNUMBER(B48)),D48-B48,"")</f>
        <v>-2</v>
      </c>
      <c r="F48" s="38" t="n">
        <v>303</v>
      </c>
      <c r="G48" s="71" t="n">
        <f aca="false">IF(AND(ISNUMBER(F48),ISNUMBER(D48)),F48-D48,"")</f>
        <v>6</v>
      </c>
      <c r="H48" s="38"/>
      <c r="I48" s="71" t="str">
        <f aca="false">IF(AND(ISNUMBER(H48),ISNUMBER(F48)),H48-F48,"")</f>
        <v/>
      </c>
      <c r="J48" s="38"/>
      <c r="K48" s="71" t="str">
        <f aca="false">IF(AND(ISNUMBER(J48),ISNUMBER(H48)),J48-H48,"")</f>
        <v/>
      </c>
    </row>
    <row r="49" customFormat="false" ht="15" hidden="false" customHeight="false" outlineLevel="0" collapsed="false">
      <c r="A49" s="5" t="s">
        <v>1174</v>
      </c>
      <c r="B49" s="35" t="n">
        <f aca="false">IF(COUNT(B41:B48)=0,"",AVERAGE(B41:B48))</f>
        <v>269</v>
      </c>
      <c r="D49" s="35" t="n">
        <f aca="false">IF(COUNT(D41:D48)=0,"",AVERAGE(D41:D48))</f>
        <v>271.75</v>
      </c>
      <c r="F49" s="35" t="n">
        <f aca="false">IF(COUNT(F41:F48)=0,"",AVERAGE(F41:F48))</f>
        <v>271.625</v>
      </c>
      <c r="H49" s="35" t="str">
        <f aca="false">IF(COUNT(H41:H48)=0,"",AVERAGE(H41:H48))</f>
        <v/>
      </c>
      <c r="J49" s="35" t="str">
        <f aca="false">IF(COUNT(J41:J48)=0,"",AVERAGE(J41:J48))</f>
        <v/>
      </c>
    </row>
    <row r="51" customFormat="false" ht="30" hidden="false" customHeight="true" outlineLevel="0" collapsed="false">
      <c r="A51" s="12" t="s">
        <v>1178</v>
      </c>
      <c r="B51" s="12" t="s">
        <v>95</v>
      </c>
      <c r="C51" s="12" t="s">
        <v>1096</v>
      </c>
      <c r="D51" s="12" t="s">
        <v>927</v>
      </c>
      <c r="E51" s="12" t="s">
        <v>1096</v>
      </c>
      <c r="F51" s="12" t="s">
        <v>928</v>
      </c>
      <c r="G51" s="12" t="s">
        <v>1096</v>
      </c>
      <c r="H51" s="12" t="s">
        <v>929</v>
      </c>
      <c r="I51" s="12" t="s">
        <v>1096</v>
      </c>
      <c r="J51" s="12" t="s">
        <v>930</v>
      </c>
      <c r="K51" s="12" t="s">
        <v>1096</v>
      </c>
    </row>
    <row r="52" customFormat="false" ht="15" hidden="false" customHeight="false" outlineLevel="0" collapsed="false">
      <c r="A52" s="74" t="s">
        <v>1166</v>
      </c>
      <c r="B52" s="28" t="n">
        <v>3.5</v>
      </c>
      <c r="D52" s="28" t="n">
        <v>3.6</v>
      </c>
      <c r="E52" s="66" t="n">
        <f aca="false">IF(AND(ISNUMBER(D52),ISNUMBER(B52)),D52-B52,"")</f>
        <v>0.1</v>
      </c>
      <c r="F52" s="28" t="n">
        <v>3.6</v>
      </c>
      <c r="G52" s="66" t="n">
        <f aca="false">IF(AND(ISNUMBER(F52),ISNUMBER(D52)),F52-D52,"")</f>
        <v>0</v>
      </c>
      <c r="H52" s="28"/>
      <c r="I52" s="66" t="str">
        <f aca="false">IF(AND(ISNUMBER(H52),ISNUMBER(F52)),H52-F52,"")</f>
        <v/>
      </c>
      <c r="J52" s="28"/>
      <c r="K52" s="66" t="str">
        <f aca="false">IF(AND(ISNUMBER(J52),ISNUMBER(H52)),J52-H52,"")</f>
        <v/>
      </c>
    </row>
    <row r="53" customFormat="false" ht="15" hidden="false" customHeight="false" outlineLevel="0" collapsed="false">
      <c r="A53" s="74" t="s">
        <v>1167</v>
      </c>
      <c r="B53" s="28" t="n">
        <v>3.6</v>
      </c>
      <c r="D53" s="28" t="n">
        <v>3.7</v>
      </c>
      <c r="E53" s="66" t="n">
        <f aca="false">IF(AND(ISNUMBER(D53),ISNUMBER(B53)),D53-B53,"")</f>
        <v>0.1</v>
      </c>
      <c r="F53" s="28" t="n">
        <v>3.7</v>
      </c>
      <c r="G53" s="66" t="n">
        <f aca="false">IF(AND(ISNUMBER(F53),ISNUMBER(D53)),F53-D53,"")</f>
        <v>0</v>
      </c>
      <c r="H53" s="28"/>
      <c r="I53" s="66" t="str">
        <f aca="false">IF(AND(ISNUMBER(H53),ISNUMBER(F53)),H53-F53,"")</f>
        <v/>
      </c>
      <c r="J53" s="28"/>
      <c r="K53" s="66" t="str">
        <f aca="false">IF(AND(ISNUMBER(J53),ISNUMBER(H53)),J53-H53,"")</f>
        <v/>
      </c>
    </row>
    <row r="54" customFormat="false" ht="15" hidden="false" customHeight="false" outlineLevel="0" collapsed="false">
      <c r="A54" s="4" t="s">
        <v>1168</v>
      </c>
      <c r="B54" s="79" t="n">
        <v>3.8</v>
      </c>
      <c r="D54" s="79" t="n">
        <v>3.8</v>
      </c>
      <c r="E54" s="66" t="n">
        <f aca="false">IF(AND(ISNUMBER(D54),ISNUMBER(B54)),D54-B54,"")</f>
        <v>0</v>
      </c>
      <c r="F54" s="79" t="n">
        <v>3.8</v>
      </c>
      <c r="G54" s="66" t="n">
        <f aca="false">IF(AND(ISNUMBER(F54),ISNUMBER(D54)),F54-D54,"")</f>
        <v>0</v>
      </c>
      <c r="H54" s="79"/>
      <c r="I54" s="66" t="str">
        <f aca="false">IF(AND(ISNUMBER(H54),ISNUMBER(F54)),H54-F54,"")</f>
        <v/>
      </c>
      <c r="J54" s="79"/>
      <c r="K54" s="66" t="str">
        <f aca="false">IF(AND(ISNUMBER(J54),ISNUMBER(H54)),J54-H54,"")</f>
        <v/>
      </c>
    </row>
    <row r="55" customFormat="false" ht="15" hidden="false" customHeight="false" outlineLevel="0" collapsed="false">
      <c r="A55" s="74" t="s">
        <v>1169</v>
      </c>
      <c r="B55" s="28" t="n">
        <v>4</v>
      </c>
      <c r="D55" s="28" t="n">
        <v>4</v>
      </c>
      <c r="E55" s="66" t="n">
        <f aca="false">IF(AND(ISNUMBER(D55),ISNUMBER(B55)),D55-B55,"")</f>
        <v>0</v>
      </c>
      <c r="F55" s="28" t="n">
        <v>4</v>
      </c>
      <c r="G55" s="66" t="n">
        <f aca="false">IF(AND(ISNUMBER(F55),ISNUMBER(D55)),F55-D55,"")</f>
        <v>0</v>
      </c>
      <c r="H55" s="28"/>
      <c r="I55" s="66" t="str">
        <f aca="false">IF(AND(ISNUMBER(H55),ISNUMBER(F55)),H55-F55,"")</f>
        <v/>
      </c>
      <c r="J55" s="28"/>
      <c r="K55" s="66" t="str">
        <f aca="false">IF(AND(ISNUMBER(J55),ISNUMBER(H55)),J55-H55,"")</f>
        <v/>
      </c>
    </row>
    <row r="56" customFormat="false" ht="15" hidden="false" customHeight="false" outlineLevel="0" collapsed="false">
      <c r="A56" s="74" t="s">
        <v>1170</v>
      </c>
      <c r="B56" s="28" t="n">
        <v>4</v>
      </c>
      <c r="D56" s="28" t="n">
        <v>4.1</v>
      </c>
      <c r="E56" s="66" t="n">
        <f aca="false">IF(AND(ISNUMBER(D56),ISNUMBER(B56)),D56-B56,"")</f>
        <v>0.0999999999999996</v>
      </c>
      <c r="F56" s="28" t="n">
        <v>4.1</v>
      </c>
      <c r="G56" s="66" t="n">
        <f aca="false">IF(AND(ISNUMBER(F56),ISNUMBER(D56)),F56-D56,"")</f>
        <v>0</v>
      </c>
      <c r="H56" s="28"/>
      <c r="I56" s="66" t="str">
        <f aca="false">IF(AND(ISNUMBER(H56),ISNUMBER(F56)),H56-F56,"")</f>
        <v/>
      </c>
      <c r="J56" s="28"/>
      <c r="K56" s="66" t="str">
        <f aca="false">IF(AND(ISNUMBER(J56),ISNUMBER(H56)),J56-H56,"")</f>
        <v/>
      </c>
    </row>
    <row r="57" customFormat="false" ht="15" hidden="false" customHeight="false" outlineLevel="0" collapsed="false">
      <c r="A57" s="74" t="s">
        <v>1171</v>
      </c>
      <c r="B57" s="28" t="n">
        <v>4.3</v>
      </c>
      <c r="D57" s="28" t="n">
        <v>4.2</v>
      </c>
      <c r="E57" s="66" t="n">
        <f aca="false">IF(AND(ISNUMBER(D57),ISNUMBER(B57)),D57-B57,"")</f>
        <v>-0.0999999999999996</v>
      </c>
      <c r="F57" s="28" t="n">
        <v>4.2</v>
      </c>
      <c r="G57" s="66" t="n">
        <f aca="false">IF(AND(ISNUMBER(F57),ISNUMBER(D57)),F57-D57,"")</f>
        <v>0</v>
      </c>
      <c r="H57" s="28"/>
      <c r="I57" s="66" t="str">
        <f aca="false">IF(AND(ISNUMBER(H57),ISNUMBER(F57)),H57-F57,"")</f>
        <v/>
      </c>
      <c r="J57" s="28"/>
      <c r="K57" s="66" t="str">
        <f aca="false">IF(AND(ISNUMBER(J57),ISNUMBER(H57)),J57-H57,"")</f>
        <v/>
      </c>
    </row>
    <row r="58" customFormat="false" ht="15" hidden="false" customHeight="false" outlineLevel="0" collapsed="false">
      <c r="A58" s="74" t="s">
        <v>1172</v>
      </c>
      <c r="B58" s="28" t="n">
        <v>4.4</v>
      </c>
      <c r="D58" s="28" t="n">
        <v>4.3</v>
      </c>
      <c r="E58" s="66" t="n">
        <f aca="false">IF(AND(ISNUMBER(D58),ISNUMBER(B58)),D58-B58,"")</f>
        <v>-0.100000000000001</v>
      </c>
      <c r="F58" s="28" t="n">
        <v>4.4</v>
      </c>
      <c r="G58" s="66" t="n">
        <f aca="false">IF(AND(ISNUMBER(F58),ISNUMBER(D58)),F58-D58,"")</f>
        <v>0.100000000000001</v>
      </c>
      <c r="H58" s="28"/>
      <c r="I58" s="66" t="str">
        <f aca="false">IF(AND(ISNUMBER(H58),ISNUMBER(F58)),H58-F58,"")</f>
        <v/>
      </c>
      <c r="J58" s="28"/>
      <c r="K58" s="66" t="str">
        <f aca="false">IF(AND(ISNUMBER(J58),ISNUMBER(H58)),J58-H58,"")</f>
        <v/>
      </c>
    </row>
    <row r="59" customFormat="false" ht="15" hidden="false" customHeight="false" outlineLevel="0" collapsed="false">
      <c r="A59" s="74" t="s">
        <v>1173</v>
      </c>
      <c r="B59" s="28" t="n">
        <v>4.6</v>
      </c>
      <c r="D59" s="28" t="n">
        <v>4.5</v>
      </c>
      <c r="E59" s="66" t="n">
        <f aca="false">IF(AND(ISNUMBER(D59),ISNUMBER(B59)),D59-B59,"")</f>
        <v>-0.0999999999999996</v>
      </c>
      <c r="F59" s="28" t="n">
        <v>4.6</v>
      </c>
      <c r="G59" s="66" t="n">
        <f aca="false">IF(AND(ISNUMBER(F59),ISNUMBER(D59)),F59-D59,"")</f>
        <v>0.0999999999999996</v>
      </c>
      <c r="H59" s="28"/>
      <c r="I59" s="66" t="str">
        <f aca="false">IF(AND(ISNUMBER(H59),ISNUMBER(F59)),H59-F59,"")</f>
        <v/>
      </c>
      <c r="J59" s="28"/>
      <c r="K59" s="66" t="str">
        <f aca="false">IF(AND(ISNUMBER(J59),ISNUMBER(H59)),J59-H59,"")</f>
        <v/>
      </c>
    </row>
    <row r="60" customFormat="false" ht="15" hidden="false" customHeight="false" outlineLevel="0" collapsed="false">
      <c r="A60" s="5" t="s">
        <v>1174</v>
      </c>
      <c r="B60" s="27" t="n">
        <f aca="false">IF(COUNT(B52:B59)=0,"",AVERAGE(B52:B59))</f>
        <v>4.025</v>
      </c>
      <c r="D60" s="27" t="n">
        <f aca="false">IF(COUNT(D52:D59)=0,"",AVERAGE(D52:D59))</f>
        <v>4.025</v>
      </c>
      <c r="F60" s="27" t="n">
        <f aca="false">IF(COUNT(F52:F59)=0,"",AVERAGE(F52:F59))</f>
        <v>4.05</v>
      </c>
      <c r="H60" s="27" t="str">
        <f aca="false">IF(COUNT(H52:H59)=0,"",AVERAGE(H52:H59))</f>
        <v/>
      </c>
      <c r="J60" s="27" t="str">
        <f aca="false">IF(COUNT(J52:J59)=0,"",AVERAGE(J52:J59))</f>
        <v/>
      </c>
    </row>
    <row r="61" customFormat="false" ht="15" hidden="false" customHeight="false" outlineLevel="0" collapsed="false">
      <c r="A61" s="20" t="s">
        <v>1175</v>
      </c>
      <c r="B61" s="57" t="n">
        <f aca="false">IF(ISNUMBER(B54),RANK(B54,B52:B59,0),"")</f>
        <v>6</v>
      </c>
      <c r="D61" s="57" t="n">
        <f aca="false">IF(ISNUMBER(D54),RANK(D54,D52:D59,0),"")</f>
        <v>6</v>
      </c>
      <c r="E61" s="67" t="n">
        <f aca="false">IF(AND(ISNUMBER(D61),ISNUMBER(B61)),D61-B61,"")</f>
        <v>0</v>
      </c>
      <c r="F61" s="57" t="n">
        <f aca="false">IF(ISNUMBER(F54),RANK(F54,F52:F59,0),"")</f>
        <v>6</v>
      </c>
      <c r="G61" s="67" t="n">
        <f aca="false">IF(AND(ISNUMBER(F61),ISNUMBER(D61)),F61-D61,"")</f>
        <v>0</v>
      </c>
      <c r="H61" s="57" t="str">
        <f aca="false">IF(ISNUMBER(H54),RANK(H54,H52:H59,0),"")</f>
        <v/>
      </c>
      <c r="I61" s="67" t="str">
        <f aca="false">IF(AND(ISNUMBER(H61),ISNUMBER(F61)),H61-F61,"")</f>
        <v/>
      </c>
      <c r="J61" s="57" t="str">
        <f aca="false">IF(ISNUMBER(J54),RANK(J54,J52:J59,0),"")</f>
        <v/>
      </c>
      <c r="K61" s="67" t="str">
        <f aca="false">IF(AND(ISNUMBER(J61),ISNUMBER(H61)),J61-H61,"")</f>
        <v/>
      </c>
    </row>
    <row r="63" customFormat="false" ht="30" hidden="false" customHeight="true" outlineLevel="0" collapsed="false">
      <c r="A63" s="12" t="s">
        <v>1179</v>
      </c>
      <c r="B63" s="12" t="s">
        <v>95</v>
      </c>
      <c r="C63" s="12" t="s">
        <v>1096</v>
      </c>
      <c r="D63" s="12" t="s">
        <v>927</v>
      </c>
      <c r="E63" s="12" t="s">
        <v>1096</v>
      </c>
      <c r="F63" s="12" t="s">
        <v>928</v>
      </c>
      <c r="G63" s="12" t="s">
        <v>1096</v>
      </c>
      <c r="H63" s="12" t="s">
        <v>929</v>
      </c>
      <c r="I63" s="12" t="s">
        <v>1096</v>
      </c>
      <c r="J63" s="12" t="s">
        <v>930</v>
      </c>
      <c r="K63" s="12" t="s">
        <v>1096</v>
      </c>
    </row>
    <row r="64" customFormat="false" ht="15" hidden="false" customHeight="false" outlineLevel="0" collapsed="false">
      <c r="A64" s="74" t="s">
        <v>1166</v>
      </c>
      <c r="B64" s="28" t="n">
        <v>13.1</v>
      </c>
      <c r="D64" s="28" t="n">
        <v>12.1</v>
      </c>
      <c r="E64" s="66" t="n">
        <f aca="false">IF(AND(ISNUMBER(D64),ISNUMBER(B64)),D64-B64,"")</f>
        <v>-1</v>
      </c>
      <c r="F64" s="28" t="n">
        <v>11.8</v>
      </c>
      <c r="G64" s="66" t="n">
        <f aca="false">IF(AND(ISNUMBER(F64),ISNUMBER(D64)),F64-D64,"")</f>
        <v>-0.299999999999999</v>
      </c>
      <c r="H64" s="28"/>
      <c r="I64" s="66" t="str">
        <f aca="false">IF(AND(ISNUMBER(H64),ISNUMBER(F64)),H64-F64,"")</f>
        <v/>
      </c>
      <c r="J64" s="28"/>
      <c r="K64" s="66" t="str">
        <f aca="false">IF(AND(ISNUMBER(J64),ISNUMBER(H64)),J64-H64,"")</f>
        <v/>
      </c>
    </row>
    <row r="65" customFormat="false" ht="15" hidden="false" customHeight="false" outlineLevel="0" collapsed="false">
      <c r="A65" s="74" t="s">
        <v>1167</v>
      </c>
      <c r="B65" s="28" t="n">
        <v>10.9</v>
      </c>
      <c r="D65" s="28" t="n">
        <v>12.7</v>
      </c>
      <c r="E65" s="66" t="n">
        <f aca="false">IF(AND(ISNUMBER(D65),ISNUMBER(B65)),D65-B65,"")</f>
        <v>1.8</v>
      </c>
      <c r="F65" s="28" t="n">
        <v>15.5</v>
      </c>
      <c r="G65" s="66" t="n">
        <f aca="false">IF(AND(ISNUMBER(F65),ISNUMBER(D65)),F65-D65,"")</f>
        <v>2.8</v>
      </c>
      <c r="H65" s="28"/>
      <c r="I65" s="66" t="str">
        <f aca="false">IF(AND(ISNUMBER(H65),ISNUMBER(F65)),H65-F65,"")</f>
        <v/>
      </c>
      <c r="J65" s="28"/>
      <c r="K65" s="66" t="str">
        <f aca="false">IF(AND(ISNUMBER(J65),ISNUMBER(H65)),J65-H65,"")</f>
        <v/>
      </c>
    </row>
    <row r="66" customFormat="false" ht="15" hidden="false" customHeight="false" outlineLevel="0" collapsed="false">
      <c r="A66" s="4" t="s">
        <v>1168</v>
      </c>
      <c r="B66" s="79" t="n">
        <v>13.3</v>
      </c>
      <c r="D66" s="79" t="n">
        <v>15.1</v>
      </c>
      <c r="E66" s="66" t="n">
        <f aca="false">IF(AND(ISNUMBER(D66),ISNUMBER(B66)),D66-B66,"")</f>
        <v>1.8</v>
      </c>
      <c r="F66" s="79" t="n">
        <v>9.7</v>
      </c>
      <c r="G66" s="66" t="n">
        <f aca="false">IF(AND(ISNUMBER(F66),ISNUMBER(D66)),F66-D66,"")</f>
        <v>-5.4</v>
      </c>
      <c r="H66" s="79"/>
      <c r="I66" s="66" t="str">
        <f aca="false">IF(AND(ISNUMBER(H66),ISNUMBER(F66)),H66-F66,"")</f>
        <v/>
      </c>
      <c r="J66" s="79"/>
      <c r="K66" s="66" t="str">
        <f aca="false">IF(AND(ISNUMBER(J66),ISNUMBER(H66)),J66-H66,"")</f>
        <v/>
      </c>
    </row>
    <row r="67" customFormat="false" ht="15" hidden="false" customHeight="false" outlineLevel="0" collapsed="false">
      <c r="A67" s="74" t="s">
        <v>1169</v>
      </c>
      <c r="B67" s="28" t="n">
        <v>12.6</v>
      </c>
      <c r="D67" s="28" t="n">
        <v>13.7</v>
      </c>
      <c r="E67" s="66" t="n">
        <f aca="false">IF(AND(ISNUMBER(D67),ISNUMBER(B67)),D67-B67,"")</f>
        <v>1.1</v>
      </c>
      <c r="F67" s="28" t="n">
        <v>10.4</v>
      </c>
      <c r="G67" s="66" t="n">
        <f aca="false">IF(AND(ISNUMBER(F67),ISNUMBER(D67)),F67-D67,"")</f>
        <v>-3.3</v>
      </c>
      <c r="H67" s="28"/>
      <c r="I67" s="66" t="str">
        <f aca="false">IF(AND(ISNUMBER(H67),ISNUMBER(F67)),H67-F67,"")</f>
        <v/>
      </c>
      <c r="J67" s="28"/>
      <c r="K67" s="66" t="str">
        <f aca="false">IF(AND(ISNUMBER(J67),ISNUMBER(H67)),J67-H67,"")</f>
        <v/>
      </c>
    </row>
    <row r="68" customFormat="false" ht="15" hidden="false" customHeight="false" outlineLevel="0" collapsed="false">
      <c r="A68" s="74" t="s">
        <v>1170</v>
      </c>
      <c r="B68" s="28" t="n">
        <v>15.2</v>
      </c>
      <c r="D68" s="28" t="n">
        <v>13.8</v>
      </c>
      <c r="E68" s="66" t="n">
        <f aca="false">IF(AND(ISNUMBER(D68),ISNUMBER(B68)),D68-B68,"")</f>
        <v>-1.4</v>
      </c>
      <c r="F68" s="28" t="n">
        <v>15.3</v>
      </c>
      <c r="G68" s="66" t="n">
        <f aca="false">IF(AND(ISNUMBER(F68),ISNUMBER(D68)),F68-D68,"")</f>
        <v>1.5</v>
      </c>
      <c r="H68" s="28"/>
      <c r="I68" s="66" t="str">
        <f aca="false">IF(AND(ISNUMBER(H68),ISNUMBER(F68)),H68-F68,"")</f>
        <v/>
      </c>
      <c r="J68" s="28"/>
      <c r="K68" s="66" t="str">
        <f aca="false">IF(AND(ISNUMBER(J68),ISNUMBER(H68)),J68-H68,"")</f>
        <v/>
      </c>
    </row>
    <row r="69" customFormat="false" ht="15" hidden="false" customHeight="false" outlineLevel="0" collapsed="false">
      <c r="A69" s="74" t="s">
        <v>1171</v>
      </c>
      <c r="B69" s="28" t="n">
        <v>11.1</v>
      </c>
      <c r="D69" s="28" t="n">
        <v>10.2</v>
      </c>
      <c r="E69" s="66" t="n">
        <f aca="false">IF(AND(ISNUMBER(D69),ISNUMBER(B69)),D69-B69,"")</f>
        <v>-0.9</v>
      </c>
      <c r="F69" s="28" t="n">
        <v>14.7</v>
      </c>
      <c r="G69" s="66" t="n">
        <f aca="false">IF(AND(ISNUMBER(F69),ISNUMBER(D69)),F69-D69,"")</f>
        <v>4.5</v>
      </c>
      <c r="H69" s="28"/>
      <c r="I69" s="66" t="str">
        <f aca="false">IF(AND(ISNUMBER(H69),ISNUMBER(F69)),H69-F69,"")</f>
        <v/>
      </c>
      <c r="J69" s="28"/>
      <c r="K69" s="66" t="str">
        <f aca="false">IF(AND(ISNUMBER(J69),ISNUMBER(H69)),J69-H69,"")</f>
        <v/>
      </c>
    </row>
    <row r="70" customFormat="false" ht="15" hidden="false" customHeight="false" outlineLevel="0" collapsed="false">
      <c r="A70" s="74" t="s">
        <v>1172</v>
      </c>
      <c r="B70" s="28" t="n">
        <v>14.3</v>
      </c>
      <c r="D70" s="28" t="n">
        <v>14.3</v>
      </c>
      <c r="E70" s="66" t="n">
        <f aca="false">IF(AND(ISNUMBER(D70),ISNUMBER(B70)),D70-B70,"")</f>
        <v>0</v>
      </c>
      <c r="F70" s="28" t="n">
        <v>12.1</v>
      </c>
      <c r="G70" s="66" t="n">
        <f aca="false">IF(AND(ISNUMBER(F70),ISNUMBER(D70)),F70-D70,"")</f>
        <v>-2.2</v>
      </c>
      <c r="H70" s="28"/>
      <c r="I70" s="66" t="str">
        <f aca="false">IF(AND(ISNUMBER(H70),ISNUMBER(F70)),H70-F70,"")</f>
        <v/>
      </c>
      <c r="J70" s="28"/>
      <c r="K70" s="66" t="str">
        <f aca="false">IF(AND(ISNUMBER(J70),ISNUMBER(H70)),J70-H70,"")</f>
        <v/>
      </c>
    </row>
    <row r="71" customFormat="false" ht="15" hidden="false" customHeight="false" outlineLevel="0" collapsed="false">
      <c r="A71" s="74" t="s">
        <v>1173</v>
      </c>
      <c r="B71" s="28" t="n">
        <v>10.1</v>
      </c>
      <c r="D71" s="28" t="n">
        <v>14.1</v>
      </c>
      <c r="E71" s="66" t="n">
        <f aca="false">IF(AND(ISNUMBER(D71),ISNUMBER(B71)),D71-B71,"")</f>
        <v>4</v>
      </c>
      <c r="F71" s="28" t="n">
        <v>12.6</v>
      </c>
      <c r="G71" s="66" t="n">
        <f aca="false">IF(AND(ISNUMBER(F71),ISNUMBER(D71)),F71-D71,"")</f>
        <v>-1.5</v>
      </c>
      <c r="H71" s="28"/>
      <c r="I71" s="66" t="str">
        <f aca="false">IF(AND(ISNUMBER(H71),ISNUMBER(F71)),H71-F71,"")</f>
        <v/>
      </c>
      <c r="J71" s="28"/>
      <c r="K71" s="66" t="str">
        <f aca="false">IF(AND(ISNUMBER(J71),ISNUMBER(H71)),J71-H71,"")</f>
        <v/>
      </c>
    </row>
    <row r="72" customFormat="false" ht="15" hidden="false" customHeight="false" outlineLevel="0" collapsed="false">
      <c r="A72" s="5" t="s">
        <v>1174</v>
      </c>
      <c r="B72" s="27" t="n">
        <f aca="false">IF(COUNT(B64:B71)=0,"",AVERAGE(B64:B71))</f>
        <v>12.575</v>
      </c>
      <c r="D72" s="27" t="n">
        <f aca="false">IF(COUNT(D64:D71)=0,"",AVERAGE(D64:D71))</f>
        <v>13.25</v>
      </c>
      <c r="F72" s="27" t="n">
        <f aca="false">IF(COUNT(F64:F71)=0,"",AVERAGE(F64:F71))</f>
        <v>12.7625</v>
      </c>
      <c r="H72" s="27" t="str">
        <f aca="false">IF(COUNT(H64:H71)=0,"",AVERAGE(H64:H71))</f>
        <v/>
      </c>
      <c r="J72" s="27" t="str">
        <f aca="false">IF(COUNT(J64:J71)=0,"",AVERAGE(J64:J71))</f>
        <v/>
      </c>
    </row>
    <row r="73" customFormat="false" ht="15" hidden="false" customHeight="false" outlineLevel="0" collapsed="false">
      <c r="A73" s="20" t="s">
        <v>1175</v>
      </c>
      <c r="B73" s="57" t="n">
        <f aca="false">IF(ISNUMBER(B66),RANK(B66,B64:B71,0),"")</f>
        <v>3</v>
      </c>
      <c r="D73" s="57" t="n">
        <f aca="false">IF(ISNUMBER(D66),RANK(D66,D64:D71,0),"")</f>
        <v>1</v>
      </c>
      <c r="E73" s="67" t="n">
        <f aca="false">IF(AND(ISNUMBER(D73),ISNUMBER(B73)),D73-B73,"")</f>
        <v>-2</v>
      </c>
      <c r="F73" s="57" t="n">
        <f aca="false">IF(ISNUMBER(F66),RANK(F66,F64:F71,0),"")</f>
        <v>8</v>
      </c>
      <c r="G73" s="67" t="n">
        <f aca="false">IF(AND(ISNUMBER(F73),ISNUMBER(D73)),F73-D73,"")</f>
        <v>7</v>
      </c>
      <c r="H73" s="57" t="str">
        <f aca="false">IF(ISNUMBER(H66),RANK(H66,H64:H71,0),"")</f>
        <v/>
      </c>
      <c r="I73" s="67" t="str">
        <f aca="false">IF(AND(ISNUMBER(H73),ISNUMBER(F73)),H73-F73,"")</f>
        <v/>
      </c>
      <c r="J73" s="57" t="str">
        <f aca="false">IF(ISNUMBER(J66),RANK(J66,J64:J71,0),"")</f>
        <v/>
      </c>
      <c r="K73" s="67" t="str">
        <f aca="false">IF(AND(ISNUMBER(J73),ISNUMBER(H73)),J73-H73,"")</f>
        <v/>
      </c>
    </row>
  </sheetData>
  <conditionalFormatting sqref="E6 G6 I6 K6">
    <cfRule type="expression" priority="2" aboveAverage="0" equalAverage="0" bottom="0" percent="0" rank="0" text="" dxfId="0">
      <formula>AND(ISNUMBER(E6),E6&gt;0)</formula>
    </cfRule>
    <cfRule type="expression" priority="3" aboveAverage="0" equalAverage="0" bottom="0" percent="0" rank="0" text="" dxfId="2">
      <formula>AND(ISNUMBER(E6),E6&lt;0)</formula>
    </cfRule>
  </conditionalFormatting>
  <conditionalFormatting sqref="E7 G7 I7 K7">
    <cfRule type="expression" priority="4" aboveAverage="0" equalAverage="0" bottom="0" percent="0" rank="0" text="" dxfId="0">
      <formula>AND(ISNUMBER(E7),E7&gt;0)</formula>
    </cfRule>
    <cfRule type="expression" priority="5" aboveAverage="0" equalAverage="0" bottom="0" percent="0" rank="0" text="" dxfId="2">
      <formula>AND(ISNUMBER(E7),E7&lt;0)</formula>
    </cfRule>
  </conditionalFormatting>
  <conditionalFormatting sqref="E8 G8 I8 K8">
    <cfRule type="expression" priority="6" aboveAverage="0" equalAverage="0" bottom="0" percent="0" rank="0" text="" dxfId="0">
      <formula>AND(ISNUMBER(E8),E8&gt;0)</formula>
    </cfRule>
    <cfRule type="expression" priority="7" aboveAverage="0" equalAverage="0" bottom="0" percent="0" rank="0" text="" dxfId="2">
      <formula>AND(ISNUMBER(E8),E8&lt;0)</formula>
    </cfRule>
  </conditionalFormatting>
  <conditionalFormatting sqref="E9 G9 I9 K9">
    <cfRule type="expression" priority="8" aboveAverage="0" equalAverage="0" bottom="0" percent="0" rank="0" text="" dxfId="0">
      <formula>AND(ISNUMBER(E9),E9&gt;0)</formula>
    </cfRule>
    <cfRule type="expression" priority="9" aboveAverage="0" equalAverage="0" bottom="0" percent="0" rank="0" text="" dxfId="2">
      <formula>AND(ISNUMBER(E9),E9&lt;0)</formula>
    </cfRule>
  </conditionalFormatting>
  <conditionalFormatting sqref="E10 G10 I10 K10">
    <cfRule type="expression" priority="10" aboveAverage="0" equalAverage="0" bottom="0" percent="0" rank="0" text="" dxfId="0">
      <formula>AND(ISNUMBER(E10),E10&gt;0)</formula>
    </cfRule>
    <cfRule type="expression" priority="11" aboveAverage="0" equalAverage="0" bottom="0" percent="0" rank="0" text="" dxfId="2">
      <formula>AND(ISNUMBER(E10),E10&lt;0)</formula>
    </cfRule>
  </conditionalFormatting>
  <conditionalFormatting sqref="E11 G11 I11 K11">
    <cfRule type="expression" priority="12" aboveAverage="0" equalAverage="0" bottom="0" percent="0" rank="0" text="" dxfId="0">
      <formula>AND(ISNUMBER(E11),E11&gt;0)</formula>
    </cfRule>
    <cfRule type="expression" priority="13" aboveAverage="0" equalAverage="0" bottom="0" percent="0" rank="0" text="" dxfId="2">
      <formula>AND(ISNUMBER(E11),E11&lt;0)</formula>
    </cfRule>
  </conditionalFormatting>
  <conditionalFormatting sqref="E12 G12 I12 K12">
    <cfRule type="expression" priority="14" aboveAverage="0" equalAverage="0" bottom="0" percent="0" rank="0" text="" dxfId="0">
      <formula>AND(ISNUMBER(E12),E12&gt;0)</formula>
    </cfRule>
    <cfRule type="expression" priority="15" aboveAverage="0" equalAverage="0" bottom="0" percent="0" rank="0" text="" dxfId="2">
      <formula>AND(ISNUMBER(E12),E12&lt;0)</formula>
    </cfRule>
  </conditionalFormatting>
  <conditionalFormatting sqref="E13 G13 I13 K13">
    <cfRule type="expression" priority="16" aboveAverage="0" equalAverage="0" bottom="0" percent="0" rank="0" text="" dxfId="0">
      <formula>AND(ISNUMBER(E13),E13&gt;0)</formula>
    </cfRule>
    <cfRule type="expression" priority="17" aboveAverage="0" equalAverage="0" bottom="0" percent="0" rank="0" text="" dxfId="2">
      <formula>AND(ISNUMBER(E13),E13&lt;0)</formula>
    </cfRule>
  </conditionalFormatting>
  <conditionalFormatting sqref="E15 G15 I15 K15">
    <cfRule type="expression" priority="18" aboveAverage="0" equalAverage="0" bottom="0" percent="0" rank="0" text="" dxfId="0">
      <formula>AND(ISNUMBER(E15),E15&lt;0)</formula>
    </cfRule>
    <cfRule type="expression" priority="19" aboveAverage="0" equalAverage="0" bottom="0" percent="0" rank="0" text="" dxfId="2">
      <formula>AND(ISNUMBER(E15),E15&gt;0)</formula>
    </cfRule>
  </conditionalFormatting>
  <conditionalFormatting sqref="E18 G18 I18 K18">
    <cfRule type="expression" priority="20" aboveAverage="0" equalAverage="0" bottom="0" percent="0" rank="0" text="" dxfId="0">
      <formula>AND(ISNUMBER(E18),E18&lt;0)</formula>
    </cfRule>
    <cfRule type="expression" priority="21" aboveAverage="0" equalAverage="0" bottom="0" percent="0" rank="0" text="" dxfId="2">
      <formula>AND(ISNUMBER(E18),E18&gt;0)</formula>
    </cfRule>
  </conditionalFormatting>
  <conditionalFormatting sqref="E19 G19 I19 K19">
    <cfRule type="expression" priority="22" aboveAverage="0" equalAverage="0" bottom="0" percent="0" rank="0" text="" dxfId="0">
      <formula>AND(ISNUMBER(E19),E19&lt;0)</formula>
    </cfRule>
    <cfRule type="expression" priority="23" aboveAverage="0" equalAverage="0" bottom="0" percent="0" rank="0" text="" dxfId="2">
      <formula>AND(ISNUMBER(E19),E19&gt;0)</formula>
    </cfRule>
  </conditionalFormatting>
  <conditionalFormatting sqref="E20 G20 I20 K20">
    <cfRule type="expression" priority="24" aboveAverage="0" equalAverage="0" bottom="0" percent="0" rank="0" text="" dxfId="0">
      <formula>AND(ISNUMBER(E20),E20&lt;0)</formula>
    </cfRule>
    <cfRule type="expression" priority="25" aboveAverage="0" equalAverage="0" bottom="0" percent="0" rank="0" text="" dxfId="2">
      <formula>AND(ISNUMBER(E20),E20&gt;0)</formula>
    </cfRule>
  </conditionalFormatting>
  <conditionalFormatting sqref="E21 G21 I21 K21">
    <cfRule type="expression" priority="26" aboveAverage="0" equalAverage="0" bottom="0" percent="0" rank="0" text="" dxfId="0">
      <formula>AND(ISNUMBER(E21),E21&lt;0)</formula>
    </cfRule>
    <cfRule type="expression" priority="27" aboveAverage="0" equalAverage="0" bottom="0" percent="0" rank="0" text="" dxfId="2">
      <formula>AND(ISNUMBER(E21),E21&gt;0)</formula>
    </cfRule>
  </conditionalFormatting>
  <conditionalFormatting sqref="E22 G22 I22 K22">
    <cfRule type="expression" priority="28" aboveAverage="0" equalAverage="0" bottom="0" percent="0" rank="0" text="" dxfId="0">
      <formula>AND(ISNUMBER(E22),E22&lt;0)</formula>
    </cfRule>
    <cfRule type="expression" priority="29" aboveAverage="0" equalAverage="0" bottom="0" percent="0" rank="0" text="" dxfId="2">
      <formula>AND(ISNUMBER(E22),E22&gt;0)</formula>
    </cfRule>
  </conditionalFormatting>
  <conditionalFormatting sqref="E23 G23 I23 K23">
    <cfRule type="expression" priority="30" aboveAverage="0" equalAverage="0" bottom="0" percent="0" rank="0" text="" dxfId="0">
      <formula>AND(ISNUMBER(E23),E23&lt;0)</formula>
    </cfRule>
    <cfRule type="expression" priority="31" aboveAverage="0" equalAverage="0" bottom="0" percent="0" rank="0" text="" dxfId="2">
      <formula>AND(ISNUMBER(E23),E23&gt;0)</formula>
    </cfRule>
  </conditionalFormatting>
  <conditionalFormatting sqref="E24 G24 I24 K24">
    <cfRule type="expression" priority="32" aboveAverage="0" equalAverage="0" bottom="0" percent="0" rank="0" text="" dxfId="0">
      <formula>AND(ISNUMBER(E24),E24&lt;0)</formula>
    </cfRule>
    <cfRule type="expression" priority="33" aboveAverage="0" equalAverage="0" bottom="0" percent="0" rank="0" text="" dxfId="2">
      <formula>AND(ISNUMBER(E24),E24&gt;0)</formula>
    </cfRule>
  </conditionalFormatting>
  <conditionalFormatting sqref="E25 G25 I25 K25">
    <cfRule type="expression" priority="34" aboveAverage="0" equalAverage="0" bottom="0" percent="0" rank="0" text="" dxfId="0">
      <formula>AND(ISNUMBER(E25),E25&lt;0)</formula>
    </cfRule>
    <cfRule type="expression" priority="35" aboveAverage="0" equalAverage="0" bottom="0" percent="0" rank="0" text="" dxfId="2">
      <formula>AND(ISNUMBER(E25),E25&gt;0)</formula>
    </cfRule>
  </conditionalFormatting>
  <conditionalFormatting sqref="E29 G29 I29 K29">
    <cfRule type="expression" priority="36" aboveAverage="0" equalAverage="0" bottom="0" percent="0" rank="0" text="" dxfId="0">
      <formula>AND(ISNUMBER(E29),E29&gt;0)</formula>
    </cfRule>
    <cfRule type="expression" priority="37" aboveAverage="0" equalAverage="0" bottom="0" percent="0" rank="0" text="" dxfId="2">
      <formula>AND(ISNUMBER(E29),E29&lt;0)</formula>
    </cfRule>
  </conditionalFormatting>
  <conditionalFormatting sqref="E30 G30 I30 K30">
    <cfRule type="expression" priority="38" aboveAverage="0" equalAverage="0" bottom="0" percent="0" rank="0" text="" dxfId="0">
      <formula>AND(ISNUMBER(E30),E30&gt;0)</formula>
    </cfRule>
    <cfRule type="expression" priority="39" aboveAverage="0" equalAverage="0" bottom="0" percent="0" rank="0" text="" dxfId="2">
      <formula>AND(ISNUMBER(E30),E30&lt;0)</formula>
    </cfRule>
  </conditionalFormatting>
  <conditionalFormatting sqref="E31 G31 I31 K31">
    <cfRule type="expression" priority="40" aboveAverage="0" equalAverage="0" bottom="0" percent="0" rank="0" text="" dxfId="0">
      <formula>AND(ISNUMBER(E31),E31&gt;0)</formula>
    </cfRule>
    <cfRule type="expression" priority="41" aboveAverage="0" equalAverage="0" bottom="0" percent="0" rank="0" text="" dxfId="2">
      <formula>AND(ISNUMBER(E31),E31&lt;0)</formula>
    </cfRule>
  </conditionalFormatting>
  <conditionalFormatting sqref="E32 G32 I32 K32">
    <cfRule type="expression" priority="42" aboveAverage="0" equalAverage="0" bottom="0" percent="0" rank="0" text="" dxfId="0">
      <formula>AND(ISNUMBER(E32),E32&gt;0)</formula>
    </cfRule>
    <cfRule type="expression" priority="43" aboveAverage="0" equalAverage="0" bottom="0" percent="0" rank="0" text="" dxfId="2">
      <formula>AND(ISNUMBER(E32),E32&lt;0)</formula>
    </cfRule>
  </conditionalFormatting>
  <conditionalFormatting sqref="E33 G33 I33 K33">
    <cfRule type="expression" priority="44" aboveAverage="0" equalAverage="0" bottom="0" percent="0" rank="0" text="" dxfId="0">
      <formula>AND(ISNUMBER(E33),E33&gt;0)</formula>
    </cfRule>
    <cfRule type="expression" priority="45" aboveAverage="0" equalAverage="0" bottom="0" percent="0" rank="0" text="" dxfId="2">
      <formula>AND(ISNUMBER(E33),E33&lt;0)</formula>
    </cfRule>
  </conditionalFormatting>
  <conditionalFormatting sqref="E34 G34 I34 K34">
    <cfRule type="expression" priority="46" aboveAverage="0" equalAverage="0" bottom="0" percent="0" rank="0" text="" dxfId="0">
      <formula>AND(ISNUMBER(E34),E34&gt;0)</formula>
    </cfRule>
    <cfRule type="expression" priority="47" aboveAverage="0" equalAverage="0" bottom="0" percent="0" rank="0" text="" dxfId="2">
      <formula>AND(ISNUMBER(E34),E34&lt;0)</formula>
    </cfRule>
  </conditionalFormatting>
  <conditionalFormatting sqref="E35 G35 I35 K35">
    <cfRule type="expression" priority="48" aboveAverage="0" equalAverage="0" bottom="0" percent="0" rank="0" text="" dxfId="0">
      <formula>AND(ISNUMBER(E35),E35&gt;0)</formula>
    </cfRule>
    <cfRule type="expression" priority="49" aboveAverage="0" equalAverage="0" bottom="0" percent="0" rank="0" text="" dxfId="2">
      <formula>AND(ISNUMBER(E35),E35&lt;0)</formula>
    </cfRule>
  </conditionalFormatting>
  <conditionalFormatting sqref="E36 G36 I36 K36">
    <cfRule type="expression" priority="50" aboveAverage="0" equalAverage="0" bottom="0" percent="0" rank="0" text="" dxfId="0">
      <formula>AND(ISNUMBER(E36),E36&gt;0)</formula>
    </cfRule>
    <cfRule type="expression" priority="51" aboveAverage="0" equalAverage="0" bottom="0" percent="0" rank="0" text="" dxfId="2">
      <formula>AND(ISNUMBER(E36),E36&lt;0)</formula>
    </cfRule>
  </conditionalFormatting>
  <conditionalFormatting sqref="E38 G38 I38 K38">
    <cfRule type="expression" priority="52" aboveAverage="0" equalAverage="0" bottom="0" percent="0" rank="0" text="" dxfId="0">
      <formula>AND(ISNUMBER(E38),E38&lt;0)</formula>
    </cfRule>
    <cfRule type="expression" priority="53" aboveAverage="0" equalAverage="0" bottom="0" percent="0" rank="0" text="" dxfId="2">
      <formula>AND(ISNUMBER(E38),E38&gt;0)</formula>
    </cfRule>
  </conditionalFormatting>
  <conditionalFormatting sqref="E52 G52 I52 K52">
    <cfRule type="expression" priority="54" aboveAverage="0" equalAverage="0" bottom="0" percent="0" rank="0" text="" dxfId="0">
      <formula>AND(ISNUMBER(E52),E52&gt;0)</formula>
    </cfRule>
    <cfRule type="expression" priority="55" aboveAverage="0" equalAverage="0" bottom="0" percent="0" rank="0" text="" dxfId="2">
      <formula>AND(ISNUMBER(E52),E52&lt;0)</formula>
    </cfRule>
  </conditionalFormatting>
  <conditionalFormatting sqref="E53 G53 I53 K53">
    <cfRule type="expression" priority="56" aboveAverage="0" equalAverage="0" bottom="0" percent="0" rank="0" text="" dxfId="0">
      <formula>AND(ISNUMBER(E53),E53&gt;0)</formula>
    </cfRule>
    <cfRule type="expression" priority="57" aboveAverage="0" equalAverage="0" bottom="0" percent="0" rank="0" text="" dxfId="2">
      <formula>AND(ISNUMBER(E53),E53&lt;0)</formula>
    </cfRule>
  </conditionalFormatting>
  <conditionalFormatting sqref="E54 G54 I54 K54">
    <cfRule type="expression" priority="58" aboveAverage="0" equalAverage="0" bottom="0" percent="0" rank="0" text="" dxfId="0">
      <formula>AND(ISNUMBER(E54),E54&gt;0)</formula>
    </cfRule>
    <cfRule type="expression" priority="59" aboveAverage="0" equalAverage="0" bottom="0" percent="0" rank="0" text="" dxfId="2">
      <formula>AND(ISNUMBER(E54),E54&lt;0)</formula>
    </cfRule>
  </conditionalFormatting>
  <conditionalFormatting sqref="E55 G55 I55 K55">
    <cfRule type="expression" priority="60" aboveAverage="0" equalAverage="0" bottom="0" percent="0" rank="0" text="" dxfId="0">
      <formula>AND(ISNUMBER(E55),E55&gt;0)</formula>
    </cfRule>
    <cfRule type="expression" priority="61" aboveAverage="0" equalAverage="0" bottom="0" percent="0" rank="0" text="" dxfId="2">
      <formula>AND(ISNUMBER(E55),E55&lt;0)</formula>
    </cfRule>
  </conditionalFormatting>
  <conditionalFormatting sqref="E56 G56 I56 K56">
    <cfRule type="expression" priority="62" aboveAverage="0" equalAverage="0" bottom="0" percent="0" rank="0" text="" dxfId="0">
      <formula>AND(ISNUMBER(E56),E56&gt;0)</formula>
    </cfRule>
    <cfRule type="expression" priority="63" aboveAverage="0" equalAverage="0" bottom="0" percent="0" rank="0" text="" dxfId="2">
      <formula>AND(ISNUMBER(E56),E56&lt;0)</formula>
    </cfRule>
  </conditionalFormatting>
  <conditionalFormatting sqref="E57 G57 I57 K57">
    <cfRule type="expression" priority="64" aboveAverage="0" equalAverage="0" bottom="0" percent="0" rank="0" text="" dxfId="0">
      <formula>AND(ISNUMBER(E57),E57&gt;0)</formula>
    </cfRule>
    <cfRule type="expression" priority="65" aboveAverage="0" equalAverage="0" bottom="0" percent="0" rank="0" text="" dxfId="2">
      <formula>AND(ISNUMBER(E57),E57&lt;0)</formula>
    </cfRule>
  </conditionalFormatting>
  <conditionalFormatting sqref="E58 G58 I58 K58">
    <cfRule type="expression" priority="66" aboveAverage="0" equalAverage="0" bottom="0" percent="0" rank="0" text="" dxfId="0">
      <formula>AND(ISNUMBER(E58),E58&gt;0)</formula>
    </cfRule>
    <cfRule type="expression" priority="67" aboveAverage="0" equalAverage="0" bottom="0" percent="0" rank="0" text="" dxfId="2">
      <formula>AND(ISNUMBER(E58),E58&lt;0)</formula>
    </cfRule>
  </conditionalFormatting>
  <conditionalFormatting sqref="E59 G59 I59 K59">
    <cfRule type="expression" priority="68" aboveAverage="0" equalAverage="0" bottom="0" percent="0" rank="0" text="" dxfId="0">
      <formula>AND(ISNUMBER(E59),E59&gt;0)</formula>
    </cfRule>
    <cfRule type="expression" priority="69" aboveAverage="0" equalAverage="0" bottom="0" percent="0" rank="0" text="" dxfId="2">
      <formula>AND(ISNUMBER(E59),E59&lt;0)</formula>
    </cfRule>
  </conditionalFormatting>
  <conditionalFormatting sqref="E61 G61 I61 K61">
    <cfRule type="expression" priority="70" aboveAverage="0" equalAverage="0" bottom="0" percent="0" rank="0" text="" dxfId="0">
      <formula>AND(ISNUMBER(E61),E61&lt;0)</formula>
    </cfRule>
    <cfRule type="expression" priority="71" aboveAverage="0" equalAverage="0" bottom="0" percent="0" rank="0" text="" dxfId="2">
      <formula>AND(ISNUMBER(E61),E61&gt;0)</formula>
    </cfRule>
  </conditionalFormatting>
  <conditionalFormatting sqref="E64 G64 I64 K64">
    <cfRule type="expression" priority="72" aboveAverage="0" equalAverage="0" bottom="0" percent="0" rank="0" text="" dxfId="0">
      <formula>AND(ISNUMBER(E64),E64&gt;0)</formula>
    </cfRule>
    <cfRule type="expression" priority="73" aboveAverage="0" equalAverage="0" bottom="0" percent="0" rank="0" text="" dxfId="2">
      <formula>AND(ISNUMBER(E64),E64&lt;0)</formula>
    </cfRule>
  </conditionalFormatting>
  <conditionalFormatting sqref="E65 G65 I65 K65">
    <cfRule type="expression" priority="74" aboveAverage="0" equalAverage="0" bottom="0" percent="0" rank="0" text="" dxfId="0">
      <formula>AND(ISNUMBER(E65),E65&gt;0)</formula>
    </cfRule>
    <cfRule type="expression" priority="75" aboveAverage="0" equalAverage="0" bottom="0" percent="0" rank="0" text="" dxfId="2">
      <formula>AND(ISNUMBER(E65),E65&lt;0)</formula>
    </cfRule>
  </conditionalFormatting>
  <conditionalFormatting sqref="E66 G66 I66 K66">
    <cfRule type="expression" priority="76" aboveAverage="0" equalAverage="0" bottom="0" percent="0" rank="0" text="" dxfId="0">
      <formula>AND(ISNUMBER(E66),E66&gt;0)</formula>
    </cfRule>
    <cfRule type="expression" priority="77" aboveAverage="0" equalAverage="0" bottom="0" percent="0" rank="0" text="" dxfId="2">
      <formula>AND(ISNUMBER(E66),E66&lt;0)</formula>
    </cfRule>
  </conditionalFormatting>
  <conditionalFormatting sqref="E67 G67 I67 K67">
    <cfRule type="expression" priority="78" aboveAverage="0" equalAverage="0" bottom="0" percent="0" rank="0" text="" dxfId="0">
      <formula>AND(ISNUMBER(E67),E67&gt;0)</formula>
    </cfRule>
    <cfRule type="expression" priority="79" aboveAverage="0" equalAverage="0" bottom="0" percent="0" rank="0" text="" dxfId="2">
      <formula>AND(ISNUMBER(E67),E67&lt;0)</formula>
    </cfRule>
  </conditionalFormatting>
  <conditionalFormatting sqref="E68 G68 I68 K68">
    <cfRule type="expression" priority="80" aboveAverage="0" equalAverage="0" bottom="0" percent="0" rank="0" text="" dxfId="0">
      <formula>AND(ISNUMBER(E68),E68&gt;0)</formula>
    </cfRule>
    <cfRule type="expression" priority="81" aboveAverage="0" equalAverage="0" bottom="0" percent="0" rank="0" text="" dxfId="2">
      <formula>AND(ISNUMBER(E68),E68&lt;0)</formula>
    </cfRule>
  </conditionalFormatting>
  <conditionalFormatting sqref="E69 G69 I69 K69">
    <cfRule type="expression" priority="82" aboveAverage="0" equalAverage="0" bottom="0" percent="0" rank="0" text="" dxfId="0">
      <formula>AND(ISNUMBER(E69),E69&gt;0)</formula>
    </cfRule>
    <cfRule type="expression" priority="83" aboveAverage="0" equalAverage="0" bottom="0" percent="0" rank="0" text="" dxfId="2">
      <formula>AND(ISNUMBER(E69),E69&lt;0)</formula>
    </cfRule>
  </conditionalFormatting>
  <conditionalFormatting sqref="E70 G70 I70 K70">
    <cfRule type="expression" priority="84" aboveAverage="0" equalAverage="0" bottom="0" percent="0" rank="0" text="" dxfId="0">
      <formula>AND(ISNUMBER(E70),E70&gt;0)</formula>
    </cfRule>
    <cfRule type="expression" priority="85" aboveAverage="0" equalAverage="0" bottom="0" percent="0" rank="0" text="" dxfId="2">
      <formula>AND(ISNUMBER(E70),E70&lt;0)</formula>
    </cfRule>
  </conditionalFormatting>
  <conditionalFormatting sqref="E71 G71 I71 K71">
    <cfRule type="expression" priority="86" aboveAverage="0" equalAverage="0" bottom="0" percent="0" rank="0" text="" dxfId="0">
      <formula>AND(ISNUMBER(E71),E71&gt;0)</formula>
    </cfRule>
    <cfRule type="expression" priority="87" aboveAverage="0" equalAverage="0" bottom="0" percent="0" rank="0" text="" dxfId="2">
      <formula>AND(ISNUMBER(E71),E71&lt;0)</formula>
    </cfRule>
  </conditionalFormatting>
  <conditionalFormatting sqref="E73 G73 I73 K73">
    <cfRule type="expression" priority="88" aboveAverage="0" equalAverage="0" bottom="0" percent="0" rank="0" text="" dxfId="0">
      <formula>AND(ISNUMBER(E73),E73&lt;0)</formula>
    </cfRule>
    <cfRule type="expression" priority="89" aboveAverage="0" equalAverage="0" bottom="0" percent="0" rank="0" text="" dxfId="2">
      <formula>AND(ISNUMBER(E73),E73&gt;0)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D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</cols>
  <sheetData>
    <row r="1" customFormat="false" ht="19.7" hidden="false" customHeight="false" outlineLevel="0" collapsed="false">
      <c r="A1" s="7" t="s">
        <v>1180</v>
      </c>
    </row>
    <row r="2" customFormat="false" ht="15" hidden="false" customHeight="false" outlineLevel="0" collapsed="false">
      <c r="A2" s="3" t="s">
        <v>1181</v>
      </c>
    </row>
    <row r="3" customFormat="false" ht="15" hidden="false" customHeight="false" outlineLevel="0" collapsed="false">
      <c r="A3" s="8" t="s">
        <v>85</v>
      </c>
    </row>
    <row r="58" customFormat="false" ht="15" hidden="false" customHeight="false" outlineLevel="0" collapsed="false">
      <c r="A58" s="20" t="s">
        <v>1182</v>
      </c>
    </row>
    <row r="59" customFormat="false" ht="30" hidden="false" customHeight="true" outlineLevel="0" collapsed="false">
      <c r="A59" s="12" t="s">
        <v>1183</v>
      </c>
      <c r="B59" s="12" t="s">
        <v>1184</v>
      </c>
      <c r="C59" s="12" t="s">
        <v>1185</v>
      </c>
      <c r="D59" s="12" t="s">
        <v>1186</v>
      </c>
    </row>
    <row r="60" customFormat="false" ht="15" hidden="false" customHeight="false" outlineLevel="0" collapsed="false">
      <c r="A60" s="5" t="s">
        <v>105</v>
      </c>
      <c r="B60" s="77" t="n">
        <f aca="false">IF(ISNUMBER('Season by Year'!D65),'Season by Year'!D65,"")</f>
        <v>1.85</v>
      </c>
      <c r="C60" s="77" t="n">
        <f aca="false">IF(ISNUMBER('Season by Year'!F65),'Season by Year'!F65,"")</f>
        <v>2.1</v>
      </c>
      <c r="D60" s="77" t="n">
        <f aca="false">IF(ISNUMBER('Season by Year'!H65),'Season by Year'!H65,"")</f>
        <v>2.32</v>
      </c>
    </row>
    <row r="61" customFormat="false" ht="15" hidden="false" customHeight="false" outlineLevel="0" collapsed="false">
      <c r="A61" s="5" t="s">
        <v>1187</v>
      </c>
      <c r="B61" s="77" t="n">
        <f aca="false">IF(ISNUMBER('Season by Year'!D66),'Season by Year'!D66,"")</f>
        <v>2</v>
      </c>
      <c r="C61" s="77" t="n">
        <f aca="false">IF(ISNUMBER('Season by Year'!F66),'Season by Year'!F66,"")</f>
        <v>2.15</v>
      </c>
      <c r="D61" s="77" t="n">
        <f aca="false">IF(ISNUMBER('Season by Year'!H66),'Season by Year'!H66,"")</f>
        <v>2.3</v>
      </c>
    </row>
    <row r="62" customFormat="false" ht="15" hidden="false" customHeight="false" outlineLevel="0" collapsed="false">
      <c r="A62" s="5" t="s">
        <v>1119</v>
      </c>
      <c r="B62" s="39" t="n">
        <f aca="false">IF(ISNUMBER('Season by Year'!D67),'Season by Year'!D67,"")</f>
        <v>0.142</v>
      </c>
      <c r="C62" s="39" t="n">
        <f aca="false">IF(ISNUMBER('Season by Year'!F67),'Season by Year'!F67,"")</f>
        <v>0.155</v>
      </c>
      <c r="D62" s="39" t="n">
        <f aca="false">IF(ISNUMBER('Season by Year'!H67),'Season by Year'!H67,"")</f>
        <v>0.168</v>
      </c>
    </row>
    <row r="63" customFormat="false" ht="15" hidden="false" customHeight="false" outlineLevel="0" collapsed="false">
      <c r="A63" s="5" t="s">
        <v>1188</v>
      </c>
      <c r="B63" s="39" t="n">
        <f aca="false">IF(ISNUMBER('Season by Year'!D68),'Season by Year'!D68,"")</f>
        <v>0.15</v>
      </c>
      <c r="C63" s="39" t="n">
        <f aca="false">IF(ISNUMBER('Season by Year'!F68),'Season by Year'!F68,"")</f>
        <v>0.155</v>
      </c>
      <c r="D63" s="39" t="n">
        <f aca="false">IF(ISNUMBER('Season by Year'!H68),'Season by Year'!H68,"")</f>
        <v>0.16</v>
      </c>
    </row>
    <row r="64" customFormat="false" ht="15" hidden="false" customHeight="false" outlineLevel="0" collapsed="false">
      <c r="A64" s="5" t="s">
        <v>1121</v>
      </c>
      <c r="B64" s="77" t="n">
        <f aca="false">IF(ISNUMBER('Season by Year'!D69),'Season by Year'!D69,"")</f>
        <v>22.4</v>
      </c>
      <c r="C64" s="77" t="n">
        <f aca="false">IF(ISNUMBER('Season by Year'!F69),'Season by Year'!F69,"")</f>
        <v>26.1</v>
      </c>
      <c r="D64" s="77" t="n">
        <f aca="false">IF(ISNUMBER('Season by Year'!H69),'Season by Year'!H69,"")</f>
        <v>29.5</v>
      </c>
    </row>
    <row r="65" customFormat="false" ht="15" hidden="false" customHeight="false" outlineLevel="0" collapsed="false">
      <c r="A65" s="5" t="s">
        <v>1189</v>
      </c>
      <c r="B65" s="77" t="n">
        <f aca="false">IF(ISNUMBER('Season by Year'!D70),'Season by Year'!D70,"")</f>
        <v>25</v>
      </c>
      <c r="C65" s="77" t="n">
        <f aca="false">IF(ISNUMBER('Season by Year'!F70),'Season by Year'!F70,"")</f>
        <v>27</v>
      </c>
      <c r="D65" s="77" t="n">
        <f aca="false">IF(ISNUMBER('Season by Year'!H70),'Season by Year'!H70,"")</f>
        <v>29</v>
      </c>
    </row>
    <row r="66" customFormat="false" ht="15" hidden="false" customHeight="false" outlineLevel="0" collapsed="false">
      <c r="A66" s="5" t="s">
        <v>1125</v>
      </c>
      <c r="B66" s="26" t="n">
        <f aca="false">IF(ISNUMBER('Season by Year'!D74),'Season by Year'!D74,"")</f>
        <v>68</v>
      </c>
      <c r="C66" s="26" t="n">
        <f aca="false">IF(ISNUMBER('Season by Year'!F74),'Season by Year'!F74,"")</f>
        <v>71</v>
      </c>
      <c r="D66" s="26" t="n">
        <f aca="false">IF(ISNUMBER('Season by Year'!H74),'Season by Year'!H74,"")</f>
        <v>74</v>
      </c>
    </row>
    <row r="67" customFormat="false" ht="15" hidden="false" customHeight="false" outlineLevel="0" collapsed="false">
      <c r="A67" s="5" t="s">
        <v>1190</v>
      </c>
      <c r="B67" s="26" t="n">
        <f aca="false">IF(ISNUMBER('Season by Year'!D75),'Season by Year'!D75,"")</f>
        <v>70</v>
      </c>
      <c r="C67" s="26" t="n">
        <f aca="false">IF(ISNUMBER('Season by Year'!F75),'Season by Year'!F75,"")</f>
        <v>72</v>
      </c>
      <c r="D67" s="26" t="n">
        <f aca="false">IF(ISNUMBER('Season by Year'!H75),'Season by Year'!H75,"")</f>
        <v>74</v>
      </c>
    </row>
    <row r="68" customFormat="false" ht="15" hidden="false" customHeight="false" outlineLevel="0" collapsed="false">
      <c r="A68" s="5" t="s">
        <v>1124</v>
      </c>
      <c r="B68" s="26" t="n">
        <f aca="false">IF(ISNUMBER('Season by Year'!D73),'Season by Year'!D73,"")</f>
        <v>8</v>
      </c>
      <c r="C68" s="26" t="n">
        <f aca="false">IF(ISNUMBER('Season by Year'!F73),'Season by Year'!F73,"")</f>
        <v>9</v>
      </c>
      <c r="D68" s="26" t="n">
        <f aca="false">IF(ISNUMBER('Season by Year'!H73),'Season by Year'!H73,"")</f>
        <v>10</v>
      </c>
    </row>
    <row r="69" customFormat="false" ht="15" hidden="false" customHeight="false" outlineLevel="0" collapsed="false">
      <c r="A69" s="5" t="s">
        <v>1127</v>
      </c>
      <c r="B69" s="26" t="n">
        <f aca="false">IF(ISNUMBER('Season by Year'!D76),'Season by Year'!D76,"")</f>
        <v>78</v>
      </c>
      <c r="C69" s="26" t="n">
        <f aca="false">IF(ISNUMBER('Season by Year'!F76),'Season by Year'!F76,"")</f>
        <v>84</v>
      </c>
      <c r="D69" s="26" t="n">
        <f aca="false">IF(ISNUMBER('Season by Year'!H76),'Season by Year'!H76,"")</f>
        <v>89</v>
      </c>
    </row>
    <row r="70" customFormat="false" ht="15" hidden="false" customHeight="false" outlineLevel="0" collapsed="false">
      <c r="A70" s="5" t="s">
        <v>368</v>
      </c>
      <c r="B70" s="26" t="n">
        <f aca="false">IF(ISNUMBER('Season by Year'!D77),'Season by Year'!D77,"")</f>
        <v>3</v>
      </c>
      <c r="C70" s="26" t="n">
        <f aca="false">IF(ISNUMBER('Season by Year'!F77),'Season by Year'!F77,"")</f>
        <v>2</v>
      </c>
      <c r="D70" s="26" t="n">
        <f aca="false">IF(ISNUMBER('Season by Year'!H77),'Season by Year'!H77,"")</f>
        <v>1</v>
      </c>
    </row>
    <row r="71" customFormat="false" ht="15" hidden="false" customHeight="false" outlineLevel="0" collapsed="false">
      <c r="A71" s="5" t="s">
        <v>1129</v>
      </c>
      <c r="B71" s="42" t="n">
        <f aca="false">IF(ISNUMBER('Season by Year'!D78),'Season by Year'!D78,"")</f>
        <v>412000</v>
      </c>
      <c r="C71" s="42" t="n">
        <f aca="false">IF(ISNUMBER('Season by Year'!F78),'Season by Year'!F78,"")</f>
        <v>455000</v>
      </c>
      <c r="D71" s="42" t="n">
        <f aca="false">IF(ISNUMBER('Season by Year'!H78),'Season by Year'!H78,"")</f>
        <v>498000</v>
      </c>
    </row>
    <row r="72" customFormat="false" ht="15" hidden="false" customHeight="false" outlineLevel="0" collapsed="false">
      <c r="A72" s="5" t="s">
        <v>1130</v>
      </c>
      <c r="B72" s="42" t="n">
        <f aca="false">IF(ISNUMBER('Season by Year'!D79),'Season by Year'!D79,"")</f>
        <v>18500</v>
      </c>
      <c r="C72" s="42" t="n">
        <f aca="false">IF(ISNUMBER('Season by Year'!F79),'Season by Year'!F79,"")</f>
        <v>21900</v>
      </c>
      <c r="D72" s="42" t="n">
        <f aca="false">IF(ISNUMBER('Season by Year'!H79),'Season by Year'!H79,"")</f>
        <v>24800</v>
      </c>
    </row>
    <row r="73" customFormat="false" ht="15" hidden="false" customHeight="false" outlineLevel="0" collapsed="false">
      <c r="A73" s="5" t="s">
        <v>1191</v>
      </c>
      <c r="B73" s="27" t="n">
        <f aca="false">IF(ISNUMBER('Season by Year'!D95),'Season by Year'!D95,"")</f>
        <v>12.225</v>
      </c>
      <c r="C73" s="27" t="n">
        <f aca="false">IF(ISNUMBER('Season by Year'!F95),'Season by Year'!F95,"")</f>
        <v>12.975</v>
      </c>
      <c r="D73" s="27" t="n">
        <f aca="false">IF(ISNUMBER('Season by Year'!H95),'Season by Year'!H95,"")</f>
        <v>13.575</v>
      </c>
    </row>
    <row r="74" customFormat="false" ht="15" hidden="false" customHeight="false" outlineLevel="0" collapsed="false">
      <c r="A74" s="5" t="s">
        <v>1192</v>
      </c>
      <c r="B74" s="27" t="n">
        <f aca="false">IF(ISNUMBER('Season by Year'!D110),'Season by Year'!D110,"")</f>
        <v>11.975</v>
      </c>
      <c r="C74" s="27" t="n">
        <f aca="false">IF(ISNUMBER('Season by Year'!F110),'Season by Year'!F110,"")</f>
        <v>12.55</v>
      </c>
      <c r="D74" s="27" t="n">
        <f aca="false">IF(ISNUMBER('Season by Year'!H110),'Season by Year'!H110,"")</f>
        <v>13.125</v>
      </c>
    </row>
    <row r="75" customFormat="false" ht="15" hidden="false" customHeight="false" outlineLevel="0" collapsed="false">
      <c r="A75" s="5" t="s">
        <v>1193</v>
      </c>
      <c r="B75" s="35" t="n">
        <f aca="false">IF(ISNUMBER('Season by Year'!D87),'Season by Year'!D87,"")</f>
        <v>182</v>
      </c>
      <c r="C75" s="35" t="n">
        <f aca="false">IF(ISNUMBER('Season by Year'!F87),'Season by Year'!F87,"")</f>
        <v>176</v>
      </c>
      <c r="D75" s="35" t="n">
        <f aca="false">IF(ISNUMBER('Season by Year'!H87),'Season by Year'!H87,"")</f>
        <v>171</v>
      </c>
    </row>
    <row r="76" customFormat="false" ht="15" hidden="false" customHeight="false" outlineLevel="0" collapsed="false">
      <c r="A76" s="5" t="s">
        <v>1194</v>
      </c>
      <c r="B76" s="35" t="n">
        <f aca="false">IF(ISNUMBER('Season by Year'!D88),'Season by Year'!D88,"")</f>
        <v>186</v>
      </c>
      <c r="C76" s="35" t="n">
        <f aca="false">IF(ISNUMBER('Season by Year'!F88),'Season by Year'!F88,"")</f>
        <v>184</v>
      </c>
      <c r="D76" s="35" t="n">
        <f aca="false">IF(ISNUMBER('Season by Year'!H88),'Season by Year'!H88,"")</f>
        <v>181</v>
      </c>
    </row>
    <row r="77" customFormat="false" ht="15" hidden="false" customHeight="false" outlineLevel="0" collapsed="false">
      <c r="A77" s="5" t="s">
        <v>1195</v>
      </c>
      <c r="B77" s="35" t="n">
        <f aca="false">IF(ISNUMBER('Season by Year'!D102),'Season by Year'!D102,"")</f>
        <v>905</v>
      </c>
      <c r="C77" s="35" t="n">
        <f aca="false">IF(ISNUMBER('Season by Year'!F102),'Season by Year'!F102,"")</f>
        <v>884</v>
      </c>
      <c r="D77" s="35" t="n">
        <f aca="false">IF(ISNUMBER('Season by Year'!H102),'Season by Year'!H102,"")</f>
        <v>870</v>
      </c>
    </row>
    <row r="78" customFormat="false" ht="15" hidden="false" customHeight="false" outlineLevel="0" collapsed="false">
      <c r="A78" s="5" t="s">
        <v>1196</v>
      </c>
      <c r="B78" s="35" t="n">
        <f aca="false">IF(ISNUMBER('Season by Year'!D103),'Season by Year'!D103,"")</f>
        <v>890</v>
      </c>
      <c r="C78" s="35" t="n">
        <f aca="false">IF(ISNUMBER('Season by Year'!F103),'Season by Year'!F103,"")</f>
        <v>879</v>
      </c>
      <c r="D78" s="35" t="n">
        <f aca="false">IF(ISNUMBER('Season by Year'!H103),'Season by Year'!H103,"")</f>
        <v>871</v>
      </c>
    </row>
    <row r="79" customFormat="false" ht="15" hidden="false" customHeight="false" outlineLevel="0" collapsed="false">
      <c r="A79" s="5" t="s">
        <v>1136</v>
      </c>
      <c r="B79" s="25" t="n">
        <f aca="false">IF(ISNUMBER('Season by Year'!D84),'Season by Year'!D84,"")</f>
        <v>-0.0434782608695652</v>
      </c>
      <c r="C79" s="25" t="n">
        <f aca="false">IF(ISNUMBER('Season by Year'!F84),'Season by Year'!F84,"")</f>
        <v>-0.044280442804428</v>
      </c>
      <c r="D79" s="25" t="n">
        <f aca="false">IF(ISNUMBER('Season by Year'!H84),'Season by Year'!H84,"")</f>
        <v>-0.0485074626865671</v>
      </c>
    </row>
    <row r="80" customFormat="false" ht="15" hidden="false" customHeight="false" outlineLevel="0" collapsed="false">
      <c r="A80" s="5" t="s">
        <v>1197</v>
      </c>
      <c r="B80" s="25" t="n">
        <f aca="false">IF(ISNUMBER('Season by Year'!D89),'Season by Year'!D89,"")</f>
        <v>-0.021505376344086</v>
      </c>
      <c r="C80" s="25" t="n">
        <f aca="false">IF(ISNUMBER('Season by Year'!F89),'Season by Year'!F89,"")</f>
        <v>-0.0434782608695652</v>
      </c>
      <c r="D80" s="25" t="n">
        <f aca="false">IF(ISNUMBER('Season by Year'!H89),'Season by Year'!H89,"")</f>
        <v>-0.0552486187845304</v>
      </c>
    </row>
    <row r="81" customFormat="false" ht="15" hidden="false" customHeight="false" outlineLevel="0" collapsed="false">
      <c r="A81" s="5" t="s">
        <v>1152</v>
      </c>
      <c r="B81" s="25" t="n">
        <f aca="false">IF(ISNUMBER('Season by Year'!D99),'Season by Year'!D99,"")</f>
        <v>0.0351464435146442</v>
      </c>
      <c r="C81" s="25" t="n">
        <f aca="false">IF(ISNUMBER('Season by Year'!F99),'Season by Year'!F99,"")</f>
        <v>0.0345117845117846</v>
      </c>
      <c r="D81" s="25" t="n">
        <f aca="false">IF(ISNUMBER('Season by Year'!H99),'Season by Year'!H99,"")</f>
        <v>0.0321761219305674</v>
      </c>
    </row>
    <row r="82" customFormat="false" ht="15" hidden="false" customHeight="false" outlineLevel="0" collapsed="false">
      <c r="A82" s="5" t="s">
        <v>1198</v>
      </c>
      <c r="B82" s="25" t="n">
        <f aca="false">IF(ISNUMBER('Season by Year'!D104),'Season by Year'!D104,"")</f>
        <v>0.0168539325842696</v>
      </c>
      <c r="C82" s="25" t="n">
        <f aca="false">IF(ISNUMBER('Season by Year'!F104),'Season by Year'!F104,"")</f>
        <v>0.00568828213879402</v>
      </c>
      <c r="D82" s="25" t="n">
        <f aca="false">IF(ISNUMBER('Season by Year'!H104),'Season by Year'!H104,"")</f>
        <v>-0.00114810562571754</v>
      </c>
    </row>
    <row r="83" customFormat="false" ht="15" hidden="false" customHeight="false" outlineLevel="0" collapsed="false">
      <c r="A83" s="5" t="s">
        <v>1142</v>
      </c>
      <c r="B83" s="39" t="n">
        <f aca="false">IF(ISNUMBER('Season by Year'!D90),'Season by Year'!D90,"")</f>
        <v>0.11</v>
      </c>
      <c r="C83" s="39" t="n">
        <f aca="false">IF(ISNUMBER('Season by Year'!F90),'Season by Year'!F90,"")</f>
        <v>0.125</v>
      </c>
      <c r="D83" s="39" t="n">
        <f aca="false">IF(ISNUMBER('Season by Year'!H90),'Season by Year'!H90,"")</f>
        <v>0.135</v>
      </c>
    </row>
    <row r="84" customFormat="false" ht="15" hidden="false" customHeight="false" outlineLevel="0" collapsed="false">
      <c r="A84" s="5" t="s">
        <v>1158</v>
      </c>
      <c r="B84" s="39" t="n">
        <f aca="false">IF(ISNUMBER('Season by Year'!D105),'Season by Year'!D105,"")</f>
        <v>0.09</v>
      </c>
      <c r="C84" s="39" t="n">
        <f aca="false">IF(ISNUMBER('Season by Year'!F105),'Season by Year'!F105,"")</f>
        <v>0.105</v>
      </c>
      <c r="D84" s="39" t="n">
        <f aca="false">IF(ISNUMBER('Season by Year'!H105),'Season by Year'!H105,"")</f>
        <v>0.112</v>
      </c>
    </row>
    <row r="85" customFormat="false" ht="15" hidden="false" customHeight="false" outlineLevel="0" collapsed="false">
      <c r="A85" s="5" t="s">
        <v>1166</v>
      </c>
      <c r="B85" s="26" t="n">
        <f aca="false">IF(ISNUMBER('Competition by Year'!B6),'Competition by Year'!B6,"")</f>
        <v>80</v>
      </c>
      <c r="C85" s="26" t="n">
        <f aca="false">IF(ISNUMBER('Competition by Year'!D6),'Competition by Year'!D6,"")</f>
        <v>79</v>
      </c>
      <c r="D85" s="26" t="n">
        <f aca="false">IF(ISNUMBER('Competition by Year'!F6),'Competition by Year'!F6,"")</f>
        <v>76</v>
      </c>
    </row>
    <row r="86" customFormat="false" ht="15" hidden="false" customHeight="false" outlineLevel="0" collapsed="false">
      <c r="A86" s="5" t="s">
        <v>1167</v>
      </c>
      <c r="B86" s="26" t="n">
        <f aca="false">IF(ISNUMBER('Competition by Year'!B7),'Competition by Year'!B7,"")</f>
        <v>72</v>
      </c>
      <c r="C86" s="26" t="n">
        <f aca="false">IF(ISNUMBER('Competition by Year'!D7),'Competition by Year'!D7,"")</f>
        <v>73</v>
      </c>
      <c r="D86" s="26" t="n">
        <f aca="false">IF(ISNUMBER('Competition by Year'!F7),'Competition by Year'!F7,"")</f>
        <v>76</v>
      </c>
    </row>
    <row r="87" customFormat="false" ht="15" hidden="false" customHeight="false" outlineLevel="0" collapsed="false">
      <c r="A87" s="5" t="s">
        <v>1199</v>
      </c>
      <c r="B87" s="26" t="n">
        <f aca="false">IF(ISNUMBER('Competition by Year'!B8),'Competition by Year'!B8,"")</f>
        <v>78</v>
      </c>
      <c r="C87" s="26" t="n">
        <f aca="false">IF(ISNUMBER('Competition by Year'!D8),'Competition by Year'!D8,"")</f>
        <v>84</v>
      </c>
      <c r="D87" s="26" t="n">
        <f aca="false">IF(ISNUMBER('Competition by Year'!F8),'Competition by Year'!F8,"")</f>
        <v>89</v>
      </c>
    </row>
    <row r="88" customFormat="false" ht="15" hidden="false" customHeight="false" outlineLevel="0" collapsed="false">
      <c r="A88" s="5" t="s">
        <v>1169</v>
      </c>
      <c r="B88" s="26" t="n">
        <f aca="false">IF(ISNUMBER('Competition by Year'!B9),'Competition by Year'!B9,"")</f>
        <v>85</v>
      </c>
      <c r="C88" s="26" t="n">
        <f aca="false">IF(ISNUMBER('Competition by Year'!D9),'Competition by Year'!D9,"")</f>
        <v>86</v>
      </c>
      <c r="D88" s="26" t="n">
        <f aca="false">IF(ISNUMBER('Competition by Year'!F9),'Competition by Year'!F9,"")</f>
        <v>85</v>
      </c>
    </row>
    <row r="89" customFormat="false" ht="15" hidden="false" customHeight="false" outlineLevel="0" collapsed="false">
      <c r="A89" s="5" t="s">
        <v>1170</v>
      </c>
      <c r="B89" s="26" t="n">
        <f aca="false">IF(ISNUMBER('Competition by Year'!B10),'Competition by Year'!B10,"")</f>
        <v>70</v>
      </c>
      <c r="C89" s="26" t="n">
        <f aca="false">IF(ISNUMBER('Competition by Year'!D10),'Competition by Year'!D10,"")</f>
        <v>72</v>
      </c>
      <c r="D89" s="26" t="n">
        <f aca="false">IF(ISNUMBER('Competition by Year'!F10),'Competition by Year'!F10,"")</f>
        <v>64</v>
      </c>
    </row>
    <row r="90" customFormat="false" ht="15" hidden="false" customHeight="false" outlineLevel="0" collapsed="false">
      <c r="A90" s="5" t="s">
        <v>1171</v>
      </c>
      <c r="B90" s="26" t="n">
        <f aca="false">IF(ISNUMBER('Competition by Year'!B11),'Competition by Year'!B11,"")</f>
        <v>75</v>
      </c>
      <c r="C90" s="26" t="n">
        <f aca="false">IF(ISNUMBER('Competition by Year'!D11),'Competition by Year'!D11,"")</f>
        <v>75</v>
      </c>
      <c r="D90" s="26" t="n">
        <f aca="false">IF(ISNUMBER('Competition by Year'!F11),'Competition by Year'!F11,"")</f>
        <v>81</v>
      </c>
    </row>
    <row r="91" customFormat="false" ht="15" hidden="false" customHeight="false" outlineLevel="0" collapsed="false">
      <c r="A91" s="5" t="s">
        <v>1172</v>
      </c>
      <c r="B91" s="26" t="n">
        <f aca="false">IF(ISNUMBER('Competition by Year'!B12),'Competition by Year'!B12,"")</f>
        <v>82</v>
      </c>
      <c r="C91" s="26" t="n">
        <f aca="false">IF(ISNUMBER('Competition by Year'!D12),'Competition by Year'!D12,"")</f>
        <v>86</v>
      </c>
      <c r="D91" s="26" t="n">
        <f aca="false">IF(ISNUMBER('Competition by Year'!F12),'Competition by Year'!F12,"")</f>
        <v>92</v>
      </c>
    </row>
    <row r="92" customFormat="false" ht="15" hidden="false" customHeight="false" outlineLevel="0" collapsed="false">
      <c r="A92" s="5" t="s">
        <v>1173</v>
      </c>
      <c r="B92" s="26" t="n">
        <f aca="false">IF(ISNUMBER('Competition by Year'!B13),'Competition by Year'!B13,"")</f>
        <v>68</v>
      </c>
      <c r="C92" s="26" t="n">
        <f aca="false">IF(ISNUMBER('Competition by Year'!D13),'Competition by Year'!D13,"")</f>
        <v>71</v>
      </c>
      <c r="D92" s="26" t="n">
        <f aca="false">IF(ISNUMBER('Competition by Year'!F13),'Competition by Year'!F13,"")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44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7" t="s">
        <v>1200</v>
      </c>
    </row>
    <row r="2" customFormat="false" ht="15" hidden="false" customHeight="false" outlineLevel="0" collapsed="false">
      <c r="A2" s="3" t="s">
        <v>1201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199</v>
      </c>
      <c r="B5" s="12" t="s">
        <v>447</v>
      </c>
      <c r="C5" s="12" t="s">
        <v>122</v>
      </c>
      <c r="D5" s="12" t="s">
        <v>1202</v>
      </c>
      <c r="E5" s="12" t="s">
        <v>483</v>
      </c>
      <c r="F5" s="12" t="s">
        <v>1203</v>
      </c>
      <c r="G5" s="12" t="s">
        <v>1204</v>
      </c>
      <c r="H5" s="12" t="s">
        <v>471</v>
      </c>
    </row>
    <row r="6" customFormat="false" ht="43.5" hidden="false" customHeight="true" outlineLevel="0" collapsed="false">
      <c r="A6" s="80" t="n">
        <v>7</v>
      </c>
      <c r="B6" s="80" t="s">
        <v>1205</v>
      </c>
      <c r="C6" s="80" t="s">
        <v>1148</v>
      </c>
      <c r="D6" s="80" t="s">
        <v>1206</v>
      </c>
      <c r="E6" s="80" t="s">
        <v>1207</v>
      </c>
      <c r="F6" s="80" t="s">
        <v>1208</v>
      </c>
      <c r="G6" s="11"/>
      <c r="H6" s="11" t="s">
        <v>1209</v>
      </c>
    </row>
    <row r="7" customFormat="false" ht="43.5" hidden="false" customHeight="true" outlineLevel="0" collapsed="false">
      <c r="A7" s="80" t="n">
        <v>7</v>
      </c>
      <c r="B7" s="80" t="s">
        <v>1210</v>
      </c>
      <c r="C7" s="80"/>
      <c r="D7" s="80" t="s">
        <v>1211</v>
      </c>
      <c r="E7" s="80"/>
      <c r="F7" s="80"/>
      <c r="G7" s="11"/>
      <c r="H7" s="11" t="s">
        <v>1209</v>
      </c>
    </row>
    <row r="8" customFormat="false" ht="19.5" hidden="false" customHeight="tru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9.5" hidden="false" customHeight="tru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9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9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9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9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9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9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9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9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9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9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9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9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9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9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9.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9.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9.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9.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9.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9.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</row>
  </sheetData>
  <conditionalFormatting sqref="H6:H45">
    <cfRule type="expression" priority="2" aboveAverage="0" equalAverage="0" bottom="0" percent="0" rank="0" text="" dxfId="0">
      <formula>OR(H6="Acted on",H6="Closed")</formula>
    </cfRule>
    <cfRule type="expression" priority="3" aboveAverage="0" equalAverage="0" bottom="0" percent="0" rank="0" text="" dxfId="1">
      <formula>H6="Discussed"</formula>
    </cfRule>
    <cfRule type="expression" priority="4" aboveAverage="0" equalAverage="0" bottom="0" percent="0" rank="0" text="" dxfId="2">
      <formula>H6="Open"</formula>
    </cfRule>
  </conditionalFormatting>
  <dataValidations count="2">
    <dataValidation allowBlank="true" errorStyle="stop" operator="between" showDropDown="false" showErrorMessage="false" showInputMessage="false" sqref="B6:B45" type="list">
      <formula1>"Finding,Watch item,Question to consider,Management goal"</formula1>
      <formula2>0</formula2>
    </dataValidation>
    <dataValidation allowBlank="true" errorStyle="stop" operator="between" showDropDown="false" showErrorMessage="false" showInputMessage="false" sqref="H6:H45" type="list">
      <formula1>"Open,Discussed,Acted 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2026-10-07T23:47:38Z</dcterms:created>
  <dc:creator>openpyxl</dc:creator>
  <dc:description/>
  <dc:language>en-US</dc:language>
  <cp:lastModifiedBy/>
  <dcterms:modified xsi:type="dcterms:W3CDTF">2026-10-07T19:47:49Z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