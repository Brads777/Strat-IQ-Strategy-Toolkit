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media/image1.png" ContentType="image/png"/>
  <Override PartName="/xl/comments1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ESTEL" sheetId="2" state="visible" r:id="rId4"/>
    <sheet name="Five Forces" sheetId="3" state="visible" r:id="rId5"/>
    <sheet name="KSF Scorecard" sheetId="4" state="visible" r:id="rId6"/>
    <sheet name="VRIO" sheetId="5" state="visible" r:id="rId7"/>
    <sheet name="SWOT-TOWS" sheetId="6" state="visible" r:id="rId8"/>
    <sheet name="Decision Matrix" sheetId="7" state="visible" r:id="rId9"/>
    <sheet name="Expected Value" sheetId="8" state="visible" r:id="rId10"/>
    <sheet name="Business Case" sheetId="9" state="visible" r:id="rId11"/>
    <sheet name="Balanced Scorecard" sheetId="10" state="visible" r:id="rId12"/>
    <sheet name="Strategy Map" sheetId="11" state="visible" r:id="rId13"/>
    <sheet name="GLO-BUS CIR" sheetId="12" state="visible" r:id="rId14"/>
    <sheet name="GLO-BUS Planner" sheetId="13" state="visible" r:id="rId15"/>
    <sheet name="Y6 Results" sheetId="14" state="visible" r:id="rId16"/>
    <sheet name="Y7 Results" sheetId="15" state="visible" r:id="rId17"/>
    <sheet name="Y8 Results" sheetId="16" state="visible" r:id="rId18"/>
    <sheet name="Tracking" sheetId="17" state="visible" r:id="rId19"/>
  </sheets>
  <definedNames>
    <definedName function="false" hidden="false" name="CreditScale" vbProcedure="false">Tracking!$L$6:$L$26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values from the StratOS Business Case template (illustrative).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sharedStrings.xml><?xml version="1.0" encoding="utf-8"?>
<sst xmlns="http://schemas.openxmlformats.org/spreadsheetml/2006/main" count="927" uniqueCount="552">
  <si>
    <t xml:space="preserve">StratOS Workbook</t>
  </si>
  <si>
    <t xml:space="preserve">Strategy analysis worksheets</t>
  </si>
  <si>
    <t xml:space="preserve">Template with one example row per sheet. Replace the examples with your own work.</t>
  </si>
  <si>
    <t xml:space="preserve">How to use</t>
  </si>
  <si>
    <t xml:space="preserve">Each sheet is one StratOS framework. Type only in the cream cells (blue text). Grey cells are formulas: they score, rank and flag automatically. Every finding should name its evidence in the Source column, the same rule StratOS follows.</t>
  </si>
  <si>
    <t xml:space="preserve">Colour key</t>
  </si>
  <si>
    <t xml:space="preserve">Blue on cream = input · black on grey = formula · green / amber / red = status.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</si>
  <si>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</si>
  <si>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</si>
  <si>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</si>
  <si>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</si>
  <si>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KSF Scorecard</t>
  </si>
  <si>
    <t xml:space="preserve">Weighted KSFs, every competitor scored, totals and rank; weights must sum to 100%.</t>
  </si>
  <si>
    <t xml:space="preserve">VRIO</t>
  </si>
  <si>
    <t xml:space="preserve">Yes / No / ? for each test; the verdict and the KSF reality check are calculated.</t>
  </si>
  <si>
    <t xml:space="preserve">SWOT-TOWS</t>
  </si>
  <si>
    <t xml:space="preserve">Four traced lists and the TOWS options that pair them.</t>
  </si>
  <si>
    <t xml:space="preserve">Decision Matrix</t>
  </si>
  <si>
    <t xml:space="preserve">Criteria weights × option scores, with a weighted total and rank; do nothing included.</t>
  </si>
  <si>
    <t xml:space="preserve">Expected Value</t>
  </si>
  <si>
    <t xml:space="preserve">Scenario probabilities × NPVs, expected NPV, worst case, maximin, value of information.</t>
  </si>
  <si>
    <t xml:space="preserve">Business Case</t>
  </si>
  <si>
    <t xml:space="preserve">Driver-based cash flows, NPV, IRR and cumulative cash.</t>
  </si>
  <si>
    <t xml:space="preserve">Balanced Scorecard</t>
  </si>
  <si>
    <t xml:space="preserve">Objectives and measures in four perspectives, leading vs lagging, status vs target, balance check.</t>
  </si>
  <si>
    <t xml:space="preserve">Strategy Map</t>
  </si>
  <si>
    <t xml:space="preserve">Objectives by perspective and their cause-and-effect links; picture included when built from a ledger.</t>
  </si>
  <si>
    <t xml:space="preserve">GLO-BUS CIR</t>
  </si>
  <si>
    <t xml:space="preserve">Paste the CIR figures; each company is placed in a strategic group automatically.</t>
  </si>
  <si>
    <t xml:space="preserve">Y# Results</t>
  </si>
  <si>
    <t xml:space="preserve">One tab per GLO-BUS year: the five scored KPIs against investor expectations, company and product results, market share by region, the decisions entered and the CIR.</t>
  </si>
  <si>
    <t xml:space="preserve">Tracking</t>
  </si>
  <si>
    <t xml:space="preserve">Trends across the years, pulled from the Year tabs, with charts: EPS, ROE, stock price, image and credit rating, market share, cost per unit, revenue and profit, margins.</t>
  </si>
  <si>
    <t xml:space="preserve">GLO-BUS Planner</t>
  </si>
  <si>
    <t xml:space="preserve">Plan every decision for each year in one place, in screen order; flags changes bigger than your threshold and years where price and advertising are both cut. You enter the decisions in GLO-BUS yourself; the capture skill can then check them against this plan.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</si>
  <si>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</si>
  <si>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</si>
  <si>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</si>
  <si>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PESTEL Analysis</t>
  </si>
  <si>
    <t xml:space="preserve">Macro findings, each tied to a P&amp;L line. Priority = impact × certainty (1-25).</t>
  </si>
  <si>
    <t xml:space="preserve">Blue text on cream = your inputs.  Black on grey = formulas (do not type over them).  Delete the example row before you start.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</si>
  <si>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</si>
  <si>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</si>
  <si>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</si>
  <si>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</si>
  <si>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</si>
  <si>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</si>
  <si>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</si>
  <si>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P&amp;L line</t>
  </si>
  <si>
    <t xml:space="preserve">Source / evidence</t>
  </si>
  <si>
    <t xml:space="preserve">P1</t>
  </si>
  <si>
    <t xml:space="preserve">Economic</t>
  </si>
  <si>
    <t xml:space="preserve">Battery cell prices keep falling as LFP capacity grows</t>
  </si>
  <si>
    <t xml:space="preserve">+</t>
  </si>
  <si>
    <t xml:space="preserve">cogs.inputs</t>
  </si>
  <si>
    <t xml:space="preserve">Example: industry price survey, 2026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</si>
  <si>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</si>
  <si>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</si>
  <si>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</si>
  <si>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</si>
  <si>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</si>
  <si>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</si>
  <si>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</si>
  <si>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</si>
  <si>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</si>
  <si>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</si>
  <si>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</si>
  <si>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</si>
  <si>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</si>
  <si>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</si>
  <si>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</si>
  <si>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</si>
  <si>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Example: top three cell makers hold most global capacity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</si>
  <si>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</si>
  <si>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</si>
  <si>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</si>
  <si>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</si>
  <si>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</si>
  <si>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</si>
  <si>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</si>
  <si>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</si>
  <si>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</si>
  <si>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</si>
  <si>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</si>
  <si>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</si>
  <si>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</si>
  <si>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</si>
  <si>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</si>
  <si>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</si>
  <si>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</si>
  <si>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</si>
  <si>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</si>
  <si>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</si>
  <si>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</si>
  <si>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</si>
  <si>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</si>
  <si>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</si>
  <si>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</si>
  <si>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</si>
  <si>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</si>
  <si>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</si>
  <si>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</si>
  <si>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</si>
  <si>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BYD</t>
  </si>
  <si>
    <t xml:space="preserve">Stellantis</t>
  </si>
  <si>
    <t xml:space="preserve">Xiaomi</t>
  </si>
  <si>
    <t xml:space="preserve">Competitor 4</t>
  </si>
  <si>
    <t xml:space="preserve">Competitor 5</t>
  </si>
  <si>
    <t xml:space="preserve">Competitor 6</t>
  </si>
  <si>
    <t xml:space="preserve">K1</t>
  </si>
  <si>
    <t xml:space="preserve">Battery cost per kWh</t>
  </si>
  <si>
    <t xml:space="preserve">suppliers, D2</t>
  </si>
  <si>
    <t xml:space="preserve">Weight check (must be 100%)</t>
  </si>
  <si>
    <t xml:space="preserve">Weighted score (out of 5)</t>
  </si>
  <si>
    <t xml:space="preserve">Rank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</si>
  <si>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</si>
  <si>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</si>
  <si>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</si>
  <si>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Type</t>
  </si>
  <si>
    <t xml:space="preserve">Valuable?</t>
  </si>
  <si>
    <t xml:space="preserve">Rare?</t>
  </si>
  <si>
    <t xml:space="preserve">Inimitable?</t>
  </si>
  <si>
    <t xml:space="preserve">Organized?</t>
  </si>
  <si>
    <t xml:space="preserve">Verdict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</si>
  <si>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</si>
  <si>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</si>
  <si>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</si>
  <si>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</si>
  <si>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Blade-cell battery know-how</t>
  </si>
  <si>
    <t xml:space="preserve">capability</t>
  </si>
  <si>
    <t xml:space="preserve">Yes</t>
  </si>
  <si>
    <t xml:space="preserve">Example: patents and cost lead in filings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</si>
  <si>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</si>
  <si>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</si>
  <si>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</si>
  <si>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</si>
  <si>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</si>
  <si>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</si>
  <si>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battery cost in the peer set</t>
  </si>
  <si>
    <t xml:space="preserve">VRIO: C1</t>
  </si>
  <si>
    <t xml:space="preserve">W1</t>
  </si>
  <si>
    <t xml:space="preserve">No dealer network in Europe</t>
  </si>
  <si>
    <t xml:space="preserve">Value chain: A6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</si>
  <si>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</si>
  <si>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</si>
  <si>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</si>
  <si>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</si>
  <si>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</si>
  <si>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</si>
  <si>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</si>
  <si>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</si>
  <si>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</si>
  <si>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</si>
  <si>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</si>
  <si>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</si>
  <si>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</si>
  <si>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EU fleet electrification mandates</t>
  </si>
  <si>
    <t xml:space="preserve">PESTEL: P7</t>
  </si>
  <si>
    <t xml:space="preserve">T1</t>
  </si>
  <si>
    <t xml:space="preserve">EU tariffs on imported EVs</t>
  </si>
  <si>
    <t xml:space="preserve">PESTEL: P2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</si>
  <si>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</si>
  <si>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</si>
  <si>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</si>
  <si>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</si>
  <si>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</si>
  <si>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</si>
  <si>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</si>
  <si>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</si>
  <si>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</si>
  <si>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</si>
  <si>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Cell</t>
  </si>
  <si>
    <t xml:space="preserve">TOWS strategic option</t>
  </si>
  <si>
    <t xml:space="preserve">Pairs (e.g. S1 × O1)</t>
  </si>
  <si>
    <t xml:space="preserve">SO</t>
  </si>
  <si>
    <t xml:space="preserve">Use the battery cost lead to price fleet vans below diesel TCO</t>
  </si>
  <si>
    <t xml:space="preserve">S1 × O1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</si>
  <si>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</si>
  <si>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</si>
  <si>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</si>
  <si>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</si>
  <si>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A. Build in-house</t>
  </si>
  <si>
    <t xml:space="preserve">B. Partner for cells</t>
  </si>
  <si>
    <t xml:space="preserve">C. Reposition</t>
  </si>
  <si>
    <t xml:space="preserve">0. Do nothing</t>
  </si>
  <si>
    <t xml:space="preserve">Option 5</t>
  </si>
  <si>
    <t xml:space="preserve">Fits the 2029 profit goal</t>
  </si>
  <si>
    <t xml:space="preserve">Exhibit B, goal 1</t>
  </si>
  <si>
    <t xml:space="preserve">The matrix ranks; it does not choose. The recommendation is yours.</t>
  </si>
  <si>
    <t xml:space="preserve">Probabilities as percentages that sum to 100% per option; NPV in $M. Follows the course handout 'Choosing Among Strategic Alternatives'.</t>
  </si>
  <si>
    <t xml:space="preserve">Option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</si>
  <si>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</si>
  <si>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</si>
  <si>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</si>
  <si>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</si>
  <si>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</si>
  <si>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</si>
  <si>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</si>
  <si>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</si>
  <si>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</si>
  <si>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</si>
  <si>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A. Move upmarket</t>
  </si>
  <si>
    <t xml:space="preserve">B. Cut costs</t>
  </si>
  <si>
    <t xml:space="preserve">C. Do nothing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</si>
  <si>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</si>
  <si>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</si>
  <si>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</si>
  <si>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</si>
  <si>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One option. Year 0 is the investment year. Working capital is released in the final year. Money in $.</t>
  </si>
  <si>
    <t xml:space="preserve">Assumptions</t>
  </si>
  <si>
    <t xml:space="preserve">Discount rate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</si>
  <si>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</si>
  <si>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</si>
  <si>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</si>
  <si>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</si>
  <si>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</si>
  <si>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</si>
  <si>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</si>
  <si>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</si>
  <si>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</si>
  <si>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</si>
  <si>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Price per unit</t>
  </si>
  <si>
    <t xml:space="preserve">Variable cost per unit</t>
  </si>
  <si>
    <t xml:space="preserve">Fixed costs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</si>
  <si>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</si>
  <si>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</si>
  <si>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</si>
  <si>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</si>
  <si>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</si>
  <si>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</si>
  <si>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</si>
  <si>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</si>
  <si>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</si>
  <si>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</si>
  <si>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</si>
  <si>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</si>
  <si>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</si>
  <si>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</si>
  <si>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</si>
  <si>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</si>
  <si>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</si>
  <si>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</si>
  <si>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</si>
  <si>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Target</t>
  </si>
  <si>
    <t xml:space="preserve">Actual</t>
  </si>
  <si>
    <t xml:space="preserve">% of target</t>
  </si>
  <si>
    <t xml:space="preserve">Status</t>
  </si>
  <si>
    <t xml:space="preserve">Owner</t>
  </si>
  <si>
    <t xml:space="preserve">Initiative</t>
  </si>
  <si>
    <t xml:space="preserve">Traces to</t>
  </si>
  <si>
    <t xml:space="preserve">Financial</t>
  </si>
  <si>
    <t xml:space="preserve">Grow operating profit to full potential</t>
  </si>
  <si>
    <t xml:space="preserve">Contribution per car ($)</t>
  </si>
  <si>
    <t xml:space="preserve">Lagging</t>
  </si>
  <si>
    <t xml:space="preserve">Higher</t>
  </si>
  <si>
    <t xml:space="preserve">CFO</t>
  </si>
  <si>
    <t xml:space="preserve">I2 Close variable-cost gap</t>
  </si>
  <si>
    <t xml:space="preserve">Unit Economics</t>
  </si>
  <si>
    <t xml:space="preserve">Internal process</t>
  </si>
  <si>
    <t xml:space="preserve">Secure a second qualified cell supplier</t>
  </si>
  <si>
    <t xml:space="preserve">Supplier qualification pass rate</t>
  </si>
  <si>
    <t xml:space="preserve">Leading</t>
  </si>
  <si>
    <t xml:space="preserve">VP Quality</t>
  </si>
  <si>
    <t xml:space="preserve">I1 Second cell supplier</t>
  </si>
  <si>
    <t xml:space="preserve">Growth Barriers: supply</t>
  </si>
  <si>
    <t xml:space="preserve">Balance check</t>
  </si>
  <si>
    <t xml:space="preserve">Customer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</si>
  <si>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</si>
  <si>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</si>
  <si>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</si>
  <si>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</si>
  <si>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</si>
  <si>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</si>
  <si>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</si>
  <si>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</si>
  <si>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C1</t>
  </si>
  <si>
    <t xml:space="preserve">Win the beachhead: urban fleets</t>
  </si>
  <si>
    <t xml:space="preserve">I1</t>
  </si>
  <si>
    <t xml:space="preserve">L1</t>
  </si>
  <si>
    <t xml:space="preserve">Supplier-quality engineering capability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</si>
  <si>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</si>
  <si>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</si>
  <si>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Company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</si>
  <si>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</si>
  <si>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</si>
  <si>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</si>
  <si>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</si>
  <si>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</si>
  <si>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</si>
  <si>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A</t>
  </si>
  <si>
    <t xml:space="preserve">Camera</t>
  </si>
  <si>
    <t xml:space="preserve">B</t>
  </si>
  <si>
    <t xml:space="preserve">C</t>
  </si>
  <si>
    <t xml:space="preserve">D</t>
  </si>
  <si>
    <t xml:space="preserve">E</t>
  </si>
  <si>
    <t xml:space="preserve">Industry averages (share-weighted)</t>
  </si>
  <si>
    <t xml:space="preserve">Price</t>
  </si>
  <si>
    <t xml:space="preserve">P/Q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</si>
  <si>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</si>
  <si>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</si>
  <si>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</si>
  <si>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</si>
  <si>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</si>
  <si>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</si>
  <si>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Decision</t>
  </si>
  <si>
    <t xml:space="preserve">Unit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</si>
  <si>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</si>
  <si>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</si>
  <si>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</si>
  <si>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</si>
  <si>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</si>
  <si>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</si>
  <si>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</si>
  <si>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</si>
  <si>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</si>
  <si>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</si>
  <si>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</si>
  <si>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</si>
  <si>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</si>
  <si>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</si>
  <si>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</si>
  <si>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</si>
  <si>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</si>
  <si>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</si>
  <si>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</si>
  <si>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</si>
  <si>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</si>
  <si>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</si>
  <si>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</si>
  <si>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</si>
  <si>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</si>
  <si>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</si>
  <si>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</si>
  <si>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</si>
  <si>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</si>
  <si>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</si>
  <si>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</si>
  <si>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</si>
  <si>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</si>
  <si>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</si>
  <si>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</si>
  <si>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</si>
  <si>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</si>
  <si>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</si>
  <si>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</si>
  <si>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</si>
  <si>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</si>
  <si>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</si>
  <si>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</si>
  <si>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</si>
  <si>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</si>
  <si>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</si>
  <si>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</si>
  <si>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</si>
  <si>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</si>
  <si>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</si>
  <si>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</si>
  <si>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</si>
  <si>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</si>
  <si>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</si>
  <si>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</si>
  <si>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</si>
  <si>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</si>
  <si>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</si>
  <si>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</si>
  <si>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</si>
  <si>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</si>
  <si>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</si>
  <si>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</si>
  <si>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</si>
  <si>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</si>
  <si>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</si>
  <si>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</si>
  <si>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</si>
  <si>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</si>
  <si>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</si>
  <si>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</si>
  <si>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</si>
  <si>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</si>
  <si>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</si>
  <si>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</si>
  <si>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</si>
  <si>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</si>
  <si>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</si>
  <si>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</si>
  <si>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</si>
  <si>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</si>
  <si>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</si>
  <si>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</si>
  <si>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</si>
  <si>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</si>
  <si>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</si>
  <si>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</si>
  <si>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</si>
  <si>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</si>
  <si>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</si>
  <si>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</si>
  <si>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</si>
  <si>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</si>
  <si>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</si>
  <si>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</si>
  <si>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</si>
  <si>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</si>
  <si>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</si>
  <si>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</si>
  <si>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</si>
  <si>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</si>
  <si>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</si>
  <si>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</si>
  <si>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</si>
  <si>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</si>
  <si>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</si>
  <si>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</si>
  <si>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</si>
  <si>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</si>
  <si>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</si>
  <si>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</si>
  <si>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</si>
  <si>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</si>
  <si>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</si>
  <si>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</si>
  <si>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</si>
  <si>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</si>
  <si>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</si>
  <si>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</si>
  <si>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</si>
  <si>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</si>
  <si>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</si>
  <si>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</si>
  <si>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</si>
  <si>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</si>
  <si>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</si>
  <si>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</si>
  <si>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</si>
  <si>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</si>
  <si>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</si>
  <si>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</si>
  <si>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</si>
  <si>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</si>
  <si>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</si>
  <si>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</si>
  <si>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</si>
  <si>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</si>
  <si>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</si>
  <si>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</si>
  <si>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</si>
  <si>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</si>
  <si>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</si>
  <si>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</si>
  <si>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</si>
  <si>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</si>
  <si>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</si>
  <si>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</si>
  <si>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</si>
  <si>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</si>
  <si>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</si>
  <si>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</si>
  <si>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</si>
  <si>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</si>
  <si>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</si>
  <si>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</si>
  <si>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</si>
  <si>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</si>
  <si>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</si>
  <si>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</si>
  <si>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</si>
  <si>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</si>
  <si>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</si>
  <si>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</si>
  <si>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</si>
  <si>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</si>
  <si>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</si>
  <si>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</si>
  <si>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Year 6 results</t>
  </si>
  <si>
    <t xml:space="preserve">Example values (illustrative). Figures in the units shown; edit the cream cells.</t>
  </si>
  <si>
    <t xml:space="preserve">Scored KPI</t>
  </si>
  <si>
    <t xml:space="preserve">Investor expectation</t>
  </si>
  <si>
    <t xml:space="preserve">Gap</t>
  </si>
  <si>
    <t xml:space="preserve">Met?</t>
  </si>
  <si>
    <t xml:space="preserve">Earnings per share (EPS)</t>
  </si>
  <si>
    <t xml:space="preserve">Return on equity (ROE)</t>
  </si>
  <si>
    <t xml:space="preserve">Stock price</t>
  </si>
  <si>
    <t xml:space="preserve">Credit rating</t>
  </si>
  <si>
    <t xml:space="preserve">B+</t>
  </si>
  <si>
    <t xml:space="preserve">BB</t>
  </si>
  <si>
    <t xml:space="preserve">Image rating</t>
  </si>
  <si>
    <t xml:space="preserve">Company result</t>
  </si>
  <si>
    <t xml:space="preserve">Value</t>
  </si>
  <si>
    <t xml:space="preserve">Overall score (points)</t>
  </si>
  <si>
    <t xml:space="preserve">Rank in the industry (rank)</t>
  </si>
  <si>
    <t xml:space="preserve">Net revenues ($000s)</t>
  </si>
  <si>
    <t xml:space="preserve">Net profit ($000s)</t>
  </si>
  <si>
    <t xml:space="preserve">Ending cash ($000s)</t>
  </si>
  <si>
    <t xml:space="preserve">Product result</t>
  </si>
  <si>
    <t xml:space="preserve">Cameras</t>
  </si>
  <si>
    <t xml:space="preserve">Drones</t>
  </si>
  <si>
    <t xml:space="preserve">Units sold (000s)</t>
  </si>
  <si>
    <t xml:space="preserve">Average price ($)</t>
  </si>
  <si>
    <t xml:space="preserve">P/Q rating (stars)</t>
  </si>
  <si>
    <t xml:space="preserve">Cost per unit ($)</t>
  </si>
  <si>
    <t xml:space="preserve">Operating margin (%)</t>
  </si>
  <si>
    <t xml:space="preserve">Industry average price ($)</t>
  </si>
  <si>
    <t xml:space="preserve">Industry average P/Q (stars)</t>
  </si>
  <si>
    <t xml:space="preserve">Industry average cost per unit ($)</t>
  </si>
  <si>
    <t xml:space="preserve">Price vs industry average</t>
  </si>
  <si>
    <t xml:space="preserve">Cost per unit vs industry average</t>
  </si>
  <si>
    <t xml:space="preserve">Market share (%)</t>
  </si>
  <si>
    <t xml:space="preserve">North America</t>
  </si>
  <si>
    <t xml:space="preserve">Europe-Africa</t>
  </si>
  <si>
    <t xml:space="preserve">Asia-Pacific</t>
  </si>
  <si>
    <t xml:space="preserve">Latin America</t>
  </si>
  <si>
    <t xml:space="preserve">Average across regions</t>
  </si>
  <si>
    <t xml:space="preserve">GLO-BUS Year 7 results</t>
  </si>
  <si>
    <t xml:space="preserve">BB-</t>
  </si>
  <si>
    <t xml:space="preserve">GLO-BUS Year 8 results</t>
  </si>
  <si>
    <t xml:space="preserve">GLO-BUS trends</t>
  </si>
  <si>
    <t xml:space="preserve">Pulled by formula from the Year tabs. Rebuild the workbook after each round to add the new year. Charts update when a Year tab changes.</t>
  </si>
  <si>
    <t xml:space="preserve">EPS</t>
  </si>
  <si>
    <t xml:space="preserve">AAA</t>
  </si>
  <si>
    <t xml:space="preserve">EPS expectation</t>
  </si>
  <si>
    <t xml:space="preserve">AA+</t>
  </si>
  <si>
    <t xml:space="preserve">ROE</t>
  </si>
  <si>
    <t xml:space="preserve">AA</t>
  </si>
  <si>
    <t xml:space="preserve">ROE expectation</t>
  </si>
  <si>
    <t xml:space="preserve">AA-</t>
  </si>
  <si>
    <t xml:space="preserve">A+</t>
  </si>
  <si>
    <t xml:space="preserve">Stock price expectation</t>
  </si>
  <si>
    <t xml:space="preserve">A-</t>
  </si>
  <si>
    <t xml:space="preserve">Credit rating score (AAA = 21)</t>
  </si>
  <si>
    <t xml:space="preserve">BBB+</t>
  </si>
  <si>
    <t xml:space="preserve">BBB</t>
  </si>
  <si>
    <t xml:space="preserve">Image rating expectation</t>
  </si>
  <si>
    <t xml:space="preserve">BBB-</t>
  </si>
  <si>
    <t xml:space="preserve">Overall score</t>
  </si>
  <si>
    <t xml:space="preserve">BB+</t>
  </si>
  <si>
    <t xml:space="preserve">Cameras: market share (avg %)</t>
  </si>
  <si>
    <t xml:space="preserve">B-</t>
  </si>
  <si>
    <t xml:space="preserve">Drones: market share (avg %)</t>
  </si>
  <si>
    <t xml:space="preserve">CCC+</t>
  </si>
  <si>
    <t xml:space="preserve">Cameras: cost per unit ($)</t>
  </si>
  <si>
    <t xml:space="preserve">CCC</t>
  </si>
  <si>
    <t xml:space="preserve">Cameras: industry cost per unit ($)</t>
  </si>
  <si>
    <t xml:space="preserve">CCC-</t>
  </si>
  <si>
    <t xml:space="preserve">Drones: cost per unit ($)</t>
  </si>
  <si>
    <t xml:space="preserve">CC</t>
  </si>
  <si>
    <t xml:space="preserve">Drones: industry cost per unit ($)</t>
  </si>
  <si>
    <t xml:space="preserve">Cameras: price ($)</t>
  </si>
  <si>
    <t xml:space="preserve">Drones: price ($)</t>
  </si>
  <si>
    <t xml:space="preserve">Cameras: P/Q</t>
  </si>
  <si>
    <t xml:space="preserve">Drones: P/Q</t>
  </si>
  <si>
    <t xml:space="preserve">Cameras: operating margin</t>
  </si>
  <si>
    <t xml:space="preserve">Drones: operating margin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</si>
</sst>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"/>
    <numFmt numFmtId="167" formatCode="0%"/>
    <numFmt numFmtId="168" formatCode="0.00"/>
    <numFmt numFmtId="169" formatCode="0.0%"/>
    <numFmt numFmtId="170" formatCode="#,##0"/>
    <numFmt numFmtId="171" formatCode="\$#,##0"/>
    <numFmt numFmtId="172" formatCode="\$#,##0;&quot;($&quot;#,##0\);\-"/>
    <numFmt numFmtId="173" formatCode="#,##0.00"/>
    <numFmt numFmtId="174" formatCode="\$#,##0.00"/>
    <numFmt numFmtId="175" formatCode="\$0.00"/>
    <numFmt numFmtId="176" formatCode="\+0;\-0;0"/>
    <numFmt numFmtId="177" formatCode="\+0.0%;\-0.0%;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9DB"/>
        <bgColor rgb="FFFFF0C2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8F0DF"/>
      <rgbColor rgb="FFFFF0C2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55555"/>
      <rgbColor rgb="FF888888"/>
      <rgbColor rgb="FF1D3557"/>
      <rgbColor rgb="FF2D936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Tracking!A6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Tracking!$B$6:$D$6</c:f>
              <c:numCache>
                <c:formatCode>\$0.00</c:formatCode>
                <c:ptCount val="3"/>
                <c:pt idx="0">
                  <c:v>1.85</c:v>
                </c:pt>
                <c:pt idx="1">
                  <c:v>2.1</c:v>
                </c:pt>
                <c:pt idx="2">
                  <c:v>2.32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Tracking!A7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Tracking!$B$7:$D$7</c:f>
              <c:numCache>
                <c:formatCode>\$0.00</c:formatCode>
                <c:ptCount val="3"/>
                <c:pt idx="0">
                  <c:v>2</c:v>
                </c:pt>
                <c:pt idx="1">
                  <c:v>2.15</c:v>
                </c:pt>
                <c:pt idx="2">
                  <c:v>2.3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489177"/>
        <c:axId val="93057294"/>
      </c:lineChart>
      <c:catAx>
        <c:axId val="594891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57294"/>
        <c:crosses val="autoZero"/>
        <c:auto val="1"/>
        <c:lblAlgn val="ctr"/>
        <c:lblOffset val="100"/>
        <c:noMultiLvlLbl val="0"/>
      </c:catAx>
      <c:valAx>
        <c:axId val="93057294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891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Tracking!$B$8:$D$8</c:f>
              <c:numCache>
                <c:formatCode>0.0%</c:formatCode>
                <c:ptCount val="3"/>
                <c:pt idx="0">
                  <c:v>0.142</c:v>
                </c:pt>
                <c:pt idx="1">
                  <c:v>0.155</c:v>
                </c:pt>
                <c:pt idx="2">
                  <c:v>0.168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Tracking!A9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Tracking!$B$9:$D$9</c:f>
              <c:numCache>
                <c:formatCode>0.0%</c:formatCode>
                <c:ptCount val="3"/>
                <c:pt idx="0">
                  <c:v>0.15</c:v>
                </c:pt>
                <c:pt idx="1">
                  <c:v>0.155</c:v>
                </c:pt>
                <c:pt idx="2">
                  <c:v>0.16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462043"/>
        <c:axId val="67811427"/>
      </c:lineChart>
      <c:catAx>
        <c:axId val="94462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11427"/>
        <c:crosses val="autoZero"/>
        <c:auto val="1"/>
        <c:lblAlgn val="ctr"/>
        <c:lblOffset val="100"/>
        <c:noMultiLvlLbl val="0"/>
      </c:catAx>
      <c:valAx>
        <c:axId val="678114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620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Tracking!A10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Tracking!$B$10:$D$10</c:f>
              <c:numCache>
                <c:formatCode>\$0.00</c:formatCode>
                <c:ptCount val="3"/>
                <c:pt idx="0">
                  <c:v>22.4</c:v>
                </c:pt>
                <c:pt idx="1">
                  <c:v>26.1</c:v>
                </c:pt>
                <c:pt idx="2">
                  <c:v>29.5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Tracking!A11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Tracking!$B$11:$D$11</c:f>
              <c:numCache>
                <c:formatCode>\$0.00</c:formatCode>
                <c:ptCount val="3"/>
                <c:pt idx="0">
                  <c:v>25</c:v>
                </c:pt>
                <c:pt idx="1">
                  <c:v>27</c:v>
                </c:pt>
                <c:pt idx="2">
                  <c:v>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165397"/>
        <c:axId val="20276098"/>
      </c:lineChart>
      <c:catAx>
        <c:axId val="40165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76098"/>
        <c:crosses val="autoZero"/>
        <c:auto val="1"/>
        <c:lblAlgn val="ctr"/>
        <c:lblOffset val="100"/>
        <c:noMultiLvlLbl val="0"/>
      </c:catAx>
      <c:valAx>
        <c:axId val="20276098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1653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and credit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Tracking!A14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Tracking!$B$14:$D$14</c:f>
              <c:numCache>
                <c:formatCode>0</c:formatCode>
                <c:ptCount val="3"/>
                <c:pt idx="0">
                  <c:v>68</c:v>
                </c:pt>
                <c:pt idx="1">
                  <c:v>71</c:v>
                </c:pt>
                <c:pt idx="2">
                  <c:v>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Tracking!A15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Tracking!$B$15:$D$15</c:f>
              <c:numCache>
                <c:formatCode>0</c:formatCode>
                <c:ptCount val="3"/>
                <c:pt idx="0">
                  <c:v>70</c:v>
                </c:pt>
                <c:pt idx="1">
                  <c:v>72</c:v>
                </c:pt>
                <c:pt idx="2">
                  <c:v>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Tracking!A13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Tracking!$B$13:$D$13</c:f>
              <c:numCache>
                <c:formatCode>0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420635"/>
        <c:axId val="38299634"/>
      </c:lineChart>
      <c:catAx>
        <c:axId val="36420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99634"/>
        <c:crosses val="autoZero"/>
        <c:auto val="1"/>
        <c:lblAlgn val="ctr"/>
        <c:lblOffset val="100"/>
        <c:noMultiLvlLbl val="0"/>
      </c:catAx>
      <c:valAx>
        <c:axId val="3829963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206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Tracking!A21</c:f>
              <c:strCache>
                <c:ptCount val="1"/>
                <c:pt idx="0">
                  <c:v>Cameras: market share (avg %)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Tracking!$B$21:$D$21</c:f>
              <c:numCache>
                <c:formatCode>0.0</c:formatCode>
                <c:ptCount val="3"/>
                <c:pt idx="0">
                  <c:v>12.225</c:v>
                </c:pt>
                <c:pt idx="1">
                  <c:v>12.975</c:v>
                </c:pt>
                <c:pt idx="2">
                  <c:v>13.575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Tracking!A22</c:f>
              <c:strCache>
                <c:ptCount val="1"/>
                <c:pt idx="0">
                  <c:v>Drones: market share (avg %)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Tracking!$B$22:$D$22</c:f>
              <c:numCache>
                <c:formatCode>0.0</c:formatCode>
                <c:ptCount val="3"/>
                <c:pt idx="0">
                  <c:v>11.975</c:v>
                </c:pt>
                <c:pt idx="1">
                  <c:v>12.55</c:v>
                </c:pt>
                <c:pt idx="2">
                  <c:v>13.125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294928"/>
        <c:axId val="29480069"/>
      </c:lineChart>
      <c:catAx>
        <c:axId val="452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80069"/>
        <c:crosses val="autoZero"/>
        <c:auto val="1"/>
        <c:lblAlgn val="ctr"/>
        <c:lblOffset val="100"/>
        <c:noMultiLvlLbl val="0"/>
      </c:catAx>
      <c:valAx>
        <c:axId val="29480069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949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Tracking!A23</c:f>
              <c:strCache>
                <c:ptCount val="1"/>
                <c:pt idx="0">
                  <c:v>Cameras: cost per unit ($)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Tracking!$B$23:$D$23</c:f>
              <c:numCache>
                <c:formatCode>\$#,##0</c:formatCode>
                <c:ptCount val="3"/>
                <c:pt idx="0">
                  <c:v>182</c:v>
                </c:pt>
                <c:pt idx="1">
                  <c:v>176</c:v>
                </c:pt>
                <c:pt idx="2">
                  <c:v>171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Tracking!A24</c:f>
              <c:strCache>
                <c:ptCount val="1"/>
                <c:pt idx="0">
                  <c:v>Cameras: industry cost per unit ($)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Tracking!$B$24:$D$24</c:f>
              <c:numCache>
                <c:formatCode>\$#,##0</c:formatCode>
                <c:ptCount val="3"/>
                <c:pt idx="0">
                  <c:v>186</c:v>
                </c:pt>
                <c:pt idx="1">
                  <c:v>184</c:v>
                </c:pt>
                <c:pt idx="2">
                  <c:v>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Tracking!A25</c:f>
              <c:strCache>
                <c:ptCount val="1"/>
                <c:pt idx="0">
                  <c:v>Drones: cost per unit ($)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Tracking!$B$25:$D$25</c:f>
              <c:numCache>
                <c:formatCode>\$#,##0</c:formatCode>
                <c:ptCount val="3"/>
                <c:pt idx="0">
                  <c:v>905</c:v>
                </c:pt>
                <c:pt idx="1">
                  <c:v>884</c:v>
                </c:pt>
                <c:pt idx="2">
                  <c:v>870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Tracking!A26</c:f>
              <c:strCache>
                <c:ptCount val="1"/>
                <c:pt idx="0">
                  <c:v>Drones: industry cost per unit ($)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Tracking!$B$26:$D$26</c:f>
              <c:numCache>
                <c:formatCode>\$#,##0</c:formatCode>
                <c:ptCount val="3"/>
                <c:pt idx="0">
                  <c:v>890</c:v>
                </c:pt>
                <c:pt idx="1">
                  <c:v>879</c:v>
                </c:pt>
                <c:pt idx="2">
                  <c:v>871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274060"/>
        <c:axId val="74050365"/>
      </c:lineChart>
      <c:catAx>
        <c:axId val="822740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50365"/>
        <c:crosses val="autoZero"/>
        <c:auto val="1"/>
        <c:lblAlgn val="ctr"/>
        <c:lblOffset val="100"/>
        <c:noMultiLvlLbl val="0"/>
      </c:catAx>
      <c:valAx>
        <c:axId val="74050365"/>
        <c:scaling>
          <c:orientation val="minMax"/>
        </c:scaling>
        <c:delete val="0"/>
        <c:axPos val="l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740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Tracking!A18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Tracking!$B$18:$D$18</c:f>
              <c:numCache>
                <c:formatCode>#,##0</c:formatCode>
                <c:ptCount val="3"/>
                <c:pt idx="0">
                  <c:v>412000</c:v>
                </c:pt>
                <c:pt idx="1">
                  <c:v>455000</c:v>
                </c:pt>
                <c:pt idx="2">
                  <c:v>498000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Tracking!A19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Tracking!$B$19:$D$19</c:f>
              <c:numCache>
                <c:formatCode>#,##0</c:formatCode>
                <c:ptCount val="3"/>
                <c:pt idx="0">
                  <c:v>18500</c:v>
                </c:pt>
                <c:pt idx="1">
                  <c:v>21900</c:v>
                </c:pt>
                <c:pt idx="2">
                  <c:v>24800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293703"/>
        <c:axId val="22263780"/>
      </c:lineChart>
      <c:catAx>
        <c:axId val="89293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63780"/>
        <c:crosses val="autoZero"/>
        <c:auto val="1"/>
        <c:lblAlgn val="ctr"/>
        <c:lblOffset val="100"/>
        <c:noMultiLvlLbl val="0"/>
      </c:catAx>
      <c:valAx>
        <c:axId val="2226378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937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Tracking!A31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Tracking!$B$31:$D$31</c:f>
              <c:numCache>
                <c:formatCode>0.0%</c:formatCode>
                <c:ptCount val="3"/>
                <c:pt idx="0">
                  <c:v>0.11</c:v>
                </c:pt>
                <c:pt idx="1">
                  <c:v>0.125</c:v>
                </c:pt>
                <c:pt idx="2">
                  <c:v>0.135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Tracking!A32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Tracking!$B$32:$D$32</c:f>
              <c:numCache>
                <c:formatCode>0.0%</c:formatCode>
                <c:ptCount val="3"/>
                <c:pt idx="0">
                  <c:v>0.09</c:v>
                </c:pt>
                <c:pt idx="1">
                  <c:v>0.105</c:v>
                </c:pt>
                <c:pt idx="2">
                  <c:v>0.112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603389"/>
        <c:axId val="3159542"/>
      </c:lineChart>
      <c:catAx>
        <c:axId val="466033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9542"/>
        <c:crosses val="autoZero"/>
        <c:auto val="1"/>
        <c:lblAlgn val="ctr"/>
        <c:lblOffset val="100"/>
        <c:noMultiLvlLbl val="0"/>
      </c:catAx>
      <c:valAx>
        <c:axId val="315954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033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131040</xdr:rowOff>
    </xdr:from>
    <xdr:to>
      <xdr:col>3</xdr:col>
      <xdr:colOff>630360</xdr:colOff>
      <xdr:row>47</xdr:row>
      <xdr:rowOff>55440</xdr:rowOff>
    </xdr:to>
    <xdr:graphicFrame>
      <xdr:nvGraphicFramePr>
        <xdr:cNvPr id="1" name="Chart 1"/>
        <xdr:cNvGraphicFramePr/>
      </xdr:nvGraphicFramePr>
      <xdr:xfrm>
        <a:off x="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15</xdr:col>
      <xdr:colOff>579240</xdr:colOff>
      <xdr:row>47</xdr:row>
      <xdr:rowOff>55440</xdr:rowOff>
    </xdr:to>
    <xdr:graphicFrame>
      <xdr:nvGraphicFramePr>
        <xdr:cNvPr id="2" name="Chart 2"/>
        <xdr:cNvGraphicFramePr/>
      </xdr:nvGraphicFramePr>
      <xdr:xfrm>
        <a:off x="690948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131040</xdr:rowOff>
    </xdr:from>
    <xdr:to>
      <xdr:col>3</xdr:col>
      <xdr:colOff>630360</xdr:colOff>
      <xdr:row>63</xdr:row>
      <xdr:rowOff>55800</xdr:rowOff>
    </xdr:to>
    <xdr:graphicFrame>
      <xdr:nvGraphicFramePr>
        <xdr:cNvPr id="3" name="Chart 3"/>
        <xdr:cNvGraphicFramePr/>
      </xdr:nvGraphicFramePr>
      <xdr:xfrm>
        <a:off x="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49</xdr:row>
      <xdr:rowOff>131040</xdr:rowOff>
    </xdr:from>
    <xdr:to>
      <xdr:col>15</xdr:col>
      <xdr:colOff>579240</xdr:colOff>
      <xdr:row>63</xdr:row>
      <xdr:rowOff>55800</xdr:rowOff>
    </xdr:to>
    <xdr:graphicFrame>
      <xdr:nvGraphicFramePr>
        <xdr:cNvPr id="4" name="Chart 4"/>
        <xdr:cNvGraphicFramePr/>
      </xdr:nvGraphicFramePr>
      <xdr:xfrm>
        <a:off x="690948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65</xdr:row>
      <xdr:rowOff>130680</xdr:rowOff>
    </xdr:from>
    <xdr:to>
      <xdr:col>3</xdr:col>
      <xdr:colOff>630360</xdr:colOff>
      <xdr:row>79</xdr:row>
      <xdr:rowOff>55440</xdr:rowOff>
    </xdr:to>
    <xdr:graphicFrame>
      <xdr:nvGraphicFramePr>
        <xdr:cNvPr id="5" name="Chart 5"/>
        <xdr:cNvGraphicFramePr/>
      </xdr:nvGraphicFramePr>
      <xdr:xfrm>
        <a:off x="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65</xdr:row>
      <xdr:rowOff>130680</xdr:rowOff>
    </xdr:from>
    <xdr:to>
      <xdr:col>15</xdr:col>
      <xdr:colOff>579240</xdr:colOff>
      <xdr:row>79</xdr:row>
      <xdr:rowOff>55440</xdr:rowOff>
    </xdr:to>
    <xdr:graphicFrame>
      <xdr:nvGraphicFramePr>
        <xdr:cNvPr id="6" name="Chart 6"/>
        <xdr:cNvGraphicFramePr/>
      </xdr:nvGraphicFramePr>
      <xdr:xfrm>
        <a:off x="690948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81</xdr:row>
      <xdr:rowOff>131040</xdr:rowOff>
    </xdr:from>
    <xdr:to>
      <xdr:col>3</xdr:col>
      <xdr:colOff>630360</xdr:colOff>
      <xdr:row>95</xdr:row>
      <xdr:rowOff>55440</xdr:rowOff>
    </xdr:to>
    <xdr:graphicFrame>
      <xdr:nvGraphicFramePr>
        <xdr:cNvPr id="7" name="Chart 7"/>
        <xdr:cNvGraphicFramePr/>
      </xdr:nvGraphicFramePr>
      <xdr:xfrm>
        <a:off x="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81</xdr:row>
      <xdr:rowOff>131040</xdr:rowOff>
    </xdr:from>
    <xdr:to>
      <xdr:col>15</xdr:col>
      <xdr:colOff>579240</xdr:colOff>
      <xdr:row>95</xdr:row>
      <xdr:rowOff>55440</xdr:rowOff>
    </xdr:to>
    <xdr:graphicFrame>
      <xdr:nvGraphicFramePr>
        <xdr:cNvPr id="8" name="Chart 8"/>
        <xdr:cNvGraphicFramePr/>
      </xdr:nvGraphicFramePr>
      <xdr:xfrm>
        <a:off x="690948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7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8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3" customFormat="false" ht="15" hidden="false" customHeight="false" outlineLevel="0" collapsed="false">
      <c r="B13" s="4" t="s">
        <v>17</v>
      </c>
      <c r="C13" s="5" t="s">
        <v>18</v>
      </c>
    </row>
    <row r="14" customFormat="false" ht="15" hidden="false" customHeight="false" outlineLevel="0" collapsed="false">
      <c r="B14" s="4" t="s">
        <v>19</v>
      </c>
      <c r="C14" s="5" t="s">
        <v>20</v>
      </c>
    </row>
    <row r="15" customFormat="false" ht="15" hidden="false" customHeight="false" outlineLevel="0" collapsed="false">
      <c r="B15" s="4" t="s">
        <v>21</v>
      </c>
      <c r="C15" s="5" t="s">
        <v>22</v>
      </c>
    </row>
    <row r="16" customFormat="false" ht="15" hidden="false" customHeight="false" outlineLevel="0" collapsed="false">
      <c r="B16" s="4" t="s">
        <v>23</v>
      </c>
      <c r="C16" s="5" t="s">
        <v>24</v>
      </c>
    </row>
    <row r="17" customFormat="false" ht="15" hidden="false" customHeight="false" outlineLevel="0" collapsed="false">
      <c r="B17" s="4" t="s">
        <v>25</v>
      </c>
      <c r="C17" s="5" t="s">
        <v>26</v>
      </c>
    </row>
    <row r="18" customFormat="false" ht="15" hidden="false" customHeight="false" outlineLevel="0" collapsed="false">
      <c r="B18" s="4" t="s">
        <v>27</v>
      </c>
      <c r="C18" s="5" t="s">
        <v>28</v>
      </c>
    </row>
    <row r="19" customFormat="false" ht="23.85" hidden="false" customHeight="false" outlineLevel="0" collapsed="false">
      <c r="B19" s="4" t="s">
        <v>29</v>
      </c>
      <c r="C19" s="5" t="s">
        <v>30</v>
      </c>
    </row>
    <row r="20" customFormat="false" ht="23.85" hidden="false" customHeight="false" outlineLevel="0" collapsed="false">
      <c r="B20" s="4" t="s">
        <v>31</v>
      </c>
      <c r="C20" s="5" t="s">
        <v>32</v>
      </c>
    </row>
    <row r="21" customFormat="false" ht="35.05" hidden="false" customHeight="false" outlineLevel="0" collapsed="false">
      <c r="B21" s="4" t="s">
        <v>33</v>
      </c>
      <c r="C21" s="5" t="s">
        <v>34</v>
      </c>
    </row>
    <row r="22" customFormat="false" ht="23.85" hidden="false" customHeight="false" outlineLevel="0" collapsed="false">
      <c r="B22" s="4" t="s">
        <v>35</v>
      </c>
      <c r="C22" s="5" t="s">
        <v>36</v>
      </c>
    </row>
    <row r="24" customFormat="false" ht="15" hidden="false" customHeight="false" outlineLevel="0" collapsed="false">
      <c r="B24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6" t="s">
        <v>38</v>
      </c>
    </row>
    <row r="2" customFormat="false" ht="15" hidden="false" customHeight="false" outlineLevel="0" collapsed="false">
      <c r="A2" s="3" t="s">
        <v>39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s">
        <v>45</v>
      </c>
      <c r="F5" s="8" t="s">
        <v>46</v>
      </c>
      <c r="G5" s="8" t="s">
        <v>47</v>
      </c>
      <c r="H5" s="8" t="s">
        <v>48</v>
      </c>
      <c r="I5" s="8" t="s">
        <v>49</v>
      </c>
    </row>
    <row r="6" customFormat="false" ht="15" hidden="false" customHeight="false" outlineLevel="0" collapsed="false">
      <c r="A6" s="9" t="s">
        <v>50</v>
      </c>
      <c r="B6" s="9" t="s">
        <v>51</v>
      </c>
      <c r="C6" s="9" t="s">
        <v>52</v>
      </c>
      <c r="D6" s="9" t="s">
        <v>53</v>
      </c>
      <c r="E6" s="9" t="n">
        <v>4</v>
      </c>
      <c r="F6" s="9" t="n">
        <v>4</v>
      </c>
      <c r="G6" s="10" t="n">
        <f aca="false">IF(AND(ISNUMBER(E6),ISNUMBER(F6)),E6*F6,"")</f>
        <v>16</v>
      </c>
      <c r="H6" s="9" t="s">
        <v>54</v>
      </c>
      <c r="I6" s="9" t="s">
        <v>55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0" t="str">
        <f aca="false">IF(AND(ISNUMBER(E7),ISNUMBER(F7)),E7*F7,"")</f>
        <v/>
      </c>
      <c r="H7" s="9"/>
      <c r="I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0" t="str">
        <f aca="false">IF(AND(ISNUMBER(E8),ISNUMBER(F8)),E8*F8,"")</f>
        <v/>
      </c>
      <c r="H8" s="9"/>
      <c r="I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0" t="str">
        <f aca="false">IF(AND(ISNUMBER(E9),ISNUMBER(F9)),E9*F9,"")</f>
        <v/>
      </c>
      <c r="H9" s="9"/>
      <c r="I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0" t="str">
        <f aca="false">IF(AND(ISNUMBER(E10),ISNUMBER(F10)),E10*F10,"")</f>
        <v/>
      </c>
      <c r="H10" s="9"/>
      <c r="I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0" t="str">
        <f aca="false">IF(AND(ISNUMBER(E11),ISNUMBER(F11)),E11*F11,"")</f>
        <v/>
      </c>
      <c r="H11" s="9"/>
      <c r="I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0" t="str">
        <f aca="false">IF(AND(ISNUMBER(E12),ISNUMBER(F12)),E12*F12,"")</f>
        <v/>
      </c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0" t="str">
        <f aca="false">IF(AND(ISNUMBER(E13),ISNUMBER(F13)),E13*F13,"")</f>
        <v/>
      </c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0" t="str">
        <f aca="false">IF(AND(ISNUMBER(E14),ISNUMBER(F14)),E14*F14,"")</f>
        <v/>
      </c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0" t="str">
        <f aca="false">IF(AND(ISNUMBER(E15),ISNUMBER(F15)),E15*F15,"")</f>
        <v/>
      </c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0" t="str">
        <f aca="false">IF(AND(ISNUMBER(E16),ISNUMBER(F16)),E16*F16,"")</f>
        <v/>
      </c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0" t="str">
        <f aca="false">IF(AND(ISNUMBER(E17),ISNUMBER(F17)),E17*F17,"")</f>
        <v/>
      </c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0" t="str">
        <f aca="false">IF(AND(ISNUMBER(E18),ISNUMBER(F18)),E18*F18,"")</f>
        <v/>
      </c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0" t="str">
        <f aca="false">IF(AND(ISNUMBER(E19),ISNUMBER(F19)),E19*F19,"")</f>
        <v/>
      </c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IF(AND(ISNUMBER(E20),ISNUMBER(F20)),E20*F20,"")</f>
        <v/>
      </c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IF(AND(ISNUMBER(E21),ISNUMBER(F21)),E21*F21,"")</f>
        <v/>
      </c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IF(AND(ISNUMBER(E22),ISNUMBER(F22)),E22*F22,"")</f>
        <v/>
      </c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IF(AND(ISNUMBER(E23),ISNUMBER(F23)),E23*F23,"")</f>
        <v/>
      </c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IF(AND(ISNUMBER(E24),ISNUMBER(F24)),E24*F24,"")</f>
        <v/>
      </c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IF(AND(ISNUMBER(E25),ISNUMBER(F25)),E25*F25,"")</f>
        <v/>
      </c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IF(AND(ISNUMBER(E26),ISNUMBER(F26)),E26*F26,"")</f>
        <v/>
      </c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IF(AND(ISNUMBER(E27),ISNUMBER(F27)),E27*F27,"")</f>
        <v/>
      </c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IF(AND(ISNUMBER(E28),ISNUMBER(F28)),E28*F28,"")</f>
        <v/>
      </c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IF(AND(ISNUMBER(E29),ISNUMBER(F29)),E29*F29,"")</f>
        <v/>
      </c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IF(AND(ISNUMBER(E30),ISNUMBER(F30)),E30*F30,"")</f>
        <v/>
      </c>
      <c r="H30" s="9"/>
      <c r="I30" s="9"/>
    </row>
    <row r="32" customFormat="false" ht="15" hidden="false" customHeight="false" outlineLevel="0" collapsed="false">
      <c r="B32" s="11" t="s">
        <v>56</v>
      </c>
      <c r="C32" s="10" t="n">
        <f aca="false">COUNTA(C6:C30)</f>
        <v>1</v>
      </c>
    </row>
    <row r="33" customFormat="false" ht="23.85" hidden="false" customHeight="false" outlineLevel="0" collapsed="false">
      <c r="B33" s="11" t="s">
        <v>57</v>
      </c>
      <c r="C33" s="10" t="n">
        <f aca="false">COUNTIF(G6:G30,"&gt;=16")</f>
        <v>1</v>
      </c>
    </row>
    <row r="34" customFormat="false" ht="23.85" hidden="false" customHeight="false" outlineLevel="0" collapsed="false">
      <c r="B34" s="11" t="s">
        <v>58</v>
      </c>
      <c r="C34" s="10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6" t="s">
        <v>59</v>
      </c>
    </row>
    <row r="2" customFormat="false" ht="15" hidden="false" customHeight="false" outlineLevel="0" collapsed="false">
      <c r="A2" s="3" t="s">
        <v>60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61</v>
      </c>
      <c r="B5" s="8" t="s">
        <v>62</v>
      </c>
      <c r="C5" s="8" t="s">
        <v>63</v>
      </c>
      <c r="D5" s="8" t="s">
        <v>64</v>
      </c>
    </row>
    <row r="6" customFormat="false" ht="15" hidden="false" customHeight="false" outlineLevel="0" collapsed="false">
      <c r="A6" s="5" t="s">
        <v>65</v>
      </c>
      <c r="B6" s="5" t="s">
        <v>66</v>
      </c>
      <c r="C6" s="9"/>
      <c r="D6" s="9"/>
    </row>
    <row r="7" customFormat="false" ht="15" hidden="false" customHeight="false" outlineLevel="0" collapsed="false">
      <c r="A7" s="5" t="s">
        <v>65</v>
      </c>
      <c r="B7" s="5" t="s">
        <v>67</v>
      </c>
      <c r="C7" s="9"/>
      <c r="D7" s="9"/>
    </row>
    <row r="8" customFormat="false" ht="15" hidden="false" customHeight="false" outlineLevel="0" collapsed="false">
      <c r="A8" s="5" t="s">
        <v>65</v>
      </c>
      <c r="B8" s="5" t="s">
        <v>68</v>
      </c>
      <c r="C8" s="9"/>
      <c r="D8" s="9"/>
    </row>
    <row r="9" customFormat="false" ht="15" hidden="false" customHeight="false" outlineLevel="0" collapsed="false">
      <c r="A9" s="5" t="s">
        <v>65</v>
      </c>
      <c r="B9" s="5" t="s">
        <v>69</v>
      </c>
      <c r="C9" s="9"/>
      <c r="D9" s="9"/>
    </row>
    <row r="10" customFormat="false" ht="15" hidden="false" customHeight="false" outlineLevel="0" collapsed="false">
      <c r="A10" s="5" t="s">
        <v>70</v>
      </c>
      <c r="B10" s="5" t="s">
        <v>71</v>
      </c>
      <c r="C10" s="9" t="n">
        <v>4</v>
      </c>
      <c r="D10" s="9" t="s">
        <v>72</v>
      </c>
    </row>
    <row r="11" customFormat="false" ht="15" hidden="false" customHeight="false" outlineLevel="0" collapsed="false">
      <c r="A11" s="5" t="s">
        <v>70</v>
      </c>
      <c r="B11" s="5" t="s">
        <v>73</v>
      </c>
      <c r="C11" s="9"/>
      <c r="D11" s="9"/>
    </row>
    <row r="12" customFormat="false" ht="15" hidden="false" customHeight="false" outlineLevel="0" collapsed="false">
      <c r="A12" s="5" t="s">
        <v>70</v>
      </c>
      <c r="B12" s="5" t="s">
        <v>74</v>
      </c>
      <c r="C12" s="9"/>
      <c r="D12" s="9"/>
    </row>
    <row r="13" customFormat="false" ht="15" hidden="false" customHeight="false" outlineLevel="0" collapsed="false">
      <c r="A13" s="5" t="s">
        <v>70</v>
      </c>
      <c r="B13" s="5" t="s">
        <v>75</v>
      </c>
      <c r="C13" s="9"/>
      <c r="D13" s="9"/>
    </row>
    <row r="14" customFormat="false" ht="15" hidden="false" customHeight="false" outlineLevel="0" collapsed="false">
      <c r="A14" s="5" t="s">
        <v>76</v>
      </c>
      <c r="B14" s="5" t="s">
        <v>77</v>
      </c>
      <c r="C14" s="9"/>
      <c r="D14" s="9"/>
    </row>
    <row r="15" customFormat="false" ht="15" hidden="false" customHeight="false" outlineLevel="0" collapsed="false">
      <c r="A15" s="5" t="s">
        <v>76</v>
      </c>
      <c r="B15" s="5" t="s">
        <v>78</v>
      </c>
      <c r="C15" s="9"/>
      <c r="D15" s="9"/>
    </row>
    <row r="16" customFormat="false" ht="15" hidden="false" customHeight="false" outlineLevel="0" collapsed="false">
      <c r="A16" s="5" t="s">
        <v>76</v>
      </c>
      <c r="B16" s="5" t="s">
        <v>73</v>
      </c>
      <c r="C16" s="9"/>
      <c r="D16" s="9"/>
    </row>
    <row r="17" customFormat="false" ht="15" hidden="false" customHeight="false" outlineLevel="0" collapsed="false">
      <c r="A17" s="5" t="s">
        <v>76</v>
      </c>
      <c r="B17" s="5" t="s">
        <v>79</v>
      </c>
      <c r="C17" s="9"/>
      <c r="D17" s="9"/>
    </row>
    <row r="18" customFormat="false" ht="15" hidden="false" customHeight="false" outlineLevel="0" collapsed="false">
      <c r="A18" s="5" t="s">
        <v>80</v>
      </c>
      <c r="B18" s="5" t="s">
        <v>81</v>
      </c>
      <c r="C18" s="9"/>
      <c r="D18" s="9"/>
    </row>
    <row r="19" customFormat="false" ht="15" hidden="false" customHeight="false" outlineLevel="0" collapsed="false">
      <c r="A19" s="5" t="s">
        <v>80</v>
      </c>
      <c r="B19" s="5" t="s">
        <v>82</v>
      </c>
      <c r="C19" s="9"/>
      <c r="D19" s="9"/>
    </row>
    <row r="20" customFormat="false" ht="15" hidden="false" customHeight="false" outlineLevel="0" collapsed="false">
      <c r="A20" s="5" t="s">
        <v>80</v>
      </c>
      <c r="B20" s="5" t="s">
        <v>83</v>
      </c>
      <c r="C20" s="9"/>
      <c r="D20" s="9"/>
    </row>
    <row r="21" customFormat="false" ht="15" hidden="false" customHeight="false" outlineLevel="0" collapsed="false">
      <c r="A21" s="5" t="s">
        <v>80</v>
      </c>
      <c r="B21" s="5" t="s">
        <v>84</v>
      </c>
      <c r="C21" s="9"/>
      <c r="D21" s="9"/>
    </row>
    <row r="22" customFormat="false" ht="15" hidden="false" customHeight="false" outlineLevel="0" collapsed="false">
      <c r="A22" s="5" t="s">
        <v>85</v>
      </c>
      <c r="B22" s="5" t="s">
        <v>86</v>
      </c>
      <c r="C22" s="9"/>
      <c r="D22" s="9"/>
    </row>
    <row r="23" customFormat="false" ht="15" hidden="false" customHeight="false" outlineLevel="0" collapsed="false">
      <c r="A23" s="5" t="s">
        <v>85</v>
      </c>
      <c r="B23" s="5" t="s">
        <v>73</v>
      </c>
      <c r="C23" s="9"/>
      <c r="D23" s="9"/>
    </row>
    <row r="24" customFormat="false" ht="15" hidden="false" customHeight="false" outlineLevel="0" collapsed="false">
      <c r="A24" s="5" t="s">
        <v>85</v>
      </c>
      <c r="B24" s="5" t="s">
        <v>87</v>
      </c>
      <c r="C24" s="9"/>
      <c r="D24" s="9"/>
    </row>
    <row r="25" customFormat="false" ht="15" hidden="false" customHeight="false" outlineLevel="0" collapsed="false">
      <c r="A25" s="5" t="s">
        <v>85</v>
      </c>
      <c r="B25" s="5" t="s">
        <v>88</v>
      </c>
      <c r="C25" s="9"/>
      <c r="D25" s="9"/>
    </row>
    <row r="27" customFormat="false" ht="35.05" hidden="false" customHeight="false" outlineLevel="0" collapsed="false">
      <c r="A27" s="8" t="s">
        <v>61</v>
      </c>
      <c r="B27" s="8" t="s">
        <v>89</v>
      </c>
      <c r="C27" s="8" t="s">
        <v>90</v>
      </c>
      <c r="D27" s="8" t="s">
        <v>91</v>
      </c>
      <c r="E27" s="8" t="s">
        <v>92</v>
      </c>
      <c r="F27" s="8" t="s">
        <v>93</v>
      </c>
    </row>
    <row r="28" customFormat="false" ht="15" hidden="false" customHeight="false" outlineLevel="0" collapsed="false">
      <c r="A28" s="11" t="s">
        <v>65</v>
      </c>
      <c r="B28" s="12" t="str">
        <f aca="false">IFERROR(AVERAGEIF($A$6:$A$25,A28,$C$6:$C$25),"")</f>
        <v/>
      </c>
      <c r="C28" s="13"/>
      <c r="D28" s="12" t="str">
        <f aca="false">IF(ISNUMBER(C28),C28,B28)</f>
        <v/>
      </c>
      <c r="E28" s="14" t="str">
        <f aca="false">IF(D28="","",IF(D28&gt;=4,"Strong",IF(D28&gt;=2.5,"Moderate","Weak")))</f>
        <v/>
      </c>
      <c r="F28" s="13"/>
    </row>
    <row r="29" customFormat="false" ht="15" hidden="false" customHeight="false" outlineLevel="0" collapsed="false">
      <c r="A29" s="11" t="s">
        <v>70</v>
      </c>
      <c r="B29" s="12" t="n">
        <f aca="false">IFERROR(AVERAGEIF($A$6:$A$25,A29,$C$6:$C$25),"")</f>
        <v>4</v>
      </c>
      <c r="C29" s="13"/>
      <c r="D29" s="12" t="n">
        <f aca="false">IF(ISNUMBER(C29),C29,B29)</f>
        <v>4</v>
      </c>
      <c r="E29" s="14" t="str">
        <f aca="false">IF(D29="","",IF(D29&gt;=4,"Strong",IF(D29&gt;=2.5,"Moderate","Weak")))</f>
        <v>Strong</v>
      </c>
      <c r="F29" s="13"/>
    </row>
    <row r="30" customFormat="false" ht="15" hidden="false" customHeight="false" outlineLevel="0" collapsed="false">
      <c r="A30" s="11" t="s">
        <v>76</v>
      </c>
      <c r="B30" s="12" t="str">
        <f aca="false">IFERROR(AVERAGEIF($A$6:$A$25,A30,$C$6:$C$25),"")</f>
        <v/>
      </c>
      <c r="C30" s="13"/>
      <c r="D30" s="12" t="str">
        <f aca="false">IF(ISNUMBER(C30),C30,B30)</f>
        <v/>
      </c>
      <c r="E30" s="14" t="str">
        <f aca="false">IF(D30="","",IF(D30&gt;=4,"Strong",IF(D30&gt;=2.5,"Moderate","Weak")))</f>
        <v/>
      </c>
      <c r="F30" s="13"/>
    </row>
    <row r="31" customFormat="false" ht="15" hidden="false" customHeight="false" outlineLevel="0" collapsed="false">
      <c r="A31" s="11" t="s">
        <v>80</v>
      </c>
      <c r="B31" s="12" t="str">
        <f aca="false">IFERROR(AVERAGEIF($A$6:$A$25,A31,$C$6:$C$25),"")</f>
        <v/>
      </c>
      <c r="C31" s="13"/>
      <c r="D31" s="12" t="str">
        <f aca="false">IF(ISNUMBER(C31),C31,B31)</f>
        <v/>
      </c>
      <c r="E31" s="14" t="str">
        <f aca="false">IF(D31="","",IF(D31&gt;=4,"Strong",IF(D31&gt;=2.5,"Moderate","Weak")))</f>
        <v/>
      </c>
      <c r="F31" s="13"/>
    </row>
    <row r="32" customFormat="false" ht="15" hidden="false" customHeight="false" outlineLevel="0" collapsed="false">
      <c r="A32" s="11" t="s">
        <v>85</v>
      </c>
      <c r="B32" s="12" t="str">
        <f aca="false">IFERROR(AVERAGEIF($A$6:$A$25,A32,$C$6:$C$25),"")</f>
        <v/>
      </c>
      <c r="C32" s="13"/>
      <c r="D32" s="12" t="str">
        <f aca="false">IF(ISNUMBER(C32),C32,B32)</f>
        <v/>
      </c>
      <c r="E32" s="14" t="str">
        <f aca="false">IF(D32="","",IF(D32&gt;=4,"Strong",IF(D32&gt;=2.5,"Moderate","Weak")))</f>
        <v/>
      </c>
      <c r="F32" s="13"/>
    </row>
    <row r="34" customFormat="false" ht="15" hidden="false" customHeight="false" outlineLevel="0" collapsed="false">
      <c r="A34" s="11" t="s">
        <v>94</v>
      </c>
      <c r="B34" s="15" t="n">
        <f aca="false">IFERROR(6-AVERAGE(D28:D32),"")</f>
        <v>2</v>
      </c>
    </row>
    <row r="35" customFormat="false" ht="15" hidden="false" customHeight="false" outlineLevel="0" collapsed="false">
      <c r="A35" s="11" t="s">
        <v>95</v>
      </c>
      <c r="B35" s="12" t="str">
        <f aca="false">IF(COUNT(F28:F32)=5,6-AVERAGE(F28:F32),"")</f>
        <v/>
      </c>
    </row>
    <row r="37" customFormat="false" ht="15" hidden="false" customHeight="false" outlineLevel="0" collapsed="false">
      <c r="A37" s="3" t="s">
        <v>96</v>
      </c>
    </row>
    <row r="38" customFormat="false" ht="15" hidden="false" customHeight="false" outlineLevel="0" collapsed="false">
      <c r="A38" s="3" t="s">
        <v>97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6" t="s">
        <v>98</v>
      </c>
    </row>
    <row r="2" customFormat="false" ht="15" hidden="false" customHeight="false" outlineLevel="0" collapsed="false">
      <c r="A2" s="3" t="s">
        <v>99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100</v>
      </c>
      <c r="C5" s="8" t="s">
        <v>101</v>
      </c>
      <c r="D5" s="8" t="s">
        <v>102</v>
      </c>
      <c r="E5" s="16" t="s">
        <v>103</v>
      </c>
      <c r="F5" s="16" t="s">
        <v>104</v>
      </c>
      <c r="G5" s="16" t="s">
        <v>105</v>
      </c>
      <c r="H5" s="16" t="s">
        <v>106</v>
      </c>
      <c r="I5" s="16" t="s">
        <v>107</v>
      </c>
      <c r="J5" s="16" t="s">
        <v>108</v>
      </c>
    </row>
    <row r="6" customFormat="false" ht="15" hidden="false" customHeight="false" outlineLevel="0" collapsed="false">
      <c r="A6" s="9" t="s">
        <v>109</v>
      </c>
      <c r="B6" s="9" t="s">
        <v>110</v>
      </c>
      <c r="C6" s="17" t="n">
        <v>0.25</v>
      </c>
      <c r="D6" s="9" t="s">
        <v>111</v>
      </c>
      <c r="E6" s="9" t="n">
        <v>5</v>
      </c>
      <c r="F6" s="9" t="n">
        <v>2</v>
      </c>
      <c r="G6" s="9" t="n">
        <v>3</v>
      </c>
      <c r="H6" s="9"/>
      <c r="I6" s="9"/>
      <c r="J6" s="9"/>
    </row>
    <row r="7" customFormat="false" ht="15" hidden="false" customHeight="false" outlineLevel="0" collapsed="false">
      <c r="A7" s="9"/>
      <c r="B7" s="9"/>
      <c r="C7" s="17"/>
      <c r="D7" s="9"/>
      <c r="E7" s="9"/>
      <c r="F7" s="9"/>
      <c r="G7" s="9"/>
      <c r="H7" s="9"/>
      <c r="I7" s="9"/>
      <c r="J7" s="9"/>
    </row>
    <row r="8" customFormat="false" ht="15" hidden="false" customHeight="false" outlineLevel="0" collapsed="false">
      <c r="A8" s="9"/>
      <c r="B8" s="9"/>
      <c r="C8" s="17"/>
      <c r="D8" s="9"/>
      <c r="E8" s="9"/>
      <c r="F8" s="9"/>
      <c r="G8" s="9"/>
      <c r="H8" s="9"/>
      <c r="I8" s="9"/>
      <c r="J8" s="9"/>
    </row>
    <row r="9" customFormat="false" ht="15" hidden="false" customHeight="false" outlineLevel="0" collapsed="false">
      <c r="A9" s="9"/>
      <c r="B9" s="9"/>
      <c r="C9" s="17"/>
      <c r="D9" s="9"/>
      <c r="E9" s="9"/>
      <c r="F9" s="9"/>
      <c r="G9" s="9"/>
      <c r="H9" s="9"/>
      <c r="I9" s="9"/>
      <c r="J9" s="9"/>
    </row>
    <row r="10" customFormat="false" ht="15" hidden="false" customHeight="false" outlineLevel="0" collapsed="false">
      <c r="A10" s="9"/>
      <c r="B10" s="9"/>
      <c r="C10" s="17"/>
      <c r="D10" s="9"/>
      <c r="E10" s="9"/>
      <c r="F10" s="9"/>
      <c r="G10" s="9"/>
      <c r="H10" s="9"/>
      <c r="I10" s="9"/>
      <c r="J10" s="9"/>
    </row>
    <row r="11" customFormat="false" ht="15" hidden="false" customHeight="false" outlineLevel="0" collapsed="false">
      <c r="A11" s="9"/>
      <c r="B11" s="9"/>
      <c r="C11" s="17"/>
      <c r="D11" s="9"/>
      <c r="E11" s="9"/>
      <c r="F11" s="9"/>
      <c r="G11" s="9"/>
      <c r="H11" s="9"/>
      <c r="I11" s="9"/>
      <c r="J11" s="9"/>
    </row>
    <row r="12" customFormat="false" ht="15" hidden="false" customHeight="false" outlineLevel="0" collapsed="false">
      <c r="A12" s="9"/>
      <c r="B12" s="9"/>
      <c r="C12" s="17"/>
      <c r="D12" s="9"/>
      <c r="E12" s="9"/>
      <c r="F12" s="9"/>
      <c r="G12" s="9"/>
      <c r="H12" s="9"/>
      <c r="I12" s="9"/>
      <c r="J12" s="9"/>
    </row>
    <row r="13" customFormat="false" ht="15" hidden="false" customHeight="false" outlineLevel="0" collapsed="false">
      <c r="A13" s="9"/>
      <c r="B13" s="9"/>
      <c r="C13" s="17"/>
      <c r="D13" s="9"/>
      <c r="E13" s="9"/>
      <c r="F13" s="9"/>
      <c r="G13" s="9"/>
      <c r="H13" s="9"/>
      <c r="I13" s="9"/>
      <c r="J13" s="9"/>
    </row>
    <row r="14" customFormat="false" ht="15" hidden="false" customHeight="false" outlineLevel="0" collapsed="false">
      <c r="A14" s="9"/>
      <c r="B14" s="9"/>
      <c r="C14" s="17"/>
      <c r="D14" s="9"/>
      <c r="E14" s="9"/>
      <c r="F14" s="9"/>
      <c r="G14" s="9"/>
      <c r="H14" s="9"/>
      <c r="I14" s="9"/>
      <c r="J14" s="9"/>
    </row>
    <row r="15" customFormat="false" ht="15" hidden="false" customHeight="false" outlineLevel="0" collapsed="false">
      <c r="A15" s="9"/>
      <c r="B15" s="9"/>
      <c r="C15" s="17"/>
      <c r="D15" s="9"/>
      <c r="E15" s="9"/>
      <c r="F15" s="9"/>
      <c r="G15" s="9"/>
      <c r="H15" s="9"/>
      <c r="I15" s="9"/>
      <c r="J15" s="9"/>
    </row>
    <row r="16" customFormat="false" ht="23.85" hidden="false" customHeight="false" outlineLevel="0" collapsed="false">
      <c r="B16" s="11" t="s">
        <v>112</v>
      </c>
      <c r="C16" s="18" t="n">
        <f aca="false">SUM(C6:C15)</f>
        <v>0.25</v>
      </c>
      <c r="D16" s="14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11" t="s">
        <v>113</v>
      </c>
      <c r="E17" s="19" t="n">
        <f aca="false">IF(COUNT(E6:E15)=0,"",SUMPRODUCT($C$6:$C$15,E6:E15))</f>
        <v>1.25</v>
      </c>
      <c r="F17" s="19" t="n">
        <f aca="false">IF(COUNT(F6:F15)=0,"",SUMPRODUCT($C$6:$C$15,F6:F15))</f>
        <v>0.5</v>
      </c>
      <c r="G17" s="19" t="n">
        <f aca="false">IF(COUNT(G6:G15)=0,"",SUMPRODUCT($C$6:$C$15,G6:G15))</f>
        <v>0.75</v>
      </c>
      <c r="H17" s="19" t="str">
        <f aca="false">IF(COUNT(H6:H15)=0,"",SUMPRODUCT($C$6:$C$15,H6:H15))</f>
        <v/>
      </c>
      <c r="I17" s="19" t="str">
        <f aca="false">IF(COUNT(I6:I15)=0,"",SUMPRODUCT($C$6:$C$15,I6:I15))</f>
        <v/>
      </c>
      <c r="J17" s="19" t="str">
        <f aca="false">IF(COUNT(J6:J15)=0,"",SUMPRODUCT($C$6:$C$15,J6:J15))</f>
        <v/>
      </c>
    </row>
    <row r="18" customFormat="false" ht="15" hidden="false" customHeight="false" outlineLevel="0" collapsed="false">
      <c r="B18" s="11" t="s">
        <v>114</v>
      </c>
      <c r="E18" s="10" t="n">
        <f aca="false">IF(E17="","",RANK(E17,$E$17:$J$17))</f>
        <v>1</v>
      </c>
      <c r="F18" s="10" t="n">
        <f aca="false">IF(F17="","",RANK(F17,$E$17:$J$17))</f>
        <v>3</v>
      </c>
      <c r="G18" s="10" t="n">
        <f aca="false">IF(G17="","",RANK(G17,$E$17:$J$17))</f>
        <v>2</v>
      </c>
      <c r="H18" s="10" t="str">
        <f aca="false">IF(H17="","",RANK(H17,$E$17:$J$17))</f>
        <v/>
      </c>
      <c r="I18" s="10" t="str">
        <f aca="false">IF(I17="","",RANK(I17,$E$17:$J$17))</f>
        <v/>
      </c>
      <c r="J18" s="10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6" t="s">
        <v>115</v>
      </c>
    </row>
    <row r="2" customFormat="false" ht="15" hidden="false" customHeight="false" outlineLevel="0" collapsed="false">
      <c r="A2" s="3" t="s">
        <v>116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8" t="s">
        <v>124</v>
      </c>
      <c r="I5" s="8" t="s">
        <v>125</v>
      </c>
      <c r="J5" s="8" t="s">
        <v>126</v>
      </c>
      <c r="K5" s="8" t="s">
        <v>127</v>
      </c>
    </row>
    <row r="6" customFormat="false" ht="15" hidden="false" customHeight="false" outlineLevel="0" collapsed="false">
      <c r="A6" s="9" t="s">
        <v>128</v>
      </c>
      <c r="B6" s="9" t="s">
        <v>129</v>
      </c>
      <c r="C6" s="9" t="s">
        <v>130</v>
      </c>
      <c r="D6" s="9" t="s">
        <v>130</v>
      </c>
      <c r="E6" s="9" t="s">
        <v>130</v>
      </c>
      <c r="F6" s="9" t="s">
        <v>130</v>
      </c>
      <c r="G6" s="14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9" t="s">
        <v>109</v>
      </c>
      <c r="I6" s="17" t="n">
        <v>0.25</v>
      </c>
      <c r="J6" s="14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9" t="s">
        <v>131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4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9"/>
      <c r="I7" s="17"/>
      <c r="J7" s="14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4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9"/>
      <c r="I8" s="17"/>
      <c r="J8" s="14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4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9"/>
      <c r="I9" s="17"/>
      <c r="J9" s="14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4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9"/>
      <c r="I10" s="17"/>
      <c r="J10" s="14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4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9"/>
      <c r="I11" s="17"/>
      <c r="J11" s="14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4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9"/>
      <c r="I12" s="17"/>
      <c r="J12" s="14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4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9"/>
      <c r="I13" s="17"/>
      <c r="J13" s="14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4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9"/>
      <c r="I14" s="17"/>
      <c r="J14" s="14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4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9"/>
      <c r="I15" s="17"/>
      <c r="J15" s="14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4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9"/>
      <c r="I16" s="17"/>
      <c r="J16" s="14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4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9"/>
      <c r="I17" s="17"/>
      <c r="J17" s="14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4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9"/>
      <c r="I18" s="17"/>
      <c r="J18" s="14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4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9"/>
      <c r="I19" s="17"/>
      <c r="J19" s="14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4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9"/>
      <c r="I20" s="17"/>
      <c r="J20" s="14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9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6" t="s">
        <v>132</v>
      </c>
    </row>
    <row r="2" customFormat="false" ht="15" hidden="false" customHeight="false" outlineLevel="0" collapsed="false">
      <c r="A2" s="3" t="s">
        <v>133</v>
      </c>
    </row>
    <row r="3" customFormat="false" ht="15" hidden="false" customHeight="false" outlineLevel="0" collapsed="false">
      <c r="A3" s="7" t="s">
        <v>40</v>
      </c>
    </row>
    <row r="5" customFormat="false" ht="15" hidden="false" customHeight="false" outlineLevel="0" collapsed="false">
      <c r="A5" s="8" t="s">
        <v>41</v>
      </c>
      <c r="B5" s="8" t="s">
        <v>134</v>
      </c>
      <c r="C5" s="8" t="s">
        <v>135</v>
      </c>
      <c r="E5" s="8" t="s">
        <v>41</v>
      </c>
      <c r="F5" s="8" t="s">
        <v>136</v>
      </c>
      <c r="G5" s="8" t="s">
        <v>135</v>
      </c>
    </row>
    <row r="6" customFormat="false" ht="15" hidden="false" customHeight="false" outlineLevel="0" collapsed="false">
      <c r="A6" s="11" t="s">
        <v>137</v>
      </c>
      <c r="B6" s="9" t="s">
        <v>138</v>
      </c>
      <c r="C6" s="9" t="s">
        <v>139</v>
      </c>
      <c r="E6" s="11" t="s">
        <v>140</v>
      </c>
      <c r="F6" s="9" t="s">
        <v>141</v>
      </c>
      <c r="G6" s="9" t="s">
        <v>142</v>
      </c>
    </row>
    <row r="7" customFormat="false" ht="15" hidden="false" customHeight="false" outlineLevel="0" collapsed="false">
      <c r="A7" s="11" t="s">
        <v>143</v>
      </c>
      <c r="B7" s="9"/>
      <c r="C7" s="9"/>
      <c r="E7" s="11" t="s">
        <v>144</v>
      </c>
      <c r="F7" s="9"/>
      <c r="G7" s="9"/>
    </row>
    <row r="8" customFormat="false" ht="15" hidden="false" customHeight="false" outlineLevel="0" collapsed="false">
      <c r="A8" s="11" t="s">
        <v>145</v>
      </c>
      <c r="B8" s="9"/>
      <c r="C8" s="9"/>
      <c r="E8" s="11" t="s">
        <v>146</v>
      </c>
      <c r="F8" s="9"/>
      <c r="G8" s="9"/>
    </row>
    <row r="9" customFormat="false" ht="15" hidden="false" customHeight="false" outlineLevel="0" collapsed="false">
      <c r="A9" s="11" t="s">
        <v>147</v>
      </c>
      <c r="B9" s="9"/>
      <c r="C9" s="9"/>
      <c r="E9" s="11" t="s">
        <v>148</v>
      </c>
      <c r="F9" s="9"/>
      <c r="G9" s="9"/>
    </row>
    <row r="10" customFormat="false" ht="15" hidden="false" customHeight="false" outlineLevel="0" collapsed="false">
      <c r="A10" s="11" t="s">
        <v>149</v>
      </c>
      <c r="B10" s="9"/>
      <c r="C10" s="9"/>
      <c r="E10" s="11" t="s">
        <v>150</v>
      </c>
      <c r="F10" s="9"/>
      <c r="G10" s="9"/>
    </row>
    <row r="11" customFormat="false" ht="15" hidden="false" customHeight="false" outlineLevel="0" collapsed="false">
      <c r="A11" s="11" t="s">
        <v>151</v>
      </c>
      <c r="B11" s="9"/>
      <c r="C11" s="9"/>
      <c r="E11" s="11" t="s">
        <v>152</v>
      </c>
      <c r="F11" s="9"/>
      <c r="G11" s="9"/>
    </row>
    <row r="14" customFormat="false" ht="15" hidden="false" customHeight="false" outlineLevel="0" collapsed="false">
      <c r="A14" s="8" t="s">
        <v>41</v>
      </c>
      <c r="B14" s="8" t="s">
        <v>153</v>
      </c>
      <c r="C14" s="8" t="s">
        <v>135</v>
      </c>
      <c r="E14" s="8" t="s">
        <v>41</v>
      </c>
      <c r="F14" s="8" t="s">
        <v>154</v>
      </c>
      <c r="G14" s="8" t="s">
        <v>135</v>
      </c>
    </row>
    <row r="15" customFormat="false" ht="15" hidden="false" customHeight="false" outlineLevel="0" collapsed="false">
      <c r="A15" s="11" t="s">
        <v>155</v>
      </c>
      <c r="B15" s="9" t="s">
        <v>156</v>
      </c>
      <c r="C15" s="9" t="s">
        <v>157</v>
      </c>
      <c r="E15" s="11" t="s">
        <v>158</v>
      </c>
      <c r="F15" s="9" t="s">
        <v>159</v>
      </c>
      <c r="G15" s="9" t="s">
        <v>160</v>
      </c>
    </row>
    <row r="16" customFormat="false" ht="15" hidden="false" customHeight="false" outlineLevel="0" collapsed="false">
      <c r="A16" s="11" t="s">
        <v>161</v>
      </c>
      <c r="B16" s="9"/>
      <c r="C16" s="9"/>
      <c r="E16" s="11" t="s">
        <v>162</v>
      </c>
      <c r="F16" s="9"/>
      <c r="G16" s="9"/>
    </row>
    <row r="17" customFormat="false" ht="15" hidden="false" customHeight="false" outlineLevel="0" collapsed="false">
      <c r="A17" s="11" t="s">
        <v>163</v>
      </c>
      <c r="B17" s="9"/>
      <c r="C17" s="9"/>
      <c r="E17" s="11" t="s">
        <v>164</v>
      </c>
      <c r="F17" s="9"/>
      <c r="G17" s="9"/>
    </row>
    <row r="18" customFormat="false" ht="15" hidden="false" customHeight="false" outlineLevel="0" collapsed="false">
      <c r="A18" s="11" t="s">
        <v>165</v>
      </c>
      <c r="B18" s="9"/>
      <c r="C18" s="9"/>
      <c r="E18" s="11" t="s">
        <v>166</v>
      </c>
      <c r="F18" s="9"/>
      <c r="G18" s="9"/>
    </row>
    <row r="19" customFormat="false" ht="15" hidden="false" customHeight="false" outlineLevel="0" collapsed="false">
      <c r="A19" s="11" t="s">
        <v>167</v>
      </c>
      <c r="B19" s="9"/>
      <c r="C19" s="9"/>
      <c r="E19" s="11" t="s">
        <v>168</v>
      </c>
      <c r="F19" s="9"/>
      <c r="G19" s="9"/>
    </row>
    <row r="20" customFormat="false" ht="15" hidden="false" customHeight="false" outlineLevel="0" collapsed="false">
      <c r="A20" s="11" t="s">
        <v>169</v>
      </c>
      <c r="B20" s="9"/>
      <c r="C20" s="9"/>
      <c r="E20" s="11" t="s">
        <v>170</v>
      </c>
      <c r="F20" s="9"/>
      <c r="G20" s="9"/>
    </row>
    <row r="23" customFormat="false" ht="15" hidden="false" customHeight="false" outlineLevel="0" collapsed="false">
      <c r="A23" s="8" t="s">
        <v>171</v>
      </c>
      <c r="B23" s="8" t="s">
        <v>172</v>
      </c>
      <c r="C23" s="8" t="s">
        <v>173</v>
      </c>
    </row>
    <row r="24" customFormat="false" ht="15" hidden="false" customHeight="false" outlineLevel="0" collapsed="false">
      <c r="A24" s="9" t="s">
        <v>174</v>
      </c>
      <c r="B24" s="9" t="s">
        <v>175</v>
      </c>
      <c r="C24" s="9" t="s">
        <v>176</v>
      </c>
    </row>
    <row r="25" customFormat="false" ht="15" hidden="false" customHeight="false" outlineLevel="0" collapsed="false">
      <c r="A25" s="9"/>
      <c r="B25" s="9"/>
      <c r="C25" s="9"/>
    </row>
    <row r="26" customFormat="false" ht="15" hidden="false" customHeight="false" outlineLevel="0" collapsed="false">
      <c r="A26" s="9"/>
      <c r="B26" s="9"/>
      <c r="C26" s="9"/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6" t="s">
        <v>17</v>
      </c>
    </row>
    <row r="2" customFormat="false" ht="15" hidden="false" customHeight="false" outlineLevel="0" collapsed="false">
      <c r="A2" s="3" t="s">
        <v>177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178</v>
      </c>
      <c r="B5" s="8" t="s">
        <v>179</v>
      </c>
      <c r="C5" s="8" t="s">
        <v>180</v>
      </c>
      <c r="D5" s="16" t="s">
        <v>181</v>
      </c>
      <c r="E5" s="16" t="s">
        <v>182</v>
      </c>
      <c r="F5" s="16" t="s">
        <v>183</v>
      </c>
      <c r="G5" s="16" t="s">
        <v>184</v>
      </c>
      <c r="H5" s="16" t="s">
        <v>185</v>
      </c>
    </row>
    <row r="6" customFormat="false" ht="15" hidden="false" customHeight="false" outlineLevel="0" collapsed="false">
      <c r="A6" s="9" t="s">
        <v>186</v>
      </c>
      <c r="B6" s="9" t="n">
        <v>5</v>
      </c>
      <c r="C6" s="9" t="s">
        <v>187</v>
      </c>
      <c r="D6" s="9" t="n">
        <v>3</v>
      </c>
      <c r="E6" s="9" t="n">
        <v>4</v>
      </c>
      <c r="F6" s="9" t="n">
        <v>3</v>
      </c>
      <c r="G6" s="9" t="n">
        <v>1</v>
      </c>
      <c r="H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1" t="s">
        <v>113</v>
      </c>
      <c r="D14" s="19" t="n">
        <f aca="false">IF(COUNT(D6:D13)=0,"",SUMPRODUCT($B$6:$B$13,D6:D13)/SUMPRODUCT($B$6:$B$13*(D6:D13&lt;&gt;"")))</f>
        <v>3</v>
      </c>
      <c r="E14" s="19" t="n">
        <f aca="false">IF(COUNT(E6:E13)=0,"",SUMPRODUCT($B$6:$B$13,E6:E13)/SUMPRODUCT($B$6:$B$13*(E6:E13&lt;&gt;"")))</f>
        <v>4</v>
      </c>
      <c r="F14" s="19" t="n">
        <f aca="false">IF(COUNT(F6:F13)=0,"",SUMPRODUCT($B$6:$B$13,F6:F13)/SUMPRODUCT($B$6:$B$13*(F6:F13&lt;&gt;"")))</f>
        <v>3</v>
      </c>
      <c r="G14" s="19" t="n">
        <f aca="false">IF(COUNT(G6:G13)=0,"",SUMPRODUCT($B$6:$B$13,G6:G13)/SUMPRODUCT($B$6:$B$13*(G6:G13&lt;&gt;"")))</f>
        <v>1</v>
      </c>
      <c r="H14" s="19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11" t="s">
        <v>114</v>
      </c>
      <c r="D15" s="10" t="n">
        <f aca="false">IF(D14="","",RANK(D14,$D$14:$H$14))</f>
        <v>2</v>
      </c>
      <c r="E15" s="10" t="n">
        <f aca="false">IF(E14="","",RANK(E14,$D$14:$H$14))</f>
        <v>1</v>
      </c>
      <c r="F15" s="10" t="n">
        <f aca="false">IF(F14="","",RANK(F14,$D$14:$H$14))</f>
        <v>2</v>
      </c>
      <c r="G15" s="10" t="n">
        <f aca="false">IF(G14="","",RANK(G14,$D$14:$H$14))</f>
        <v>4</v>
      </c>
      <c r="H15" s="10" t="str">
        <f aca="false">IF(H14="","",RANK(H14,$D$14:$H$14))</f>
        <v/>
      </c>
    </row>
    <row r="17" customFormat="false" ht="23.85" hidden="false" customHeight="false" outlineLevel="0" collapsed="false">
      <c r="A17" s="5" t="s">
        <v>188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6" t="s">
        <v>19</v>
      </c>
    </row>
    <row r="2" customFormat="false" ht="15" hidden="false" customHeight="false" outlineLevel="0" collapsed="false">
      <c r="A2" s="3" t="s">
        <v>189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190</v>
      </c>
      <c r="B5" s="8" t="s">
        <v>191</v>
      </c>
      <c r="C5" s="8" t="s">
        <v>192</v>
      </c>
      <c r="D5" s="8" t="s">
        <v>193</v>
      </c>
      <c r="E5" s="8" t="s">
        <v>194</v>
      </c>
      <c r="F5" s="8" t="s">
        <v>195</v>
      </c>
      <c r="G5" s="8" t="s">
        <v>196</v>
      </c>
      <c r="H5" s="8" t="s">
        <v>197</v>
      </c>
      <c r="I5" s="8" t="s">
        <v>198</v>
      </c>
      <c r="J5" s="8" t="s">
        <v>199</v>
      </c>
      <c r="K5" s="8" t="s">
        <v>200</v>
      </c>
    </row>
    <row r="6" customFormat="false" ht="15" hidden="false" customHeight="false" outlineLevel="0" collapsed="false">
      <c r="A6" s="9" t="s">
        <v>201</v>
      </c>
      <c r="B6" s="17" t="n">
        <v>0.3</v>
      </c>
      <c r="C6" s="13" t="n">
        <v>12</v>
      </c>
      <c r="D6" s="17" t="n">
        <v>0.5</v>
      </c>
      <c r="E6" s="13" t="n">
        <v>4</v>
      </c>
      <c r="F6" s="17" t="n">
        <v>0.2</v>
      </c>
      <c r="G6" s="13" t="n">
        <v>-6</v>
      </c>
      <c r="H6" s="14" t="str">
        <f aca="false">IF(A6="","",IF(ABS(B6+D6+F6-1)&lt;0.001,"OK","Must sum to 100%"))</f>
        <v>OK</v>
      </c>
      <c r="I6" s="19" t="n">
        <f aca="false">IF(A6="","",B6*C6+D6*E6+F6*G6)</f>
        <v>4.4</v>
      </c>
      <c r="J6" s="12" t="n">
        <f aca="false">IF(A6="","",MIN(C6,E6,G6))</f>
        <v>-6</v>
      </c>
      <c r="K6" s="12" t="n">
        <f aca="false">IF(A6="","",MAX(C6,E6,G6))</f>
        <v>12</v>
      </c>
    </row>
    <row r="7" customFormat="false" ht="15" hidden="false" customHeight="false" outlineLevel="0" collapsed="false">
      <c r="A7" s="9" t="s">
        <v>202</v>
      </c>
      <c r="B7" s="17" t="n">
        <v>0.3</v>
      </c>
      <c r="C7" s="13" t="n">
        <v>6</v>
      </c>
      <c r="D7" s="17" t="n">
        <v>0.5</v>
      </c>
      <c r="E7" s="13" t="n">
        <v>4</v>
      </c>
      <c r="F7" s="17" t="n">
        <v>0.2</v>
      </c>
      <c r="G7" s="13" t="n">
        <v>1</v>
      </c>
      <c r="H7" s="14" t="str">
        <f aca="false">IF(A7="","",IF(ABS(B7+D7+F7-1)&lt;0.001,"OK","Must sum to 100%"))</f>
        <v>OK</v>
      </c>
      <c r="I7" s="19" t="n">
        <f aca="false">IF(A7="","",B7*C7+D7*E7+F7*G7)</f>
        <v>4</v>
      </c>
      <c r="J7" s="12" t="n">
        <f aca="false">IF(A7="","",MIN(C7,E7,G7))</f>
        <v>1</v>
      </c>
      <c r="K7" s="12" t="n">
        <f aca="false">IF(A7="","",MAX(C7,E7,G7))</f>
        <v>6</v>
      </c>
    </row>
    <row r="8" customFormat="false" ht="15" hidden="false" customHeight="false" outlineLevel="0" collapsed="false">
      <c r="A8" s="9" t="s">
        <v>203</v>
      </c>
      <c r="B8" s="17" t="n">
        <v>0.3</v>
      </c>
      <c r="C8" s="13" t="n">
        <v>0</v>
      </c>
      <c r="D8" s="17" t="n">
        <v>0.5</v>
      </c>
      <c r="E8" s="13" t="n">
        <v>0</v>
      </c>
      <c r="F8" s="17" t="n">
        <v>0.2</v>
      </c>
      <c r="G8" s="13" t="n">
        <v>0</v>
      </c>
      <c r="H8" s="14" t="str">
        <f aca="false">IF(A8="","",IF(ABS(B8+D8+F8-1)&lt;0.001,"OK","Must sum to 100%"))</f>
        <v>OK</v>
      </c>
      <c r="I8" s="19" t="n">
        <f aca="false">IF(A8="","",B8*C8+D8*E8+F8*G8)</f>
        <v>0</v>
      </c>
      <c r="J8" s="12" t="n">
        <f aca="false">IF(A8="","",MIN(C8,E8,G8))</f>
        <v>0</v>
      </c>
      <c r="K8" s="12" t="n">
        <f aca="false">IF(A8="","",MAX(C8,E8,G8))</f>
        <v>0</v>
      </c>
    </row>
    <row r="9" customFormat="false" ht="15" hidden="false" customHeight="false" outlineLevel="0" collapsed="false">
      <c r="A9" s="9"/>
      <c r="B9" s="17"/>
      <c r="C9" s="13"/>
      <c r="D9" s="17"/>
      <c r="E9" s="13"/>
      <c r="F9" s="17"/>
      <c r="G9" s="13"/>
      <c r="H9" s="14" t="str">
        <f aca="false">IF(A9="","",IF(ABS(B9+D9+F9-1)&lt;0.001,"OK","Must sum to 100%"))</f>
        <v/>
      </c>
      <c r="I9" s="19" t="str">
        <f aca="false">IF(A9="","",B9*C9+D9*E9+F9*G9)</f>
        <v/>
      </c>
      <c r="J9" s="12" t="str">
        <f aca="false">IF(A9="","",MIN(C9,E9,G9))</f>
        <v/>
      </c>
      <c r="K9" s="12" t="str">
        <f aca="false">IF(A9="","",MAX(C9,E9,G9))</f>
        <v/>
      </c>
    </row>
    <row r="10" customFormat="false" ht="15" hidden="false" customHeight="false" outlineLevel="0" collapsed="false">
      <c r="A10" s="9"/>
      <c r="B10" s="17"/>
      <c r="C10" s="13"/>
      <c r="D10" s="17"/>
      <c r="E10" s="13"/>
      <c r="F10" s="17"/>
      <c r="G10" s="13"/>
      <c r="H10" s="14" t="str">
        <f aca="false">IF(A10="","",IF(ABS(B10+D10+F10-1)&lt;0.001,"OK","Must sum to 100%"))</f>
        <v/>
      </c>
      <c r="I10" s="19" t="str">
        <f aca="false">IF(A10="","",B10*C10+D10*E10+F10*G10)</f>
        <v/>
      </c>
      <c r="J10" s="12" t="str">
        <f aca="false">IF(A10="","",MIN(C10,E10,G10))</f>
        <v/>
      </c>
      <c r="K10" s="12" t="str">
        <f aca="false">IF(A10="","",MAX(C10,E10,G10))</f>
        <v/>
      </c>
    </row>
    <row r="11" customFormat="false" ht="15" hidden="false" customHeight="false" outlineLevel="0" collapsed="false">
      <c r="A11" s="9"/>
      <c r="B11" s="17"/>
      <c r="C11" s="13"/>
      <c r="D11" s="17"/>
      <c r="E11" s="13"/>
      <c r="F11" s="17"/>
      <c r="G11" s="13"/>
      <c r="H11" s="14" t="str">
        <f aca="false">IF(A11="","",IF(ABS(B11+D11+F11-1)&lt;0.001,"OK","Must sum to 100%"))</f>
        <v/>
      </c>
      <c r="I11" s="19" t="str">
        <f aca="false">IF(A11="","",B11*C11+D11*E11+F11*G11)</f>
        <v/>
      </c>
      <c r="J11" s="12" t="str">
        <f aca="false">IF(A11="","",MIN(C11,E11,G11))</f>
        <v/>
      </c>
      <c r="K11" s="12" t="str">
        <f aca="false">IF(A11="","",MAX(C11,E11,G11))</f>
        <v/>
      </c>
    </row>
    <row r="13" customFormat="false" ht="23.85" hidden="false" customHeight="false" outlineLevel="0" collapsed="false">
      <c r="A13" s="11" t="s">
        <v>204</v>
      </c>
      <c r="B13" s="20" t="str">
        <f aca="false">IFERROR(INDEX(A6:A11,MATCH(MAX(I6:I11),I6:I11,0)),"")</f>
        <v>A. Move upmarket</v>
      </c>
    </row>
    <row r="14" customFormat="false" ht="23.85" hidden="false" customHeight="false" outlineLevel="0" collapsed="false">
      <c r="A14" s="11" t="s">
        <v>205</v>
      </c>
      <c r="B14" s="20" t="str">
        <f aca="false">IFERROR(INDEX(A6:A11,MATCH(MAX(J6:J11),J6:J11,0)),"")</f>
        <v>B. Cut costs</v>
      </c>
    </row>
    <row r="15" customFormat="false" ht="23.85" hidden="false" customHeight="true" outlineLevel="0" collapsed="false">
      <c r="A15" s="11" t="s">
        <v>206</v>
      </c>
      <c r="B15" s="19" t="n">
        <f aca="false">IFERROR(INDEX(B6:B11,MATCH(MAX(I6:I11),I6:I11,0))*MAX(C6:C11)+INDEX(D6:D11,MATCH(MAX(I6:I11),I6:I11,0))*MAX(E6:E11)+INDEX(F6:F11,MATCH(MAX(I6:I11),I6:I11,0))*MAX(G6:G11)-MAX(I6:I11),"")</f>
        <v>1.4</v>
      </c>
      <c r="C15" s="21" t="s">
        <v>207</v>
      </c>
      <c r="D15" s="21"/>
      <c r="E15" s="21"/>
      <c r="F15" s="21"/>
      <c r="G15" s="21"/>
      <c r="H15" s="21"/>
      <c r="I15" s="21"/>
      <c r="J15" s="21"/>
      <c r="K15" s="21"/>
    </row>
  </sheetData>
  <mergeCells count="1">
    <mergeCell ref="C15:K15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6" t="s">
        <v>21</v>
      </c>
    </row>
    <row r="2" customFormat="false" ht="15" hidden="false" customHeight="false" outlineLevel="0" collapsed="false">
      <c r="A2" s="3" t="s">
        <v>208</v>
      </c>
    </row>
    <row r="3" customFormat="false" ht="15" hidden="false" customHeight="false" outlineLevel="0" collapsed="false">
      <c r="A3" s="7" t="s">
        <v>40</v>
      </c>
    </row>
    <row r="5" customFormat="false" ht="15" hidden="false" customHeight="false" outlineLevel="0" collapsed="false">
      <c r="A5" s="11" t="s">
        <v>209</v>
      </c>
    </row>
    <row r="6" customFormat="false" ht="15" hidden="false" customHeight="false" outlineLevel="0" collapsed="false">
      <c r="A6" s="5" t="s">
        <v>210</v>
      </c>
      <c r="B6" s="22" t="n">
        <v>0.1</v>
      </c>
    </row>
    <row r="7" customFormat="false" ht="15" hidden="false" customHeight="false" outlineLevel="0" collapsed="false">
      <c r="A7" s="5" t="s">
        <v>211</v>
      </c>
      <c r="B7" s="22" t="n">
        <v>0.21</v>
      </c>
    </row>
    <row r="8" customFormat="false" ht="15" hidden="false" customHeight="false" outlineLevel="0" collapsed="false">
      <c r="A8" s="5" t="s">
        <v>212</v>
      </c>
      <c r="B8" s="22" t="n">
        <v>0.05</v>
      </c>
    </row>
    <row r="10" customFormat="false" ht="15" hidden="false" customHeight="false" outlineLevel="0" collapsed="false">
      <c r="A10" s="8" t="s">
        <v>213</v>
      </c>
      <c r="B10" s="8" t="s">
        <v>214</v>
      </c>
      <c r="C10" s="8" t="s">
        <v>215</v>
      </c>
      <c r="D10" s="8" t="s">
        <v>216</v>
      </c>
      <c r="E10" s="8" t="s">
        <v>217</v>
      </c>
      <c r="F10" s="8" t="s">
        <v>218</v>
      </c>
      <c r="G10" s="8" t="s">
        <v>219</v>
      </c>
    </row>
    <row r="11" customFormat="false" ht="15" hidden="false" customHeight="false" outlineLevel="0" collapsed="false">
      <c r="A11" s="5" t="s">
        <v>220</v>
      </c>
      <c r="B11" s="23" t="n">
        <v>0</v>
      </c>
      <c r="C11" s="23" t="n">
        <v>32400</v>
      </c>
      <c r="D11" s="23" t="n">
        <v>64800</v>
      </c>
      <c r="E11" s="23" t="n">
        <v>97200</v>
      </c>
      <c r="F11" s="23" t="n">
        <v>108000</v>
      </c>
      <c r="G11" s="23" t="n">
        <v>108000</v>
      </c>
    </row>
    <row r="12" customFormat="false" ht="15" hidden="false" customHeight="false" outlineLevel="0" collapsed="false">
      <c r="A12" s="5" t="s">
        <v>221</v>
      </c>
      <c r="B12" s="24" t="n">
        <v>32000</v>
      </c>
      <c r="C12" s="24" t="n">
        <v>32000</v>
      </c>
      <c r="D12" s="24" t="n">
        <v>32000</v>
      </c>
      <c r="E12" s="24" t="n">
        <v>32000</v>
      </c>
      <c r="F12" s="24" t="n">
        <v>32000</v>
      </c>
      <c r="G12" s="24" t="n">
        <v>32000</v>
      </c>
    </row>
    <row r="13" customFormat="false" ht="15" hidden="false" customHeight="false" outlineLevel="0" collapsed="false">
      <c r="A13" s="5" t="s">
        <v>222</v>
      </c>
      <c r="B13" s="24" t="n">
        <v>20000</v>
      </c>
      <c r="C13" s="24" t="n">
        <v>20000</v>
      </c>
      <c r="D13" s="24" t="n">
        <v>20000</v>
      </c>
      <c r="E13" s="24" t="n">
        <v>20000</v>
      </c>
      <c r="F13" s="24" t="n">
        <v>20000</v>
      </c>
      <c r="G13" s="24" t="n">
        <v>20000</v>
      </c>
    </row>
    <row r="14" customFormat="false" ht="15" hidden="false" customHeight="false" outlineLevel="0" collapsed="false">
      <c r="A14" s="5" t="s">
        <v>223</v>
      </c>
      <c r="B14" s="24" t="n">
        <v>0</v>
      </c>
      <c r="C14" s="24" t="n">
        <v>180000000</v>
      </c>
      <c r="D14" s="24" t="n">
        <v>180000000</v>
      </c>
      <c r="E14" s="24" t="n">
        <v>180000000</v>
      </c>
      <c r="F14" s="24" t="n">
        <v>180000000</v>
      </c>
      <c r="G14" s="24" t="n">
        <v>180000000</v>
      </c>
    </row>
    <row r="15" customFormat="false" ht="15" hidden="false" customHeight="false" outlineLevel="0" collapsed="false">
      <c r="A15" s="5" t="s">
        <v>224</v>
      </c>
      <c r="B15" s="24" t="n">
        <v>2000000000</v>
      </c>
      <c r="C15" s="24" t="n">
        <v>100000000</v>
      </c>
      <c r="D15" s="24" t="n">
        <v>100000000</v>
      </c>
      <c r="E15" s="24" t="n">
        <v>50000000</v>
      </c>
      <c r="F15" s="24" t="n">
        <v>50000000</v>
      </c>
      <c r="G15" s="24" t="n">
        <v>50000000</v>
      </c>
    </row>
    <row r="16" customFormat="false" ht="15" hidden="false" customHeight="false" outlineLevel="0" collapsed="false">
      <c r="A16" s="5" t="s">
        <v>225</v>
      </c>
      <c r="B16" s="25" t="n">
        <f aca="false">B11*B12</f>
        <v>0</v>
      </c>
      <c r="C16" s="25" t="n">
        <f aca="false">C11*C12</f>
        <v>1036800000</v>
      </c>
      <c r="D16" s="25" t="n">
        <f aca="false">D11*D12</f>
        <v>2073600000</v>
      </c>
      <c r="E16" s="25" t="n">
        <f aca="false">E11*E12</f>
        <v>3110400000</v>
      </c>
      <c r="F16" s="25" t="n">
        <f aca="false">F11*F12</f>
        <v>3456000000</v>
      </c>
      <c r="G16" s="25" t="n">
        <f aca="false">G11*G12</f>
        <v>3456000000</v>
      </c>
    </row>
    <row r="17" customFormat="false" ht="15" hidden="false" customHeight="false" outlineLevel="0" collapsed="false">
      <c r="A17" s="5" t="s">
        <v>226</v>
      </c>
      <c r="B17" s="25" t="n">
        <f aca="false">B11*(B12-B13)</f>
        <v>0</v>
      </c>
      <c r="C17" s="25" t="n">
        <f aca="false">C11*(C12-C13)</f>
        <v>388800000</v>
      </c>
      <c r="D17" s="25" t="n">
        <f aca="false">D11*(D12-D13)</f>
        <v>777600000</v>
      </c>
      <c r="E17" s="25" t="n">
        <f aca="false">E11*(E12-E13)</f>
        <v>1166400000</v>
      </c>
      <c r="F17" s="25" t="n">
        <f aca="false">F11*(F12-F13)</f>
        <v>1296000000</v>
      </c>
      <c r="G17" s="25" t="n">
        <f aca="false">G11*(G12-G13)</f>
        <v>1296000000</v>
      </c>
    </row>
    <row r="18" customFormat="false" ht="15" hidden="false" customHeight="false" outlineLevel="0" collapsed="false">
      <c r="A18" s="5" t="s">
        <v>227</v>
      </c>
      <c r="B18" s="25" t="n">
        <f aca="false">B17-B14</f>
        <v>0</v>
      </c>
      <c r="C18" s="25" t="n">
        <f aca="false">C17-C14</f>
        <v>208800000</v>
      </c>
      <c r="D18" s="25" t="n">
        <f aca="false">D17-D14</f>
        <v>597600000</v>
      </c>
      <c r="E18" s="25" t="n">
        <f aca="false">E17-E14</f>
        <v>986400000</v>
      </c>
      <c r="F18" s="25" t="n">
        <f aca="false">F17-F14</f>
        <v>1116000000</v>
      </c>
      <c r="G18" s="25" t="n">
        <f aca="false">G17-G14</f>
        <v>1116000000</v>
      </c>
    </row>
    <row r="19" customFormat="false" ht="15" hidden="false" customHeight="false" outlineLevel="0" collapsed="false">
      <c r="A19" s="5" t="s">
        <v>228</v>
      </c>
      <c r="B19" s="25" t="n">
        <f aca="false">MAX(0,B18)*$B$7</f>
        <v>0</v>
      </c>
      <c r="C19" s="25" t="n">
        <f aca="false">MAX(0,C18)*$B$7</f>
        <v>43848000</v>
      </c>
      <c r="D19" s="25" t="n">
        <f aca="false">MAX(0,D18)*$B$7</f>
        <v>125496000</v>
      </c>
      <c r="E19" s="25" t="n">
        <f aca="false">MAX(0,E18)*$B$7</f>
        <v>207144000</v>
      </c>
      <c r="F19" s="25" t="n">
        <f aca="false">MAX(0,F18)*$B$7</f>
        <v>234360000</v>
      </c>
      <c r="G19" s="25" t="n">
        <f aca="false">MAX(0,G18)*$B$7</f>
        <v>234360000</v>
      </c>
    </row>
    <row r="20" customFormat="false" ht="15" hidden="false" customHeight="false" outlineLevel="0" collapsed="false">
      <c r="A20" s="5" t="s">
        <v>229</v>
      </c>
      <c r="B20" s="25" t="n">
        <f aca="false">B16*$B$8</f>
        <v>0</v>
      </c>
      <c r="C20" s="25" t="n">
        <f aca="false">C16*$B$8</f>
        <v>51840000</v>
      </c>
      <c r="D20" s="25" t="n">
        <f aca="false">D16*$B$8</f>
        <v>103680000</v>
      </c>
      <c r="E20" s="25" t="n">
        <f aca="false">E16*$B$8</f>
        <v>155520000</v>
      </c>
      <c r="F20" s="25" t="n">
        <f aca="false">F16*$B$8</f>
        <v>172800000</v>
      </c>
      <c r="G20" s="25" t="n">
        <f aca="false">G16*$B$8</f>
        <v>172800000</v>
      </c>
    </row>
    <row r="21" customFormat="false" ht="15" hidden="false" customHeight="false" outlineLevel="0" collapsed="false">
      <c r="A21" s="5" t="s">
        <v>230</v>
      </c>
      <c r="B21" s="25" t="n">
        <f aca="false">B20</f>
        <v>0</v>
      </c>
      <c r="C21" s="25" t="n">
        <f aca="false">C20-B20</f>
        <v>51840000</v>
      </c>
      <c r="D21" s="25" t="n">
        <f aca="false">D20-C20</f>
        <v>51840000</v>
      </c>
      <c r="E21" s="25" t="n">
        <f aca="false">E20-D20</f>
        <v>51840000</v>
      </c>
      <c r="F21" s="25" t="n">
        <f aca="false">F20-E20</f>
        <v>17280000</v>
      </c>
      <c r="G21" s="25" t="n">
        <f aca="false">G20-F20</f>
        <v>0</v>
      </c>
    </row>
    <row r="22" customFormat="false" ht="15" hidden="false" customHeight="false" outlineLevel="0" collapsed="false">
      <c r="A22" s="11" t="s">
        <v>231</v>
      </c>
      <c r="B22" s="26" t="n">
        <f aca="false">B18-B19-B21-B15</f>
        <v>-2000000000</v>
      </c>
      <c r="C22" s="26" t="n">
        <f aca="false">C18-C19-C21-C15</f>
        <v>13112000</v>
      </c>
      <c r="D22" s="26" t="n">
        <f aca="false">D18-D19-D21-D15</f>
        <v>320264000</v>
      </c>
      <c r="E22" s="26" t="n">
        <f aca="false">E18-E19-E21-E15</f>
        <v>677416000</v>
      </c>
      <c r="F22" s="26" t="n">
        <f aca="false">F18-F19-F21-F15</f>
        <v>814360000</v>
      </c>
      <c r="G22" s="26" t="n">
        <f aca="false">G18-G19-G21-G15+G20</f>
        <v>1004440000</v>
      </c>
    </row>
    <row r="23" customFormat="false" ht="15" hidden="false" customHeight="false" outlineLevel="0" collapsed="false">
      <c r="A23" s="5" t="s">
        <v>232</v>
      </c>
      <c r="B23" s="25" t="n">
        <f aca="false">B22</f>
        <v>-2000000000</v>
      </c>
      <c r="C23" s="25" t="n">
        <f aca="false">B23+C22</f>
        <v>-1986888000</v>
      </c>
      <c r="D23" s="25" t="n">
        <f aca="false">C23+D22</f>
        <v>-1666624000</v>
      </c>
      <c r="E23" s="25" t="n">
        <f aca="false">D23+E22</f>
        <v>-989208000</v>
      </c>
      <c r="F23" s="25" t="n">
        <f aca="false">E23+F22</f>
        <v>-174848000</v>
      </c>
      <c r="G23" s="25" t="n">
        <f aca="false">F23+G22</f>
        <v>829592000</v>
      </c>
    </row>
    <row r="25" customFormat="false" ht="15" hidden="false" customHeight="false" outlineLevel="0" collapsed="false">
      <c r="A25" s="11" t="s">
        <v>233</v>
      </c>
      <c r="B25" s="26" t="n">
        <f aca="false">IF(COUNT(B11:G11)=0,"",B22+NPV($B$6,C22:G22))</f>
        <v>-34549289.8522835</v>
      </c>
    </row>
    <row r="26" customFormat="false" ht="15" hidden="false" customHeight="false" outlineLevel="0" collapsed="false">
      <c r="A26" s="11" t="s">
        <v>234</v>
      </c>
      <c r="B26" s="27" t="n">
        <f aca="false">IFERROR(IRR(B22:G22),"n/a")</f>
        <v>0.0949319301494521</v>
      </c>
    </row>
    <row r="27" customFormat="false" ht="15" hidden="false" customHeight="false" outlineLevel="0" collapsed="false">
      <c r="A27" s="11" t="s">
        <v>235</v>
      </c>
      <c r="B27" s="20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236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6" t="s">
        <v>23</v>
      </c>
    </row>
    <row r="2" customFormat="false" ht="15" hidden="false" customHeight="false" outlineLevel="0" collapsed="false">
      <c r="A2" s="3" t="s">
        <v>237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238</v>
      </c>
      <c r="B5" s="8" t="s">
        <v>239</v>
      </c>
      <c r="C5" s="8" t="s">
        <v>240</v>
      </c>
      <c r="D5" s="8" t="s">
        <v>241</v>
      </c>
      <c r="E5" s="8" t="s">
        <v>242</v>
      </c>
      <c r="F5" s="8" t="s">
        <v>243</v>
      </c>
      <c r="G5" s="8" t="s">
        <v>244</v>
      </c>
      <c r="H5" s="8" t="s">
        <v>245</v>
      </c>
      <c r="I5" s="8" t="s">
        <v>246</v>
      </c>
      <c r="J5" s="8" t="s">
        <v>247</v>
      </c>
      <c r="K5" s="8" t="s">
        <v>248</v>
      </c>
      <c r="L5" s="8" t="s">
        <v>249</v>
      </c>
    </row>
    <row r="6" customFormat="false" ht="15" hidden="false" customHeight="false" outlineLevel="0" collapsed="false">
      <c r="A6" s="9" t="s">
        <v>250</v>
      </c>
      <c r="B6" s="9" t="s">
        <v>251</v>
      </c>
      <c r="C6" s="9" t="s">
        <v>252</v>
      </c>
      <c r="D6" s="9" t="s">
        <v>253</v>
      </c>
      <c r="E6" s="9" t="s">
        <v>254</v>
      </c>
      <c r="F6" s="28" t="n">
        <v>13000</v>
      </c>
      <c r="G6" s="28" t="n">
        <v>12400</v>
      </c>
      <c r="H6" s="29" t="n">
        <f aca="false">IF(AND(ISNUMBER(F6),ISNUMBER(G6),F6&lt;&gt;0,G6&lt;&gt;0),IF(E6="Lower",F6/G6,G6/F6),"")</f>
        <v>0.953846153846154</v>
      </c>
      <c r="I6" s="14" t="str">
        <f aca="false">IF(H6="",IF(C6="","","No actual yet"),IF(H6&gt;=1,"On target",IF(H6&gt;=0.9,"Caution","Below plan")))</f>
        <v>Caution</v>
      </c>
      <c r="J6" s="9" t="s">
        <v>255</v>
      </c>
      <c r="K6" s="9" t="s">
        <v>256</v>
      </c>
      <c r="L6" s="9" t="s">
        <v>257</v>
      </c>
    </row>
    <row r="7" customFormat="false" ht="23.85" hidden="false" customHeight="false" outlineLevel="0" collapsed="false">
      <c r="A7" s="9" t="s">
        <v>258</v>
      </c>
      <c r="B7" s="9" t="s">
        <v>259</v>
      </c>
      <c r="C7" s="9" t="s">
        <v>260</v>
      </c>
      <c r="D7" s="9" t="s">
        <v>261</v>
      </c>
      <c r="E7" s="9" t="s">
        <v>254</v>
      </c>
      <c r="F7" s="28" t="n">
        <v>0.95</v>
      </c>
      <c r="G7" s="28" t="n">
        <v>0.97</v>
      </c>
      <c r="H7" s="29" t="n">
        <f aca="false">IF(AND(ISNUMBER(F7),ISNUMBER(G7),F7&lt;&gt;0,G7&lt;&gt;0),IF(E7="Lower",F7/G7,G7/F7),"")</f>
        <v>1.02105263157895</v>
      </c>
      <c r="I7" s="14" t="str">
        <f aca="false">IF(H7="",IF(C7="","","No actual yet"),IF(H7&gt;=1,"On target",IF(H7&gt;=0.9,"Caution","Below plan")))</f>
        <v>On target</v>
      </c>
      <c r="J7" s="9" t="s">
        <v>262</v>
      </c>
      <c r="K7" s="9" t="s">
        <v>263</v>
      </c>
      <c r="L7" s="9" t="s">
        <v>264</v>
      </c>
    </row>
    <row r="8" customFormat="false" ht="15" hidden="false" customHeight="false" outlineLevel="0" collapsed="false">
      <c r="A8" s="9"/>
      <c r="B8" s="9"/>
      <c r="C8" s="9"/>
      <c r="D8" s="9"/>
      <c r="E8" s="9"/>
      <c r="F8" s="28"/>
      <c r="G8" s="28"/>
      <c r="H8" s="29" t="str">
        <f aca="false">IF(AND(ISNUMBER(F8),ISNUMBER(G8),F8&lt;&gt;0,G8&lt;&gt;0),IF(E8="Lower",F8/G8,G8/F8),"")</f>
        <v/>
      </c>
      <c r="I8" s="14" t="str">
        <f aca="false">IF(H8="",IF(C8="","","No actual yet"),IF(H8&gt;=1,"On target",IF(H8&gt;=0.9,"Caution","Below plan")))</f>
        <v/>
      </c>
      <c r="J8" s="9"/>
      <c r="K8" s="9"/>
      <c r="L8" s="9"/>
    </row>
    <row r="9" customFormat="false" ht="15" hidden="false" customHeight="false" outlineLevel="0" collapsed="false">
      <c r="A9" s="9"/>
      <c r="B9" s="9"/>
      <c r="C9" s="9"/>
      <c r="D9" s="9"/>
      <c r="E9" s="9"/>
      <c r="F9" s="28"/>
      <c r="G9" s="28"/>
      <c r="H9" s="29" t="str">
        <f aca="false">IF(AND(ISNUMBER(F9),ISNUMBER(G9),F9&lt;&gt;0,G9&lt;&gt;0),IF(E9="Lower",F9/G9,G9/F9),"")</f>
        <v/>
      </c>
      <c r="I9" s="14" t="str">
        <f aca="false">IF(H9="",IF(C9="","","No actual yet"),IF(H9&gt;=1,"On target",IF(H9&gt;=0.9,"Caution","Below plan")))</f>
        <v/>
      </c>
      <c r="J9" s="9"/>
      <c r="K9" s="9"/>
      <c r="L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28"/>
      <c r="G10" s="28"/>
      <c r="H10" s="29" t="str">
        <f aca="false">IF(AND(ISNUMBER(F10),ISNUMBER(G10),F10&lt;&gt;0,G10&lt;&gt;0),IF(E10="Lower",F10/G10,G10/F10),"")</f>
        <v/>
      </c>
      <c r="I10" s="14" t="str">
        <f aca="false">IF(H10="",IF(C10="","","No actual yet"),IF(H10&gt;=1,"On target",IF(H10&gt;=0.9,"Caution","Below plan")))</f>
        <v/>
      </c>
      <c r="J10" s="9"/>
      <c r="K10" s="9"/>
      <c r="L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28"/>
      <c r="G11" s="28"/>
      <c r="H11" s="29" t="str">
        <f aca="false">IF(AND(ISNUMBER(F11),ISNUMBER(G11),F11&lt;&gt;0,G11&lt;&gt;0),IF(E11="Lower",F11/G11,G11/F11),"")</f>
        <v/>
      </c>
      <c r="I11" s="14" t="str">
        <f aca="false">IF(H11="",IF(C11="","","No actual yet"),IF(H11&gt;=1,"On target",IF(H11&gt;=0.9,"Caution","Below plan")))</f>
        <v/>
      </c>
      <c r="J11" s="9"/>
      <c r="K11" s="9"/>
      <c r="L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28"/>
      <c r="G12" s="28"/>
      <c r="H12" s="29" t="str">
        <f aca="false">IF(AND(ISNUMBER(F12),ISNUMBER(G12),F12&lt;&gt;0,G12&lt;&gt;0),IF(E12="Lower",F12/G12,G12/F12),"")</f>
        <v/>
      </c>
      <c r="I12" s="14" t="str">
        <f aca="false">IF(H12="",IF(C12="","","No actual yet"),IF(H12&gt;=1,"On target",IF(H12&gt;=0.9,"Caution","Below plan")))</f>
        <v/>
      </c>
      <c r="J12" s="9"/>
      <c r="K12" s="9"/>
      <c r="L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28"/>
      <c r="G13" s="28"/>
      <c r="H13" s="29" t="str">
        <f aca="false">IF(AND(ISNUMBER(F13),ISNUMBER(G13),F13&lt;&gt;0,G13&lt;&gt;0),IF(E13="Lower",F13/G13,G13/F13),"")</f>
        <v/>
      </c>
      <c r="I13" s="14" t="str">
        <f aca="false">IF(H13="",IF(C13="","","No actual yet"),IF(H13&gt;=1,"On target",IF(H13&gt;=0.9,"Caution","Below plan")))</f>
        <v/>
      </c>
      <c r="J13" s="9"/>
      <c r="K13" s="9"/>
      <c r="L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28"/>
      <c r="G14" s="28"/>
      <c r="H14" s="29" t="str">
        <f aca="false">IF(AND(ISNUMBER(F14),ISNUMBER(G14),F14&lt;&gt;0,G14&lt;&gt;0),IF(E14="Lower",F14/G14,G14/F14),"")</f>
        <v/>
      </c>
      <c r="I14" s="14" t="str">
        <f aca="false">IF(H14="",IF(C14="","","No actual yet"),IF(H14&gt;=1,"On target",IF(H14&gt;=0.9,"Caution","Below plan")))</f>
        <v/>
      </c>
      <c r="J14" s="9"/>
      <c r="K14" s="9"/>
      <c r="L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28"/>
      <c r="G15" s="28"/>
      <c r="H15" s="29" t="str">
        <f aca="false">IF(AND(ISNUMBER(F15),ISNUMBER(G15),F15&lt;&gt;0,G15&lt;&gt;0),IF(E15="Lower",F15/G15,G15/F15),"")</f>
        <v/>
      </c>
      <c r="I15" s="14" t="str">
        <f aca="false">IF(H15="",IF(C15="","","No actual yet"),IF(H15&gt;=1,"On target",IF(H15&gt;=0.9,"Caution","Below plan")))</f>
        <v/>
      </c>
      <c r="J15" s="9"/>
      <c r="K15" s="9"/>
      <c r="L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28"/>
      <c r="G16" s="28"/>
      <c r="H16" s="29" t="str">
        <f aca="false">IF(AND(ISNUMBER(F16),ISNUMBER(G16),F16&lt;&gt;0,G16&lt;&gt;0),IF(E16="Lower",F16/G16,G16/F16),"")</f>
        <v/>
      </c>
      <c r="I16" s="14" t="str">
        <f aca="false">IF(H16="",IF(C16="","","No actual yet"),IF(H16&gt;=1,"On target",IF(H16&gt;=0.9,"Caution","Below plan")))</f>
        <v/>
      </c>
      <c r="J16" s="9"/>
      <c r="K16" s="9"/>
      <c r="L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28"/>
      <c r="G17" s="28"/>
      <c r="H17" s="29" t="str">
        <f aca="false">IF(AND(ISNUMBER(F17),ISNUMBER(G17),F17&lt;&gt;0,G17&lt;&gt;0),IF(E17="Lower",F17/G17,G17/F17),"")</f>
        <v/>
      </c>
      <c r="I17" s="14" t="str">
        <f aca="false">IF(H17="",IF(C17="","","No actual yet"),IF(H17&gt;=1,"On target",IF(H17&gt;=0.9,"Caution","Below plan")))</f>
        <v/>
      </c>
      <c r="J17" s="9"/>
      <c r="K17" s="9"/>
      <c r="L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28"/>
      <c r="G18" s="28"/>
      <c r="H18" s="29" t="str">
        <f aca="false">IF(AND(ISNUMBER(F18),ISNUMBER(G18),F18&lt;&gt;0,G18&lt;&gt;0),IF(E18="Lower",F18/G18,G18/F18),"")</f>
        <v/>
      </c>
      <c r="I18" s="14" t="str">
        <f aca="false">IF(H18="",IF(C18="","","No actual yet"),IF(H18&gt;=1,"On target",IF(H18&gt;=0.9,"Caution","Below plan")))</f>
        <v/>
      </c>
      <c r="J18" s="9"/>
      <c r="K18" s="9"/>
      <c r="L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28"/>
      <c r="G19" s="28"/>
      <c r="H19" s="29" t="str">
        <f aca="false">IF(AND(ISNUMBER(F19),ISNUMBER(G19),F19&lt;&gt;0,G19&lt;&gt;0),IF(E19="Lower",F19/G19,G19/F19),"")</f>
        <v/>
      </c>
      <c r="I19" s="14" t="str">
        <f aca="false">IF(H19="",IF(C19="","","No actual yet"),IF(H19&gt;=1,"On target",IF(H19&gt;=0.9,"Caution","Below plan")))</f>
        <v/>
      </c>
      <c r="J19" s="9"/>
      <c r="K19" s="9"/>
      <c r="L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28"/>
      <c r="G20" s="28"/>
      <c r="H20" s="29" t="str">
        <f aca="false">IF(AND(ISNUMBER(F20),ISNUMBER(G20),F20&lt;&gt;0,G20&lt;&gt;0),IF(E20="Lower",F20/G20,G20/F20),"")</f>
        <v/>
      </c>
      <c r="I20" s="14" t="str">
        <f aca="false">IF(H20="",IF(C20="","","No actual yet"),IF(H20&gt;=1,"On target",IF(H20&gt;=0.9,"Caution","Below plan")))</f>
        <v/>
      </c>
      <c r="J20" s="9"/>
      <c r="K20" s="9"/>
      <c r="L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28"/>
      <c r="G21" s="28"/>
      <c r="H21" s="29" t="str">
        <f aca="false">IF(AND(ISNUMBER(F21),ISNUMBER(G21),F21&lt;&gt;0,G21&lt;&gt;0),IF(E21="Lower",F21/G21,G21/F21),"")</f>
        <v/>
      </c>
      <c r="I21" s="14" t="str">
        <f aca="false">IF(H21="",IF(C21="","","No actual yet"),IF(H21&gt;=1,"On target",IF(H21&gt;=0.9,"Caution","Below plan")))</f>
        <v/>
      </c>
      <c r="J21" s="9"/>
      <c r="K21" s="9"/>
      <c r="L21" s="9"/>
    </row>
    <row r="23" customFormat="false" ht="15" hidden="false" customHeight="false" outlineLevel="0" collapsed="false">
      <c r="A23" s="11" t="s">
        <v>265</v>
      </c>
    </row>
    <row r="24" customFormat="false" ht="15" hidden="false" customHeight="false" outlineLevel="0" collapsed="false">
      <c r="B24" s="5" t="s">
        <v>250</v>
      </c>
      <c r="C24" s="10" t="n">
        <f aca="false">COUNTIFS($A$6:$A$21,B24,$C$6:$C$21,"&lt;&gt;")</f>
        <v>1</v>
      </c>
      <c r="D24" s="14" t="str">
        <f aca="false">IF(C24=0,"Add a measure","OK")</f>
        <v>OK</v>
      </c>
    </row>
    <row r="25" customFormat="false" ht="23.85" hidden="false" customHeight="false" outlineLevel="0" collapsed="false">
      <c r="B25" s="5" t="s">
        <v>266</v>
      </c>
      <c r="C25" s="10" t="n">
        <f aca="false">COUNTIFS($A$6:$A$21,B25,$C$6:$C$21,"&lt;&gt;")</f>
        <v>0</v>
      </c>
      <c r="D25" s="14" t="str">
        <f aca="false">IF(C25=0,"Add a measure","OK")</f>
        <v>Add a measure</v>
      </c>
    </row>
    <row r="26" customFormat="false" ht="15" hidden="false" customHeight="false" outlineLevel="0" collapsed="false">
      <c r="B26" s="5" t="s">
        <v>258</v>
      </c>
      <c r="C26" s="10" t="n">
        <f aca="false">COUNTIFS($A$6:$A$21,B26,$C$6:$C$21,"&lt;&gt;")</f>
        <v>1</v>
      </c>
      <c r="D26" s="14" t="str">
        <f aca="false">IF(C26=0,"Add a measure","OK")</f>
        <v>OK</v>
      </c>
    </row>
    <row r="27" customFormat="false" ht="23.85" hidden="false" customHeight="false" outlineLevel="0" collapsed="false">
      <c r="B27" s="5" t="s">
        <v>267</v>
      </c>
      <c r="C27" s="10" t="n">
        <f aca="false">COUNTIFS($A$6:$A$21,B27,$C$6:$C$21,"&lt;&gt;")</f>
        <v>0</v>
      </c>
      <c r="D27" s="14" t="str">
        <f aca="false">IF(C27=0,"Add a measure","OK")</f>
        <v>Add a measure</v>
      </c>
    </row>
    <row r="29" customFormat="false" ht="15" hidden="false" customHeight="false" outlineLevel="0" collapsed="false">
      <c r="B29" s="5" t="s">
        <v>268</v>
      </c>
      <c r="C29" s="10" t="n">
        <f aca="false">COUNTA(C6:C21)</f>
        <v>2</v>
      </c>
    </row>
    <row r="30" customFormat="false" ht="15" hidden="false" customHeight="false" outlineLevel="0" collapsed="false">
      <c r="B30" s="5" t="s">
        <v>269</v>
      </c>
      <c r="C30" s="29" t="n">
        <f aca="false">IF(C29=0,"",COUNTIFS(D6:D21,"Leading",C6:C21,"&lt;&gt;")/C29)</f>
        <v>0.5</v>
      </c>
      <c r="D30" s="14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270</v>
      </c>
      <c r="C31" s="10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6" t="s">
        <v>25</v>
      </c>
    </row>
    <row r="2" customFormat="false" ht="15" hidden="false" customHeight="false" outlineLevel="0" collapsed="false">
      <c r="A2" s="3" t="s">
        <v>271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238</v>
      </c>
      <c r="C5" s="8" t="s">
        <v>239</v>
      </c>
      <c r="D5" s="8" t="s">
        <v>272</v>
      </c>
      <c r="E5" s="8" t="s">
        <v>273</v>
      </c>
    </row>
    <row r="6" customFormat="false" ht="15" hidden="false" customHeight="false" outlineLevel="0" collapsed="false">
      <c r="A6" s="9" t="s">
        <v>274</v>
      </c>
      <c r="B6" s="9" t="s">
        <v>250</v>
      </c>
      <c r="C6" s="9" t="s">
        <v>251</v>
      </c>
      <c r="D6" s="9"/>
      <c r="E6" s="14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9" t="s">
        <v>275</v>
      </c>
      <c r="B7" s="9" t="s">
        <v>266</v>
      </c>
      <c r="C7" s="9" t="s">
        <v>276</v>
      </c>
      <c r="D7" s="9" t="s">
        <v>274</v>
      </c>
      <c r="E7" s="14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9" t="s">
        <v>277</v>
      </c>
      <c r="B8" s="9" t="s">
        <v>258</v>
      </c>
      <c r="C8" s="9" t="s">
        <v>259</v>
      </c>
      <c r="D8" s="9" t="s">
        <v>275</v>
      </c>
      <c r="E8" s="14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9" t="s">
        <v>278</v>
      </c>
      <c r="B9" s="9" t="s">
        <v>267</v>
      </c>
      <c r="C9" s="9" t="s">
        <v>279</v>
      </c>
      <c r="D9" s="9" t="s">
        <v>277</v>
      </c>
      <c r="E9" s="14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9"/>
      <c r="B10" s="9"/>
      <c r="C10" s="9"/>
      <c r="D10" s="9"/>
      <c r="E10" s="14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14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14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14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14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4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4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6" t="s">
        <v>280</v>
      </c>
    </row>
    <row r="2" customFormat="false" ht="15" hidden="false" customHeight="false" outlineLevel="0" collapsed="false">
      <c r="A2" s="3" t="s">
        <v>281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282</v>
      </c>
      <c r="B5" s="8" t="s">
        <v>283</v>
      </c>
      <c r="C5" s="8" t="s">
        <v>284</v>
      </c>
      <c r="D5" s="8" t="s">
        <v>285</v>
      </c>
      <c r="E5" s="8" t="s">
        <v>286</v>
      </c>
      <c r="F5" s="8" t="s">
        <v>287</v>
      </c>
      <c r="G5" s="8" t="s">
        <v>288</v>
      </c>
    </row>
    <row r="6" customFormat="false" ht="15" hidden="false" customHeight="false" outlineLevel="0" collapsed="false">
      <c r="A6" s="9" t="s">
        <v>289</v>
      </c>
      <c r="B6" s="9" t="s">
        <v>290</v>
      </c>
      <c r="C6" s="24" t="n">
        <v>279</v>
      </c>
      <c r="D6" s="13" t="n">
        <v>4.2</v>
      </c>
      <c r="E6" s="13" t="n">
        <v>14</v>
      </c>
      <c r="F6" s="30" t="n">
        <v>5</v>
      </c>
      <c r="G6" s="14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>Premium differentiator</v>
      </c>
    </row>
    <row r="7" customFormat="false" ht="15" hidden="false" customHeight="false" outlineLevel="0" collapsed="false">
      <c r="A7" s="9" t="s">
        <v>291</v>
      </c>
      <c r="B7" s="9" t="s">
        <v>290</v>
      </c>
      <c r="C7" s="24" t="n">
        <v>239</v>
      </c>
      <c r="D7" s="13" t="n">
        <v>3.4</v>
      </c>
      <c r="E7" s="13" t="n">
        <v>16.5</v>
      </c>
      <c r="F7" s="30" t="n">
        <v>4</v>
      </c>
      <c r="G7" s="14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>Low-cost / economy</v>
      </c>
    </row>
    <row r="8" customFormat="false" ht="15" hidden="false" customHeight="false" outlineLevel="0" collapsed="false">
      <c r="A8" s="9" t="s">
        <v>292</v>
      </c>
      <c r="B8" s="9" t="s">
        <v>290</v>
      </c>
      <c r="C8" s="24" t="n">
        <v>264</v>
      </c>
      <c r="D8" s="13" t="n">
        <v>4</v>
      </c>
      <c r="E8" s="13" t="n">
        <v>12</v>
      </c>
      <c r="F8" s="30" t="n">
        <v>5</v>
      </c>
      <c r="G8" s="14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>Low-cost / economy</v>
      </c>
    </row>
    <row r="9" customFormat="false" ht="15" hidden="false" customHeight="false" outlineLevel="0" collapsed="false">
      <c r="A9" s="9" t="s">
        <v>293</v>
      </c>
      <c r="B9" s="9" t="s">
        <v>290</v>
      </c>
      <c r="C9" s="24" t="n">
        <v>319</v>
      </c>
      <c r="D9" s="13" t="n">
        <v>5.1</v>
      </c>
      <c r="E9" s="13" t="n">
        <v>11</v>
      </c>
      <c r="F9" s="30" t="n">
        <v>6</v>
      </c>
      <c r="G9" s="14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>Premium differentiator</v>
      </c>
    </row>
    <row r="10" customFormat="false" ht="15" hidden="false" customHeight="false" outlineLevel="0" collapsed="false">
      <c r="A10" s="9" t="s">
        <v>294</v>
      </c>
      <c r="B10" s="9" t="s">
        <v>290</v>
      </c>
      <c r="C10" s="24" t="n">
        <v>299</v>
      </c>
      <c r="D10" s="13" t="n">
        <v>3.6</v>
      </c>
      <c r="E10" s="13" t="n">
        <v>9.5</v>
      </c>
      <c r="F10" s="30" t="n">
        <v>5</v>
      </c>
      <c r="G10" s="14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>Stuck in the middle</v>
      </c>
    </row>
    <row r="11" customFormat="false" ht="15" hidden="false" customHeight="false" outlineLevel="0" collapsed="false">
      <c r="A11" s="9"/>
      <c r="B11" s="9"/>
      <c r="C11" s="24"/>
      <c r="D11" s="13"/>
      <c r="E11" s="13"/>
      <c r="F11" s="30"/>
      <c r="G11" s="14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9"/>
      <c r="B12" s="9"/>
      <c r="C12" s="24"/>
      <c r="D12" s="13"/>
      <c r="E12" s="13"/>
      <c r="F12" s="30"/>
      <c r="G12" s="14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9"/>
      <c r="B13" s="9"/>
      <c r="C13" s="24"/>
      <c r="D13" s="13"/>
      <c r="E13" s="13"/>
      <c r="F13" s="30"/>
      <c r="G13" s="14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9"/>
      <c r="B14" s="9"/>
      <c r="C14" s="24"/>
      <c r="D14" s="13"/>
      <c r="E14" s="13"/>
      <c r="F14" s="30"/>
      <c r="G14" s="14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9"/>
      <c r="B15" s="9"/>
      <c r="C15" s="24"/>
      <c r="D15" s="13"/>
      <c r="E15" s="13"/>
      <c r="F15" s="30"/>
      <c r="G15" s="14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9"/>
      <c r="B16" s="9"/>
      <c r="C16" s="24"/>
      <c r="D16" s="13"/>
      <c r="E16" s="13"/>
      <c r="F16" s="30"/>
      <c r="G16" s="14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9"/>
      <c r="B17" s="9"/>
      <c r="C17" s="24"/>
      <c r="D17" s="13"/>
      <c r="E17" s="13"/>
      <c r="F17" s="30"/>
      <c r="G17" s="14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9"/>
      <c r="B18" s="9"/>
      <c r="C18" s="24"/>
      <c r="D18" s="13"/>
      <c r="E18" s="13"/>
      <c r="F18" s="30"/>
      <c r="G18" s="14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9"/>
      <c r="B19" s="9"/>
      <c r="C19" s="24"/>
      <c r="D19" s="13"/>
      <c r="E19" s="13"/>
      <c r="F19" s="30"/>
      <c r="G19" s="14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9"/>
      <c r="B20" s="9"/>
      <c r="C20" s="24"/>
      <c r="D20" s="13"/>
      <c r="E20" s="13"/>
      <c r="F20" s="30"/>
      <c r="G20" s="14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9"/>
      <c r="B21" s="9"/>
      <c r="C21" s="24"/>
      <c r="D21" s="13"/>
      <c r="E21" s="13"/>
      <c r="F21" s="30"/>
      <c r="G21" s="14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9"/>
      <c r="B22" s="9"/>
      <c r="C22" s="24"/>
      <c r="D22" s="13"/>
      <c r="E22" s="13"/>
      <c r="F22" s="30"/>
      <c r="G22" s="14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9"/>
      <c r="B23" s="9"/>
      <c r="C23" s="24"/>
      <c r="D23" s="13"/>
      <c r="E23" s="13"/>
      <c r="F23" s="30"/>
      <c r="G23" s="14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9"/>
      <c r="B24" s="9"/>
      <c r="C24" s="24"/>
      <c r="D24" s="13"/>
      <c r="E24" s="13"/>
      <c r="F24" s="30"/>
      <c r="G24" s="14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9"/>
      <c r="B25" s="9"/>
      <c r="C25" s="24"/>
      <c r="D25" s="13"/>
      <c r="E25" s="13"/>
      <c r="F25" s="30"/>
      <c r="G25" s="14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9"/>
      <c r="B26" s="9"/>
      <c r="C26" s="24"/>
      <c r="D26" s="13"/>
      <c r="E26" s="13"/>
      <c r="F26" s="30"/>
      <c r="G26" s="14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9"/>
      <c r="B27" s="9"/>
      <c r="C27" s="24"/>
      <c r="D27" s="13"/>
      <c r="E27" s="13"/>
      <c r="F27" s="30"/>
      <c r="G27" s="14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9"/>
      <c r="B28" s="9"/>
      <c r="C28" s="24"/>
      <c r="D28" s="13"/>
      <c r="E28" s="13"/>
      <c r="F28" s="30"/>
      <c r="G28" s="14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9"/>
      <c r="B29" s="9"/>
      <c r="C29" s="24"/>
      <c r="D29" s="13"/>
      <c r="E29" s="13"/>
      <c r="F29" s="30"/>
      <c r="G29" s="14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11" t="s">
        <v>295</v>
      </c>
      <c r="C31" s="11" t="s">
        <v>296</v>
      </c>
      <c r="D31" s="11" t="s">
        <v>297</v>
      </c>
    </row>
    <row r="32" customFormat="false" ht="15" hidden="false" customHeight="false" outlineLevel="0" collapsed="false">
      <c r="A32" s="5" t="s">
        <v>290</v>
      </c>
      <c r="C32" s="31" t="n">
        <f aca="false">IFERROR(SUMPRODUCT(($B$6:$B$29="Camera")*$C$6:$C$29*$E$6:$E$29)/SUMIF($B$6:$B$29,"Camera",$E$6:$E$29),"")</f>
        <v>275.666666666667</v>
      </c>
      <c r="D32" s="32" t="n">
        <f aca="false">IFERROR(SUMPRODUCT(($B$6:$B$29="Camera")*$D$6:$D$29*$E$6:$E$29)/SUMIF($B$6:$B$29,"Camera",$E$6:$E$29),"")</f>
        <v>4.01904761904762</v>
      </c>
    </row>
    <row r="33" customFormat="false" ht="15" hidden="false" customHeight="false" outlineLevel="0" collapsed="false">
      <c r="A33" s="5" t="s">
        <v>298</v>
      </c>
      <c r="C33" s="31" t="str">
        <f aca="false">IFERROR(SUMPRODUCT(($B$6:$B$29="Drone")*$C$6:$C$29*$E$6:$E$29)/SUMIF($B$6:$B$29,"Drone",$E$6:$E$29),"")</f>
        <v/>
      </c>
      <c r="D33" s="32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6" t="s">
        <v>299</v>
      </c>
    </row>
    <row r="2" customFormat="false" ht="15" hidden="false" customHeight="false" outlineLevel="0" collapsed="false">
      <c r="A2" s="3" t="s">
        <v>300</v>
      </c>
    </row>
    <row r="3" customFormat="false" ht="15" hidden="false" customHeight="false" outlineLevel="0" collapsed="false">
      <c r="A3" s="7" t="s">
        <v>40</v>
      </c>
    </row>
    <row r="4" customFormat="false" ht="15" hidden="false" customHeight="false" outlineLevel="0" collapsed="false">
      <c r="A4" s="4" t="s">
        <v>301</v>
      </c>
      <c r="D4" s="17" t="n">
        <v>0.15</v>
      </c>
    </row>
    <row r="5" customFormat="false" ht="30" hidden="false" customHeight="true" outlineLevel="0" collapsed="false">
      <c r="A5" s="8" t="s">
        <v>302</v>
      </c>
      <c r="B5" s="8" t="s">
        <v>303</v>
      </c>
      <c r="C5" s="8" t="s">
        <v>304</v>
      </c>
      <c r="D5" s="8" t="s">
        <v>305</v>
      </c>
      <c r="E5" s="8" t="s">
        <v>306</v>
      </c>
      <c r="F5" s="8" t="s">
        <v>307</v>
      </c>
      <c r="G5" s="8" t="s">
        <v>308</v>
      </c>
      <c r="H5" s="8" t="s">
        <v>309</v>
      </c>
      <c r="I5" s="8" t="s">
        <v>310</v>
      </c>
      <c r="J5" s="8" t="s">
        <v>311</v>
      </c>
      <c r="K5" s="8" t="s">
        <v>312</v>
      </c>
      <c r="L5" s="8" t="s">
        <v>313</v>
      </c>
      <c r="M5" s="8" t="s">
        <v>314</v>
      </c>
      <c r="N5" s="8" t="s">
        <v>315</v>
      </c>
    </row>
    <row r="6" customFormat="false" ht="15" hidden="false" customHeight="false" outlineLevel="0" collapsed="false">
      <c r="A6" s="33" t="s">
        <v>316</v>
      </c>
      <c r="B6" s="11" t="s">
        <v>317</v>
      </c>
      <c r="C6" s="5" t="s">
        <v>318</v>
      </c>
      <c r="D6" s="5" t="s">
        <v>319</v>
      </c>
      <c r="E6" s="9" t="s">
        <v>320</v>
      </c>
      <c r="F6" s="9" t="s">
        <v>320</v>
      </c>
      <c r="G6" s="9"/>
      <c r="H6" s="9"/>
      <c r="I6" s="9"/>
      <c r="J6" s="9"/>
      <c r="K6" s="9"/>
      <c r="L6" s="9"/>
      <c r="M6" s="9"/>
      <c r="N6" s="9"/>
    </row>
    <row r="7" customFormat="false" ht="23.85" hidden="false" customHeight="false" outlineLevel="0" collapsed="false">
      <c r="A7" s="33" t="s">
        <v>321</v>
      </c>
      <c r="B7" s="11"/>
      <c r="C7" s="5" t="s">
        <v>322</v>
      </c>
      <c r="D7" s="5" t="s">
        <v>319</v>
      </c>
      <c r="E7" s="9" t="s">
        <v>323</v>
      </c>
      <c r="F7" s="9" t="s">
        <v>323</v>
      </c>
      <c r="G7" s="9"/>
      <c r="H7" s="9"/>
      <c r="I7" s="9"/>
      <c r="J7" s="9"/>
      <c r="K7" s="9"/>
      <c r="L7" s="9"/>
      <c r="M7" s="9"/>
      <c r="N7" s="9"/>
    </row>
    <row r="8" customFormat="false" ht="15" hidden="false" customHeight="false" outlineLevel="0" collapsed="false">
      <c r="A8" s="33" t="s">
        <v>324</v>
      </c>
      <c r="B8" s="11" t="s">
        <v>325</v>
      </c>
      <c r="C8" s="5" t="s">
        <v>326</v>
      </c>
      <c r="D8" s="5" t="s">
        <v>327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false" outlineLevel="0" collapsed="false">
      <c r="A9" s="33" t="s">
        <v>328</v>
      </c>
      <c r="B9" s="11"/>
      <c r="C9" s="5" t="s">
        <v>329</v>
      </c>
      <c r="D9" s="5" t="s">
        <v>327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false" outlineLevel="0" collapsed="false">
      <c r="A10" s="33" t="s">
        <v>330</v>
      </c>
      <c r="B10" s="11"/>
      <c r="C10" s="5" t="s">
        <v>331</v>
      </c>
      <c r="D10" s="5" t="s">
        <v>332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customFormat="false" ht="15" hidden="false" customHeight="false" outlineLevel="0" collapsed="false">
      <c r="A11" s="33" t="s">
        <v>333</v>
      </c>
      <c r="B11" s="11"/>
      <c r="C11" s="5" t="s">
        <v>334</v>
      </c>
      <c r="D11" s="5" t="s">
        <v>332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 customFormat="false" ht="15" hidden="false" customHeight="false" outlineLevel="0" collapsed="false">
      <c r="A12" s="33" t="s">
        <v>335</v>
      </c>
      <c r="B12" s="11"/>
      <c r="C12" s="5" t="s">
        <v>336</v>
      </c>
      <c r="D12" s="5" t="s">
        <v>337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</row>
    <row r="13" customFormat="false" ht="15" hidden="false" customHeight="false" outlineLevel="0" collapsed="false">
      <c r="A13" s="33" t="s">
        <v>338</v>
      </c>
      <c r="B13" s="11"/>
      <c r="C13" s="5" t="s">
        <v>339</v>
      </c>
      <c r="D13" s="5" t="s">
        <v>337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</row>
    <row r="14" customFormat="false" ht="15" hidden="false" customHeight="false" outlineLevel="0" collapsed="false">
      <c r="A14" s="33" t="s">
        <v>340</v>
      </c>
      <c r="B14" s="11" t="s">
        <v>341</v>
      </c>
      <c r="C14" s="5" t="s">
        <v>342</v>
      </c>
      <c r="D14" s="5" t="s">
        <v>213</v>
      </c>
      <c r="E14" s="34" t="n">
        <v>264</v>
      </c>
      <c r="F14" s="34" t="n">
        <v>249</v>
      </c>
      <c r="G14" s="34"/>
      <c r="H14" s="34"/>
      <c r="I14" s="34"/>
      <c r="J14" s="34"/>
      <c r="K14" s="34"/>
      <c r="L14" s="34"/>
      <c r="M14" s="34"/>
      <c r="N14" s="34"/>
    </row>
    <row r="15" customFormat="false" ht="15" hidden="false" customHeight="false" outlineLevel="0" collapsed="false">
      <c r="A15" s="33" t="s">
        <v>343</v>
      </c>
      <c r="B15" s="11"/>
      <c r="C15" s="5" t="s">
        <v>344</v>
      </c>
      <c r="D15" s="5" t="s">
        <v>213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 customFormat="false" ht="15" hidden="false" customHeight="false" outlineLevel="0" collapsed="false">
      <c r="A16" s="33" t="s">
        <v>345</v>
      </c>
      <c r="B16" s="11"/>
      <c r="C16" s="5" t="s">
        <v>346</v>
      </c>
      <c r="D16" s="5" t="s">
        <v>213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</row>
    <row r="17" customFormat="false" ht="15" hidden="false" customHeight="false" outlineLevel="0" collapsed="false">
      <c r="A17" s="33" t="s">
        <v>347</v>
      </c>
      <c r="B17" s="11"/>
      <c r="C17" s="5" t="s">
        <v>348</v>
      </c>
      <c r="D17" s="5" t="s">
        <v>213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</row>
    <row r="18" customFormat="false" ht="15" hidden="false" customHeight="false" outlineLevel="0" collapsed="false">
      <c r="A18" s="33" t="s">
        <v>349</v>
      </c>
      <c r="B18" s="11"/>
      <c r="C18" s="5" t="s">
        <v>350</v>
      </c>
      <c r="D18" s="5" t="s">
        <v>213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</row>
    <row r="19" customFormat="false" ht="15" hidden="false" customHeight="false" outlineLevel="0" collapsed="false">
      <c r="A19" s="33" t="s">
        <v>351</v>
      </c>
      <c r="B19" s="11"/>
      <c r="C19" s="5" t="s">
        <v>352</v>
      </c>
      <c r="D19" s="5" t="s">
        <v>213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</row>
    <row r="20" customFormat="false" ht="15" hidden="false" customHeight="false" outlineLevel="0" collapsed="false">
      <c r="A20" s="33" t="s">
        <v>353</v>
      </c>
      <c r="B20" s="11"/>
      <c r="C20" s="5" t="s">
        <v>354</v>
      </c>
      <c r="D20" s="5" t="s">
        <v>213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</row>
    <row r="21" customFormat="false" ht="15" hidden="false" customHeight="false" outlineLevel="0" collapsed="false">
      <c r="A21" s="33" t="s">
        <v>355</v>
      </c>
      <c r="B21" s="11"/>
      <c r="C21" s="5" t="s">
        <v>356</v>
      </c>
      <c r="D21" s="5" t="s">
        <v>213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</row>
    <row r="22" customFormat="false" ht="15" hidden="false" customHeight="false" outlineLevel="0" collapsed="false">
      <c r="A22" s="33" t="s">
        <v>357</v>
      </c>
      <c r="B22" s="11"/>
      <c r="C22" s="5" t="s">
        <v>358</v>
      </c>
      <c r="D22" s="5" t="s">
        <v>337</v>
      </c>
      <c r="E22" s="23" t="n">
        <v>7500</v>
      </c>
      <c r="F22" s="23" t="n">
        <v>6800</v>
      </c>
      <c r="G22" s="23"/>
      <c r="H22" s="23"/>
      <c r="I22" s="23"/>
      <c r="J22" s="23"/>
      <c r="K22" s="23"/>
      <c r="L22" s="23"/>
      <c r="M22" s="23"/>
      <c r="N22" s="23"/>
    </row>
    <row r="23" customFormat="false" ht="15" hidden="false" customHeight="false" outlineLevel="0" collapsed="false">
      <c r="A23" s="33" t="s">
        <v>359</v>
      </c>
      <c r="B23" s="11"/>
      <c r="C23" s="5" t="s">
        <v>360</v>
      </c>
      <c r="D23" s="5" t="s">
        <v>337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customFormat="false" ht="15" hidden="false" customHeight="false" outlineLevel="0" collapsed="false">
      <c r="A24" s="33" t="s">
        <v>361</v>
      </c>
      <c r="B24" s="11"/>
      <c r="C24" s="5" t="s">
        <v>362</v>
      </c>
      <c r="D24" s="5" t="s">
        <v>337</v>
      </c>
      <c r="E24" s="23"/>
      <c r="F24" s="23"/>
      <c r="G24" s="23"/>
      <c r="H24" s="23"/>
      <c r="I24" s="23"/>
      <c r="J24" s="23"/>
      <c r="K24" s="23"/>
      <c r="L24" s="23"/>
      <c r="M24" s="23"/>
      <c r="N24" s="23"/>
    </row>
    <row r="25" customFormat="false" ht="15" hidden="false" customHeight="false" outlineLevel="0" collapsed="false">
      <c r="A25" s="33" t="s">
        <v>363</v>
      </c>
      <c r="B25" s="11"/>
      <c r="C25" s="5" t="s">
        <v>364</v>
      </c>
      <c r="D25" s="5" t="s">
        <v>337</v>
      </c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customFormat="false" ht="15" hidden="false" customHeight="false" outlineLevel="0" collapsed="false">
      <c r="A26" s="33" t="s">
        <v>365</v>
      </c>
      <c r="B26" s="11"/>
      <c r="C26" s="5" t="s">
        <v>366</v>
      </c>
      <c r="D26" s="5" t="s">
        <v>337</v>
      </c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customFormat="false" ht="15" hidden="false" customHeight="false" outlineLevel="0" collapsed="false">
      <c r="A27" s="33" t="s">
        <v>367</v>
      </c>
      <c r="B27" s="11"/>
      <c r="C27" s="5" t="s">
        <v>368</v>
      </c>
      <c r="D27" s="5" t="s">
        <v>337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</row>
    <row r="28" customFormat="false" ht="15" hidden="false" customHeight="false" outlineLevel="0" collapsed="false">
      <c r="A28" s="33" t="s">
        <v>369</v>
      </c>
      <c r="B28" s="11"/>
      <c r="C28" s="5" t="s">
        <v>370</v>
      </c>
      <c r="D28" s="5" t="s">
        <v>337</v>
      </c>
      <c r="E28" s="23"/>
      <c r="F28" s="23"/>
      <c r="G28" s="23"/>
      <c r="H28" s="23"/>
      <c r="I28" s="23"/>
      <c r="J28" s="23"/>
      <c r="K28" s="23"/>
      <c r="L28" s="23"/>
      <c r="M28" s="23"/>
      <c r="N28" s="23"/>
    </row>
    <row r="29" customFormat="false" ht="15" hidden="false" customHeight="false" outlineLevel="0" collapsed="false">
      <c r="A29" s="33" t="s">
        <v>371</v>
      </c>
      <c r="B29" s="11"/>
      <c r="C29" s="5" t="s">
        <v>372</v>
      </c>
      <c r="D29" s="5" t="s">
        <v>337</v>
      </c>
      <c r="E29" s="23"/>
      <c r="F29" s="23"/>
      <c r="G29" s="23"/>
      <c r="H29" s="23"/>
      <c r="I29" s="23"/>
      <c r="J29" s="23"/>
      <c r="K29" s="23"/>
      <c r="L29" s="23"/>
      <c r="M29" s="23"/>
      <c r="N29" s="23"/>
    </row>
    <row r="30" customFormat="false" ht="23.85" hidden="false" customHeight="false" outlineLevel="0" collapsed="false">
      <c r="A30" s="33" t="s">
        <v>373</v>
      </c>
      <c r="B30" s="11"/>
      <c r="C30" s="5" t="s">
        <v>374</v>
      </c>
      <c r="D30" s="5" t="s">
        <v>375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customFormat="false" ht="23.85" hidden="false" customHeight="false" outlineLevel="0" collapsed="false">
      <c r="A31" s="33" t="s">
        <v>376</v>
      </c>
      <c r="B31" s="11"/>
      <c r="C31" s="5" t="s">
        <v>377</v>
      </c>
      <c r="D31" s="5" t="s">
        <v>375</v>
      </c>
      <c r="E31" s="9"/>
      <c r="F31" s="9"/>
      <c r="G31" s="9"/>
      <c r="H31" s="9"/>
      <c r="I31" s="9"/>
      <c r="J31" s="9"/>
      <c r="K31" s="9"/>
      <c r="L31" s="9"/>
      <c r="M31" s="9"/>
      <c r="N31" s="9"/>
    </row>
    <row r="32" customFormat="false" ht="23.85" hidden="false" customHeight="false" outlineLevel="0" collapsed="false">
      <c r="A32" s="33" t="s">
        <v>378</v>
      </c>
      <c r="B32" s="11"/>
      <c r="C32" s="5" t="s">
        <v>379</v>
      </c>
      <c r="D32" s="5" t="s">
        <v>375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23.85" hidden="false" customHeight="false" outlineLevel="0" collapsed="false">
      <c r="A33" s="33" t="s">
        <v>380</v>
      </c>
      <c r="B33" s="11"/>
      <c r="C33" s="5" t="s">
        <v>381</v>
      </c>
      <c r="D33" s="5" t="s">
        <v>375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customFormat="false" ht="23.85" hidden="false" customHeight="false" outlineLevel="0" collapsed="false">
      <c r="A34" s="33" t="s">
        <v>382</v>
      </c>
      <c r="B34" s="11"/>
      <c r="C34" s="5" t="s">
        <v>383</v>
      </c>
      <c r="D34" s="5" t="s">
        <v>375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23.85" hidden="false" customHeight="false" outlineLevel="0" collapsed="false">
      <c r="A35" s="33" t="s">
        <v>384</v>
      </c>
      <c r="B35" s="11"/>
      <c r="C35" s="5" t="s">
        <v>385</v>
      </c>
      <c r="D35" s="5" t="s">
        <v>375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customFormat="false" ht="23.85" hidden="false" customHeight="false" outlineLevel="0" collapsed="false">
      <c r="A36" s="33" t="s">
        <v>386</v>
      </c>
      <c r="B36" s="11"/>
      <c r="C36" s="5" t="s">
        <v>387</v>
      </c>
      <c r="D36" s="5" t="s">
        <v>375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customFormat="false" ht="23.85" hidden="false" customHeight="false" outlineLevel="0" collapsed="false">
      <c r="A37" s="33" t="s">
        <v>388</v>
      </c>
      <c r="B37" s="11"/>
      <c r="C37" s="5" t="s">
        <v>389</v>
      </c>
      <c r="D37" s="5" t="s">
        <v>375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customFormat="false" ht="15" hidden="false" customHeight="false" outlineLevel="0" collapsed="false">
      <c r="A38" s="33" t="s">
        <v>390</v>
      </c>
      <c r="B38" s="11"/>
      <c r="C38" s="5" t="s">
        <v>391</v>
      </c>
      <c r="D38" s="5" t="s">
        <v>392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 customFormat="false" ht="15" hidden="false" customHeight="false" outlineLevel="0" collapsed="false">
      <c r="A39" s="33" t="s">
        <v>393</v>
      </c>
      <c r="B39" s="11"/>
      <c r="C39" s="5" t="s">
        <v>394</v>
      </c>
      <c r="D39" s="5" t="s">
        <v>392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customFormat="false" ht="15" hidden="false" customHeight="false" outlineLevel="0" collapsed="false">
      <c r="A40" s="33" t="s">
        <v>395</v>
      </c>
      <c r="B40" s="11"/>
      <c r="C40" s="5" t="s">
        <v>396</v>
      </c>
      <c r="D40" s="5" t="s">
        <v>392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 customFormat="false" ht="15" hidden="false" customHeight="false" outlineLevel="0" collapsed="false">
      <c r="A41" s="33" t="s">
        <v>397</v>
      </c>
      <c r="B41" s="11"/>
      <c r="C41" s="5" t="s">
        <v>398</v>
      </c>
      <c r="D41" s="5" t="s">
        <v>392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 customFormat="false" ht="15" hidden="false" customHeight="false" outlineLevel="0" collapsed="false">
      <c r="A42" s="33" t="s">
        <v>399</v>
      </c>
      <c r="B42" s="11"/>
      <c r="C42" s="5" t="s">
        <v>400</v>
      </c>
      <c r="D42" s="5" t="s">
        <v>392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 customFormat="false" ht="15" hidden="false" customHeight="false" outlineLevel="0" collapsed="false">
      <c r="A43" s="33" t="s">
        <v>401</v>
      </c>
      <c r="B43" s="11"/>
      <c r="C43" s="5" t="s">
        <v>402</v>
      </c>
      <c r="D43" s="5" t="s">
        <v>392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 customFormat="false" ht="15" hidden="false" customHeight="false" outlineLevel="0" collapsed="false">
      <c r="A44" s="33" t="s">
        <v>403</v>
      </c>
      <c r="B44" s="11"/>
      <c r="C44" s="5" t="s">
        <v>404</v>
      </c>
      <c r="D44" s="5" t="s">
        <v>392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 customFormat="false" ht="15" hidden="false" customHeight="false" outlineLevel="0" collapsed="false">
      <c r="A45" s="33" t="s">
        <v>405</v>
      </c>
      <c r="B45" s="11"/>
      <c r="C45" s="5" t="s">
        <v>406</v>
      </c>
      <c r="D45" s="5" t="s">
        <v>392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 customFormat="false" ht="15" hidden="false" customHeight="false" outlineLevel="0" collapsed="false">
      <c r="A46" s="33" t="s">
        <v>407</v>
      </c>
      <c r="B46" s="11" t="s">
        <v>408</v>
      </c>
      <c r="C46" s="5" t="s">
        <v>409</v>
      </c>
      <c r="D46" s="5" t="s">
        <v>332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 customFormat="false" ht="15" hidden="false" customHeight="false" outlineLevel="0" collapsed="false">
      <c r="A47" s="33" t="s">
        <v>410</v>
      </c>
      <c r="B47" s="11"/>
      <c r="C47" s="5" t="s">
        <v>411</v>
      </c>
      <c r="D47" s="5" t="s">
        <v>332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 customFormat="false" ht="15" hidden="false" customHeight="false" outlineLevel="0" collapsed="false">
      <c r="A48" s="33" t="s">
        <v>412</v>
      </c>
      <c r="B48" s="11"/>
      <c r="C48" s="5" t="s">
        <v>413</v>
      </c>
      <c r="D48" s="5" t="s">
        <v>414</v>
      </c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customFormat="false" ht="15" hidden="false" customHeight="false" outlineLevel="0" collapsed="false">
      <c r="A49" s="33" t="s">
        <v>415</v>
      </c>
      <c r="B49" s="11"/>
      <c r="C49" s="5" t="s">
        <v>416</v>
      </c>
      <c r="D49" s="5" t="s">
        <v>414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customFormat="false" ht="15" hidden="false" customHeight="false" outlineLevel="0" collapsed="false">
      <c r="A50" s="33" t="s">
        <v>417</v>
      </c>
      <c r="B50" s="11"/>
      <c r="C50" s="5" t="s">
        <v>418</v>
      </c>
      <c r="D50" s="5" t="s">
        <v>419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customFormat="false" ht="15" hidden="false" customHeight="false" outlineLevel="0" collapsed="false">
      <c r="A51" s="33" t="s">
        <v>420</v>
      </c>
      <c r="B51" s="11"/>
      <c r="C51" s="5" t="s">
        <v>421</v>
      </c>
      <c r="D51" s="5" t="s">
        <v>419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customFormat="false" ht="15" hidden="false" customHeight="false" outlineLevel="0" collapsed="false">
      <c r="A52" s="33" t="s">
        <v>422</v>
      </c>
      <c r="B52" s="11" t="s">
        <v>423</v>
      </c>
      <c r="C52" s="5" t="s">
        <v>424</v>
      </c>
      <c r="D52" s="5" t="s">
        <v>419</v>
      </c>
      <c r="E52" s="9"/>
      <c r="F52" s="9"/>
      <c r="G52" s="9"/>
      <c r="H52" s="9"/>
      <c r="I52" s="9"/>
      <c r="J52" s="9"/>
      <c r="K52" s="9"/>
      <c r="L52" s="9"/>
      <c r="M52" s="9"/>
      <c r="N52" s="9"/>
    </row>
    <row r="53" customFormat="false" ht="15" hidden="false" customHeight="false" outlineLevel="0" collapsed="false">
      <c r="A53" s="33" t="s">
        <v>425</v>
      </c>
      <c r="B53" s="11"/>
      <c r="C53" s="5" t="s">
        <v>426</v>
      </c>
      <c r="D53" s="5" t="s">
        <v>427</v>
      </c>
      <c r="E53" s="9"/>
      <c r="F53" s="9"/>
      <c r="G53" s="9"/>
      <c r="H53" s="9"/>
      <c r="I53" s="9"/>
      <c r="J53" s="9"/>
      <c r="K53" s="9"/>
      <c r="L53" s="9"/>
      <c r="M53" s="9"/>
      <c r="N53" s="9"/>
    </row>
    <row r="54" customFormat="false" ht="15" hidden="false" customHeight="false" outlineLevel="0" collapsed="false">
      <c r="A54" s="33" t="s">
        <v>428</v>
      </c>
      <c r="B54" s="11"/>
      <c r="C54" s="5" t="s">
        <v>429</v>
      </c>
      <c r="D54" s="5" t="s">
        <v>419</v>
      </c>
      <c r="E54" s="9"/>
      <c r="F54" s="9"/>
      <c r="G54" s="9"/>
      <c r="H54" s="9"/>
      <c r="I54" s="9"/>
      <c r="J54" s="9"/>
      <c r="K54" s="9"/>
      <c r="L54" s="9"/>
      <c r="M54" s="9"/>
      <c r="N54" s="9"/>
    </row>
    <row r="55" customFormat="false" ht="15" hidden="false" customHeight="false" outlineLevel="0" collapsed="false">
      <c r="A55" s="33" t="s">
        <v>430</v>
      </c>
      <c r="B55" s="11" t="s">
        <v>431</v>
      </c>
      <c r="C55" s="5" t="s">
        <v>432</v>
      </c>
      <c r="D55" s="5" t="s">
        <v>337</v>
      </c>
      <c r="E55" s="23"/>
      <c r="F55" s="23"/>
      <c r="G55" s="23"/>
      <c r="H55" s="23"/>
      <c r="I55" s="23"/>
      <c r="J55" s="23"/>
      <c r="K55" s="23"/>
      <c r="L55" s="23"/>
      <c r="M55" s="23"/>
      <c r="N55" s="23"/>
    </row>
    <row r="56" customFormat="false" ht="15" hidden="false" customHeight="false" outlineLevel="0" collapsed="false">
      <c r="A56" s="33" t="s">
        <v>433</v>
      </c>
      <c r="B56" s="11"/>
      <c r="C56" s="5" t="s">
        <v>434</v>
      </c>
      <c r="D56" s="5" t="s">
        <v>319</v>
      </c>
      <c r="E56" s="9"/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false" outlineLevel="0" collapsed="false">
      <c r="A57" s="33" t="s">
        <v>435</v>
      </c>
      <c r="B57" s="11" t="s">
        <v>436</v>
      </c>
      <c r="C57" s="5" t="s">
        <v>437</v>
      </c>
      <c r="D57" s="5" t="s">
        <v>337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</row>
    <row r="58" customFormat="false" ht="15" hidden="false" customHeight="false" outlineLevel="0" collapsed="false">
      <c r="A58" s="33" t="s">
        <v>438</v>
      </c>
      <c r="B58" s="11"/>
      <c r="C58" s="5" t="s">
        <v>439</v>
      </c>
      <c r="D58" s="5" t="s">
        <v>337</v>
      </c>
      <c r="E58" s="23"/>
      <c r="F58" s="23"/>
      <c r="G58" s="23"/>
      <c r="H58" s="23"/>
      <c r="I58" s="23"/>
      <c r="J58" s="23"/>
      <c r="K58" s="23"/>
      <c r="L58" s="23"/>
      <c r="M58" s="23"/>
      <c r="N58" s="23"/>
    </row>
    <row r="59" customFormat="false" ht="15" hidden="false" customHeight="false" outlineLevel="0" collapsed="false">
      <c r="A59" s="33" t="s">
        <v>440</v>
      </c>
      <c r="B59" s="11"/>
      <c r="C59" s="5" t="s">
        <v>441</v>
      </c>
      <c r="D59" s="5" t="s">
        <v>442</v>
      </c>
      <c r="E59" s="9"/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" hidden="false" customHeight="false" outlineLevel="0" collapsed="false">
      <c r="A60" s="33" t="s">
        <v>443</v>
      </c>
      <c r="B60" s="11"/>
      <c r="C60" s="5" t="s">
        <v>444</v>
      </c>
      <c r="D60" s="5" t="s">
        <v>442</v>
      </c>
      <c r="E60" s="9"/>
      <c r="F60" s="9"/>
      <c r="G60" s="9"/>
      <c r="H60" s="9"/>
      <c r="I60" s="9"/>
      <c r="J60" s="9"/>
      <c r="K60" s="9"/>
      <c r="L60" s="9"/>
      <c r="M60" s="9"/>
      <c r="N60" s="9"/>
    </row>
    <row r="61" customFormat="false" ht="15" hidden="false" customHeight="false" outlineLevel="0" collapsed="false">
      <c r="A61" s="33" t="s">
        <v>445</v>
      </c>
      <c r="B61" s="11"/>
      <c r="C61" s="5" t="s">
        <v>446</v>
      </c>
      <c r="D61" s="5" t="s">
        <v>213</v>
      </c>
      <c r="E61" s="34"/>
      <c r="F61" s="34"/>
      <c r="G61" s="34"/>
      <c r="H61" s="34"/>
      <c r="I61" s="34"/>
      <c r="J61" s="34"/>
      <c r="K61" s="34"/>
      <c r="L61" s="34"/>
      <c r="M61" s="34"/>
      <c r="N61" s="34"/>
    </row>
    <row r="62" customFormat="false" ht="23.85" hidden="false" customHeight="false" outlineLevel="0" collapsed="false">
      <c r="A62" s="33" t="s">
        <v>447</v>
      </c>
      <c r="B62" s="11" t="s">
        <v>448</v>
      </c>
      <c r="C62" s="5" t="s">
        <v>449</v>
      </c>
      <c r="D62" s="5" t="s">
        <v>213</v>
      </c>
      <c r="E62" s="34"/>
      <c r="F62" s="34"/>
      <c r="G62" s="34"/>
      <c r="H62" s="34"/>
      <c r="I62" s="34"/>
      <c r="J62" s="34"/>
      <c r="K62" s="34"/>
      <c r="L62" s="34"/>
      <c r="M62" s="34"/>
      <c r="N62" s="34"/>
    </row>
    <row r="63" customFormat="false" ht="15" hidden="false" customHeight="false" outlineLevel="0" collapsed="false">
      <c r="A63" s="33" t="s">
        <v>450</v>
      </c>
      <c r="B63" s="11"/>
      <c r="C63" s="5" t="s">
        <v>451</v>
      </c>
      <c r="D63" s="5" t="s">
        <v>414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15" hidden="false" customHeight="false" outlineLevel="0" collapsed="false">
      <c r="A64" s="33" t="s">
        <v>452</v>
      </c>
      <c r="B64" s="11"/>
      <c r="C64" s="5" t="s">
        <v>453</v>
      </c>
      <c r="D64" s="5" t="s">
        <v>213</v>
      </c>
      <c r="E64" s="34"/>
      <c r="F64" s="34"/>
      <c r="G64" s="34"/>
      <c r="H64" s="34"/>
      <c r="I64" s="34"/>
      <c r="J64" s="34"/>
      <c r="K64" s="34"/>
      <c r="L64" s="34"/>
      <c r="M64" s="34"/>
      <c r="N64" s="34"/>
    </row>
    <row r="65" customFormat="false" ht="15" hidden="false" customHeight="false" outlineLevel="0" collapsed="false">
      <c r="A65" s="33" t="s">
        <v>454</v>
      </c>
      <c r="B65" s="11"/>
      <c r="C65" s="5" t="s">
        <v>455</v>
      </c>
      <c r="D65" s="5" t="s">
        <v>319</v>
      </c>
      <c r="E65" s="9"/>
      <c r="F65" s="9"/>
      <c r="G65" s="9"/>
      <c r="H65" s="9"/>
      <c r="I65" s="9"/>
      <c r="J65" s="9"/>
      <c r="K65" s="9"/>
      <c r="L65" s="9"/>
      <c r="M65" s="9"/>
      <c r="N65" s="9"/>
    </row>
    <row r="66" customFormat="false" ht="15" hidden="false" customHeight="false" outlineLevel="0" collapsed="false">
      <c r="A66" s="33" t="s">
        <v>456</v>
      </c>
      <c r="B66" s="11"/>
      <c r="C66" s="5" t="s">
        <v>457</v>
      </c>
      <c r="D66" s="5" t="s">
        <v>458</v>
      </c>
      <c r="E66" s="9"/>
      <c r="F66" s="9"/>
      <c r="G66" s="9"/>
      <c r="H66" s="9"/>
      <c r="I66" s="9"/>
      <c r="J66" s="9"/>
      <c r="K66" s="9"/>
      <c r="L66" s="9"/>
      <c r="M66" s="9"/>
      <c r="N66" s="9"/>
    </row>
    <row r="68" customFormat="false" ht="35.05" hidden="false" customHeight="false" outlineLevel="0" collapsed="false">
      <c r="B68" s="11" t="s">
        <v>459</v>
      </c>
    </row>
    <row r="69" customFormat="false" ht="15" hidden="false" customHeight="false" outlineLevel="0" collapsed="false">
      <c r="A69" s="8" t="s">
        <v>460</v>
      </c>
      <c r="B69" s="8" t="s">
        <v>303</v>
      </c>
      <c r="C69" s="8" t="s">
        <v>304</v>
      </c>
      <c r="D69" s="8" t="s">
        <v>305</v>
      </c>
      <c r="E69" s="8" t="s">
        <v>306</v>
      </c>
      <c r="F69" s="8" t="s">
        <v>307</v>
      </c>
      <c r="G69" s="8" t="s">
        <v>308</v>
      </c>
      <c r="H69" s="8" t="s">
        <v>309</v>
      </c>
      <c r="I69" s="8" t="s">
        <v>310</v>
      </c>
      <c r="J69" s="8" t="s">
        <v>311</v>
      </c>
      <c r="K69" s="8" t="s">
        <v>312</v>
      </c>
      <c r="L69" s="8" t="s">
        <v>313</v>
      </c>
      <c r="M69" s="8" t="s">
        <v>314</v>
      </c>
      <c r="N69" s="8" t="s">
        <v>315</v>
      </c>
    </row>
    <row r="70" customFormat="false" ht="15" hidden="false" customHeight="false" outlineLevel="0" collapsed="false">
      <c r="A70" s="33" t="s">
        <v>316</v>
      </c>
      <c r="C70" s="5" t="s">
        <v>318</v>
      </c>
      <c r="F70" s="29" t="str">
        <f aca="false">IF(AND(ISNUMBER(F6),ISNUMBER(E6),E6&lt;&gt;0),F6/E6-1,"")</f>
        <v/>
      </c>
      <c r="G70" s="29" t="str">
        <f aca="false">IF(AND(ISNUMBER(G6),ISNUMBER(F6),F6&lt;&gt;0),G6/F6-1,"")</f>
        <v/>
      </c>
      <c r="H70" s="29" t="str">
        <f aca="false">IF(AND(ISNUMBER(H6),ISNUMBER(G6),G6&lt;&gt;0),H6/G6-1,"")</f>
        <v/>
      </c>
      <c r="I70" s="29" t="str">
        <f aca="false">IF(AND(ISNUMBER(I6),ISNUMBER(H6),H6&lt;&gt;0),I6/H6-1,"")</f>
        <v/>
      </c>
      <c r="J70" s="29" t="str">
        <f aca="false">IF(AND(ISNUMBER(J6),ISNUMBER(I6),I6&lt;&gt;0),J6/I6-1,"")</f>
        <v/>
      </c>
      <c r="K70" s="29" t="str">
        <f aca="false">IF(AND(ISNUMBER(K6),ISNUMBER(J6),J6&lt;&gt;0),K6/J6-1,"")</f>
        <v/>
      </c>
      <c r="L70" s="29" t="str">
        <f aca="false">IF(AND(ISNUMBER(L6),ISNUMBER(K6),K6&lt;&gt;0),L6/K6-1,"")</f>
        <v/>
      </c>
      <c r="M70" s="29" t="str">
        <f aca="false">IF(AND(ISNUMBER(M6),ISNUMBER(L6),L6&lt;&gt;0),M6/L6-1,"")</f>
        <v/>
      </c>
      <c r="N70" s="29" t="str">
        <f aca="false">IF(AND(ISNUMBER(N6),ISNUMBER(M6),M6&lt;&gt;0),N6/M6-1,"")</f>
        <v/>
      </c>
    </row>
    <row r="71" customFormat="false" ht="15" hidden="false" customHeight="false" outlineLevel="0" collapsed="false">
      <c r="A71" s="33" t="s">
        <v>321</v>
      </c>
      <c r="C71" s="5" t="s">
        <v>322</v>
      </c>
      <c r="F71" s="29" t="str">
        <f aca="false">IF(AND(ISNUMBER(F7),ISNUMBER(E7),E7&lt;&gt;0),F7/E7-1,"")</f>
        <v/>
      </c>
      <c r="G71" s="29" t="str">
        <f aca="false">IF(AND(ISNUMBER(G7),ISNUMBER(F7),F7&lt;&gt;0),G7/F7-1,"")</f>
        <v/>
      </c>
      <c r="H71" s="29" t="str">
        <f aca="false">IF(AND(ISNUMBER(H7),ISNUMBER(G7),G7&lt;&gt;0),H7/G7-1,"")</f>
        <v/>
      </c>
      <c r="I71" s="29" t="str">
        <f aca="false">IF(AND(ISNUMBER(I7),ISNUMBER(H7),H7&lt;&gt;0),I7/H7-1,"")</f>
        <v/>
      </c>
      <c r="J71" s="29" t="str">
        <f aca="false">IF(AND(ISNUMBER(J7),ISNUMBER(I7),I7&lt;&gt;0),J7/I7-1,"")</f>
        <v/>
      </c>
      <c r="K71" s="29" t="str">
        <f aca="false">IF(AND(ISNUMBER(K7),ISNUMBER(J7),J7&lt;&gt;0),K7/J7-1,"")</f>
        <v/>
      </c>
      <c r="L71" s="29" t="str">
        <f aca="false">IF(AND(ISNUMBER(L7),ISNUMBER(K7),K7&lt;&gt;0),L7/K7-1,"")</f>
        <v/>
      </c>
      <c r="M71" s="29" t="str">
        <f aca="false">IF(AND(ISNUMBER(M7),ISNUMBER(L7),L7&lt;&gt;0),M7/L7-1,"")</f>
        <v/>
      </c>
      <c r="N71" s="29" t="str">
        <f aca="false">IF(AND(ISNUMBER(N7),ISNUMBER(M7),M7&lt;&gt;0),N7/M7-1,"")</f>
        <v/>
      </c>
    </row>
    <row r="72" customFormat="false" ht="15" hidden="false" customHeight="false" outlineLevel="0" collapsed="false">
      <c r="A72" s="33" t="s">
        <v>324</v>
      </c>
      <c r="C72" s="5" t="s">
        <v>326</v>
      </c>
      <c r="F72" s="29" t="str">
        <f aca="false">IF(AND(ISNUMBER(F8),ISNUMBER(E8),E8&lt;&gt;0),F8/E8-1,"")</f>
        <v/>
      </c>
      <c r="G72" s="29" t="str">
        <f aca="false">IF(AND(ISNUMBER(G8),ISNUMBER(F8),F8&lt;&gt;0),G8/F8-1,"")</f>
        <v/>
      </c>
      <c r="H72" s="29" t="str">
        <f aca="false">IF(AND(ISNUMBER(H8),ISNUMBER(G8),G8&lt;&gt;0),H8/G8-1,"")</f>
        <v/>
      </c>
      <c r="I72" s="29" t="str">
        <f aca="false">IF(AND(ISNUMBER(I8),ISNUMBER(H8),H8&lt;&gt;0),I8/H8-1,"")</f>
        <v/>
      </c>
      <c r="J72" s="29" t="str">
        <f aca="false">IF(AND(ISNUMBER(J8),ISNUMBER(I8),I8&lt;&gt;0),J8/I8-1,"")</f>
        <v/>
      </c>
      <c r="K72" s="29" t="str">
        <f aca="false">IF(AND(ISNUMBER(K8),ISNUMBER(J8),J8&lt;&gt;0),K8/J8-1,"")</f>
        <v/>
      </c>
      <c r="L72" s="29" t="str">
        <f aca="false">IF(AND(ISNUMBER(L8),ISNUMBER(K8),K8&lt;&gt;0),L8/K8-1,"")</f>
        <v/>
      </c>
      <c r="M72" s="29" t="str">
        <f aca="false">IF(AND(ISNUMBER(M8),ISNUMBER(L8),L8&lt;&gt;0),M8/L8-1,"")</f>
        <v/>
      </c>
      <c r="N72" s="29" t="str">
        <f aca="false">IF(AND(ISNUMBER(N8),ISNUMBER(M8),M8&lt;&gt;0),N8/M8-1,"")</f>
        <v/>
      </c>
    </row>
    <row r="73" customFormat="false" ht="15" hidden="false" customHeight="false" outlineLevel="0" collapsed="false">
      <c r="A73" s="33" t="s">
        <v>328</v>
      </c>
      <c r="C73" s="5" t="s">
        <v>329</v>
      </c>
      <c r="F73" s="29" t="str">
        <f aca="false">IF(AND(ISNUMBER(F9),ISNUMBER(E9),E9&lt;&gt;0),F9/E9-1,"")</f>
        <v/>
      </c>
      <c r="G73" s="29" t="str">
        <f aca="false">IF(AND(ISNUMBER(G9),ISNUMBER(F9),F9&lt;&gt;0),G9/F9-1,"")</f>
        <v/>
      </c>
      <c r="H73" s="29" t="str">
        <f aca="false">IF(AND(ISNUMBER(H9),ISNUMBER(G9),G9&lt;&gt;0),H9/G9-1,"")</f>
        <v/>
      </c>
      <c r="I73" s="29" t="str">
        <f aca="false">IF(AND(ISNUMBER(I9),ISNUMBER(H9),H9&lt;&gt;0),I9/H9-1,"")</f>
        <v/>
      </c>
      <c r="J73" s="29" t="str">
        <f aca="false">IF(AND(ISNUMBER(J9),ISNUMBER(I9),I9&lt;&gt;0),J9/I9-1,"")</f>
        <v/>
      </c>
      <c r="K73" s="29" t="str">
        <f aca="false">IF(AND(ISNUMBER(K9),ISNUMBER(J9),J9&lt;&gt;0),K9/J9-1,"")</f>
        <v/>
      </c>
      <c r="L73" s="29" t="str">
        <f aca="false">IF(AND(ISNUMBER(L9),ISNUMBER(K9),K9&lt;&gt;0),L9/K9-1,"")</f>
        <v/>
      </c>
      <c r="M73" s="29" t="str">
        <f aca="false">IF(AND(ISNUMBER(M9),ISNUMBER(L9),L9&lt;&gt;0),M9/L9-1,"")</f>
        <v/>
      </c>
      <c r="N73" s="29" t="str">
        <f aca="false">IF(AND(ISNUMBER(N9),ISNUMBER(M9),M9&lt;&gt;0),N9/M9-1,"")</f>
        <v/>
      </c>
    </row>
    <row r="74" customFormat="false" ht="15" hidden="false" customHeight="false" outlineLevel="0" collapsed="false">
      <c r="A74" s="33" t="s">
        <v>330</v>
      </c>
      <c r="C74" s="5" t="s">
        <v>331</v>
      </c>
      <c r="F74" s="29" t="str">
        <f aca="false">IF(AND(ISNUMBER(F10),ISNUMBER(E10),E10&lt;&gt;0),F10/E10-1,"")</f>
        <v/>
      </c>
      <c r="G74" s="29" t="str">
        <f aca="false">IF(AND(ISNUMBER(G10),ISNUMBER(F10),F10&lt;&gt;0),G10/F10-1,"")</f>
        <v/>
      </c>
      <c r="H74" s="29" t="str">
        <f aca="false">IF(AND(ISNUMBER(H10),ISNUMBER(G10),G10&lt;&gt;0),H10/G10-1,"")</f>
        <v/>
      </c>
      <c r="I74" s="29" t="str">
        <f aca="false">IF(AND(ISNUMBER(I10),ISNUMBER(H10),H10&lt;&gt;0),I10/H10-1,"")</f>
        <v/>
      </c>
      <c r="J74" s="29" t="str">
        <f aca="false">IF(AND(ISNUMBER(J10),ISNUMBER(I10),I10&lt;&gt;0),J10/I10-1,"")</f>
        <v/>
      </c>
      <c r="K74" s="29" t="str">
        <f aca="false">IF(AND(ISNUMBER(K10),ISNUMBER(J10),J10&lt;&gt;0),K10/J10-1,"")</f>
        <v/>
      </c>
      <c r="L74" s="29" t="str">
        <f aca="false">IF(AND(ISNUMBER(L10),ISNUMBER(K10),K10&lt;&gt;0),L10/K10-1,"")</f>
        <v/>
      </c>
      <c r="M74" s="29" t="str">
        <f aca="false">IF(AND(ISNUMBER(M10),ISNUMBER(L10),L10&lt;&gt;0),M10/L10-1,"")</f>
        <v/>
      </c>
      <c r="N74" s="29" t="str">
        <f aca="false">IF(AND(ISNUMBER(N10),ISNUMBER(M10),M10&lt;&gt;0),N10/M10-1,"")</f>
        <v/>
      </c>
    </row>
    <row r="75" customFormat="false" ht="15" hidden="false" customHeight="false" outlineLevel="0" collapsed="false">
      <c r="A75" s="33" t="s">
        <v>333</v>
      </c>
      <c r="C75" s="5" t="s">
        <v>334</v>
      </c>
      <c r="F75" s="29" t="str">
        <f aca="false">IF(AND(ISNUMBER(F11),ISNUMBER(E11),E11&lt;&gt;0),F11/E11-1,"")</f>
        <v/>
      </c>
      <c r="G75" s="29" t="str">
        <f aca="false">IF(AND(ISNUMBER(G11),ISNUMBER(F11),F11&lt;&gt;0),G11/F11-1,"")</f>
        <v/>
      </c>
      <c r="H75" s="29" t="str">
        <f aca="false">IF(AND(ISNUMBER(H11),ISNUMBER(G11),G11&lt;&gt;0),H11/G11-1,"")</f>
        <v/>
      </c>
      <c r="I75" s="29" t="str">
        <f aca="false">IF(AND(ISNUMBER(I11),ISNUMBER(H11),H11&lt;&gt;0),I11/H11-1,"")</f>
        <v/>
      </c>
      <c r="J75" s="29" t="str">
        <f aca="false">IF(AND(ISNUMBER(J11),ISNUMBER(I11),I11&lt;&gt;0),J11/I11-1,"")</f>
        <v/>
      </c>
      <c r="K75" s="29" t="str">
        <f aca="false">IF(AND(ISNUMBER(K11),ISNUMBER(J11),J11&lt;&gt;0),K11/J11-1,"")</f>
        <v/>
      </c>
      <c r="L75" s="29" t="str">
        <f aca="false">IF(AND(ISNUMBER(L11),ISNUMBER(K11),K11&lt;&gt;0),L11/K11-1,"")</f>
        <v/>
      </c>
      <c r="M75" s="29" t="str">
        <f aca="false">IF(AND(ISNUMBER(M11),ISNUMBER(L11),L11&lt;&gt;0),M11/L11-1,"")</f>
        <v/>
      </c>
      <c r="N75" s="29" t="str">
        <f aca="false">IF(AND(ISNUMBER(N11),ISNUMBER(M11),M11&lt;&gt;0),N11/M11-1,"")</f>
        <v/>
      </c>
    </row>
    <row r="76" customFormat="false" ht="15" hidden="false" customHeight="false" outlineLevel="0" collapsed="false">
      <c r="A76" s="33" t="s">
        <v>335</v>
      </c>
      <c r="C76" s="5" t="s">
        <v>336</v>
      </c>
      <c r="F76" s="29" t="str">
        <f aca="false">IF(AND(ISNUMBER(F12),ISNUMBER(E12),E12&lt;&gt;0),F12/E12-1,"")</f>
        <v/>
      </c>
      <c r="G76" s="29" t="str">
        <f aca="false">IF(AND(ISNUMBER(G12),ISNUMBER(F12),F12&lt;&gt;0),G12/F12-1,"")</f>
        <v/>
      </c>
      <c r="H76" s="29" t="str">
        <f aca="false">IF(AND(ISNUMBER(H12),ISNUMBER(G12),G12&lt;&gt;0),H12/G12-1,"")</f>
        <v/>
      </c>
      <c r="I76" s="29" t="str">
        <f aca="false">IF(AND(ISNUMBER(I12),ISNUMBER(H12),H12&lt;&gt;0),I12/H12-1,"")</f>
        <v/>
      </c>
      <c r="J76" s="29" t="str">
        <f aca="false">IF(AND(ISNUMBER(J12),ISNUMBER(I12),I12&lt;&gt;0),J12/I12-1,"")</f>
        <v/>
      </c>
      <c r="K76" s="29" t="str">
        <f aca="false">IF(AND(ISNUMBER(K12),ISNUMBER(J12),J12&lt;&gt;0),K12/J12-1,"")</f>
        <v/>
      </c>
      <c r="L76" s="29" t="str">
        <f aca="false">IF(AND(ISNUMBER(L12),ISNUMBER(K12),K12&lt;&gt;0),L12/K12-1,"")</f>
        <v/>
      </c>
      <c r="M76" s="29" t="str">
        <f aca="false">IF(AND(ISNUMBER(M12),ISNUMBER(L12),L12&lt;&gt;0),M12/L12-1,"")</f>
        <v/>
      </c>
      <c r="N76" s="29" t="str">
        <f aca="false">IF(AND(ISNUMBER(N12),ISNUMBER(M12),M12&lt;&gt;0),N12/M12-1,"")</f>
        <v/>
      </c>
    </row>
    <row r="77" customFormat="false" ht="15" hidden="false" customHeight="false" outlineLevel="0" collapsed="false">
      <c r="A77" s="33" t="s">
        <v>338</v>
      </c>
      <c r="C77" s="5" t="s">
        <v>339</v>
      </c>
      <c r="F77" s="29" t="str">
        <f aca="false">IF(AND(ISNUMBER(F13),ISNUMBER(E13),E13&lt;&gt;0),F13/E13-1,"")</f>
        <v/>
      </c>
      <c r="G77" s="29" t="str">
        <f aca="false">IF(AND(ISNUMBER(G13),ISNUMBER(F13),F13&lt;&gt;0),G13/F13-1,"")</f>
        <v/>
      </c>
      <c r="H77" s="29" t="str">
        <f aca="false">IF(AND(ISNUMBER(H13),ISNUMBER(G13),G13&lt;&gt;0),H13/G13-1,"")</f>
        <v/>
      </c>
      <c r="I77" s="29" t="str">
        <f aca="false">IF(AND(ISNUMBER(I13),ISNUMBER(H13),H13&lt;&gt;0),I13/H13-1,"")</f>
        <v/>
      </c>
      <c r="J77" s="29" t="str">
        <f aca="false">IF(AND(ISNUMBER(J13),ISNUMBER(I13),I13&lt;&gt;0),J13/I13-1,"")</f>
        <v/>
      </c>
      <c r="K77" s="29" t="str">
        <f aca="false">IF(AND(ISNUMBER(K13),ISNUMBER(J13),J13&lt;&gt;0),K13/J13-1,"")</f>
        <v/>
      </c>
      <c r="L77" s="29" t="str">
        <f aca="false">IF(AND(ISNUMBER(L13),ISNUMBER(K13),K13&lt;&gt;0),L13/K13-1,"")</f>
        <v/>
      </c>
      <c r="M77" s="29" t="str">
        <f aca="false">IF(AND(ISNUMBER(M13),ISNUMBER(L13),L13&lt;&gt;0),M13/L13-1,"")</f>
        <v/>
      </c>
      <c r="N77" s="29" t="str">
        <f aca="false">IF(AND(ISNUMBER(N13),ISNUMBER(M13),M13&lt;&gt;0),N13/M13-1,"")</f>
        <v/>
      </c>
    </row>
    <row r="78" customFormat="false" ht="15" hidden="false" customHeight="false" outlineLevel="0" collapsed="false">
      <c r="A78" s="33" t="s">
        <v>340</v>
      </c>
      <c r="C78" s="5" t="s">
        <v>342</v>
      </c>
      <c r="F78" s="29" t="n">
        <f aca="false">IF(AND(ISNUMBER(F14),ISNUMBER(E14),E14&lt;&gt;0),F14/E14-1,"")</f>
        <v>-0.0568181818181818</v>
      </c>
      <c r="G78" s="29" t="str">
        <f aca="false">IF(AND(ISNUMBER(G14),ISNUMBER(F14),F14&lt;&gt;0),G14/F14-1,"")</f>
        <v/>
      </c>
      <c r="H78" s="29" t="str">
        <f aca="false">IF(AND(ISNUMBER(H14),ISNUMBER(G14),G14&lt;&gt;0),H14/G14-1,"")</f>
        <v/>
      </c>
      <c r="I78" s="29" t="str">
        <f aca="false">IF(AND(ISNUMBER(I14),ISNUMBER(H14),H14&lt;&gt;0),I14/H14-1,"")</f>
        <v/>
      </c>
      <c r="J78" s="29" t="str">
        <f aca="false">IF(AND(ISNUMBER(J14),ISNUMBER(I14),I14&lt;&gt;0),J14/I14-1,"")</f>
        <v/>
      </c>
      <c r="K78" s="29" t="str">
        <f aca="false">IF(AND(ISNUMBER(K14),ISNUMBER(J14),J14&lt;&gt;0),K14/J14-1,"")</f>
        <v/>
      </c>
      <c r="L78" s="29" t="str">
        <f aca="false">IF(AND(ISNUMBER(L14),ISNUMBER(K14),K14&lt;&gt;0),L14/K14-1,"")</f>
        <v/>
      </c>
      <c r="M78" s="29" t="str">
        <f aca="false">IF(AND(ISNUMBER(M14),ISNUMBER(L14),L14&lt;&gt;0),M14/L14-1,"")</f>
        <v/>
      </c>
      <c r="N78" s="29" t="str">
        <f aca="false">IF(AND(ISNUMBER(N14),ISNUMBER(M14),M14&lt;&gt;0),N14/M14-1,"")</f>
        <v/>
      </c>
    </row>
    <row r="79" customFormat="false" ht="15" hidden="false" customHeight="false" outlineLevel="0" collapsed="false">
      <c r="A79" s="33" t="s">
        <v>343</v>
      </c>
      <c r="C79" s="5" t="s">
        <v>344</v>
      </c>
      <c r="F79" s="29" t="str">
        <f aca="false">IF(AND(ISNUMBER(F15),ISNUMBER(E15),E15&lt;&gt;0),F15/E15-1,"")</f>
        <v/>
      </c>
      <c r="G79" s="29" t="str">
        <f aca="false">IF(AND(ISNUMBER(G15),ISNUMBER(F15),F15&lt;&gt;0),G15/F15-1,"")</f>
        <v/>
      </c>
      <c r="H79" s="29" t="str">
        <f aca="false">IF(AND(ISNUMBER(H15),ISNUMBER(G15),G15&lt;&gt;0),H15/G15-1,"")</f>
        <v/>
      </c>
      <c r="I79" s="29" t="str">
        <f aca="false">IF(AND(ISNUMBER(I15),ISNUMBER(H15),H15&lt;&gt;0),I15/H15-1,"")</f>
        <v/>
      </c>
      <c r="J79" s="29" t="str">
        <f aca="false">IF(AND(ISNUMBER(J15),ISNUMBER(I15),I15&lt;&gt;0),J15/I15-1,"")</f>
        <v/>
      </c>
      <c r="K79" s="29" t="str">
        <f aca="false">IF(AND(ISNUMBER(K15),ISNUMBER(J15),J15&lt;&gt;0),K15/J15-1,"")</f>
        <v/>
      </c>
      <c r="L79" s="29" t="str">
        <f aca="false">IF(AND(ISNUMBER(L15),ISNUMBER(K15),K15&lt;&gt;0),L15/K15-1,"")</f>
        <v/>
      </c>
      <c r="M79" s="29" t="str">
        <f aca="false">IF(AND(ISNUMBER(M15),ISNUMBER(L15),L15&lt;&gt;0),M15/L15-1,"")</f>
        <v/>
      </c>
      <c r="N79" s="29" t="str">
        <f aca="false">IF(AND(ISNUMBER(N15),ISNUMBER(M15),M15&lt;&gt;0),N15/M15-1,"")</f>
        <v/>
      </c>
    </row>
    <row r="80" customFormat="false" ht="15" hidden="false" customHeight="false" outlineLevel="0" collapsed="false">
      <c r="A80" s="33" t="s">
        <v>345</v>
      </c>
      <c r="C80" s="5" t="s">
        <v>346</v>
      </c>
      <c r="F80" s="29" t="str">
        <f aca="false">IF(AND(ISNUMBER(F16),ISNUMBER(E16),E16&lt;&gt;0),F16/E16-1,"")</f>
        <v/>
      </c>
      <c r="G80" s="29" t="str">
        <f aca="false">IF(AND(ISNUMBER(G16),ISNUMBER(F16),F16&lt;&gt;0),G16/F16-1,"")</f>
        <v/>
      </c>
      <c r="H80" s="29" t="str">
        <f aca="false">IF(AND(ISNUMBER(H16),ISNUMBER(G16),G16&lt;&gt;0),H16/G16-1,"")</f>
        <v/>
      </c>
      <c r="I80" s="29" t="str">
        <f aca="false">IF(AND(ISNUMBER(I16),ISNUMBER(H16),H16&lt;&gt;0),I16/H16-1,"")</f>
        <v/>
      </c>
      <c r="J80" s="29" t="str">
        <f aca="false">IF(AND(ISNUMBER(J16),ISNUMBER(I16),I16&lt;&gt;0),J16/I16-1,"")</f>
        <v/>
      </c>
      <c r="K80" s="29" t="str">
        <f aca="false">IF(AND(ISNUMBER(K16),ISNUMBER(J16),J16&lt;&gt;0),K16/J16-1,"")</f>
        <v/>
      </c>
      <c r="L80" s="29" t="str">
        <f aca="false">IF(AND(ISNUMBER(L16),ISNUMBER(K16),K16&lt;&gt;0),L16/K16-1,"")</f>
        <v/>
      </c>
      <c r="M80" s="29" t="str">
        <f aca="false">IF(AND(ISNUMBER(M16),ISNUMBER(L16),L16&lt;&gt;0),M16/L16-1,"")</f>
        <v/>
      </c>
      <c r="N80" s="29" t="str">
        <f aca="false">IF(AND(ISNUMBER(N16),ISNUMBER(M16),M16&lt;&gt;0),N16/M16-1,"")</f>
        <v/>
      </c>
    </row>
    <row r="81" customFormat="false" ht="15" hidden="false" customHeight="false" outlineLevel="0" collapsed="false">
      <c r="A81" s="33" t="s">
        <v>347</v>
      </c>
      <c r="C81" s="5" t="s">
        <v>348</v>
      </c>
      <c r="F81" s="29" t="str">
        <f aca="false">IF(AND(ISNUMBER(F17),ISNUMBER(E17),E17&lt;&gt;0),F17/E17-1,"")</f>
        <v/>
      </c>
      <c r="G81" s="29" t="str">
        <f aca="false">IF(AND(ISNUMBER(G17),ISNUMBER(F17),F17&lt;&gt;0),G17/F17-1,"")</f>
        <v/>
      </c>
      <c r="H81" s="29" t="str">
        <f aca="false">IF(AND(ISNUMBER(H17),ISNUMBER(G17),G17&lt;&gt;0),H17/G17-1,"")</f>
        <v/>
      </c>
      <c r="I81" s="29" t="str">
        <f aca="false">IF(AND(ISNUMBER(I17),ISNUMBER(H17),H17&lt;&gt;0),I17/H17-1,"")</f>
        <v/>
      </c>
      <c r="J81" s="29" t="str">
        <f aca="false">IF(AND(ISNUMBER(J17),ISNUMBER(I17),I17&lt;&gt;0),J17/I17-1,"")</f>
        <v/>
      </c>
      <c r="K81" s="29" t="str">
        <f aca="false">IF(AND(ISNUMBER(K17),ISNUMBER(J17),J17&lt;&gt;0),K17/J17-1,"")</f>
        <v/>
      </c>
      <c r="L81" s="29" t="str">
        <f aca="false">IF(AND(ISNUMBER(L17),ISNUMBER(K17),K17&lt;&gt;0),L17/K17-1,"")</f>
        <v/>
      </c>
      <c r="M81" s="29" t="str">
        <f aca="false">IF(AND(ISNUMBER(M17),ISNUMBER(L17),L17&lt;&gt;0),M17/L17-1,"")</f>
        <v/>
      </c>
      <c r="N81" s="29" t="str">
        <f aca="false">IF(AND(ISNUMBER(N17),ISNUMBER(M17),M17&lt;&gt;0),N17/M17-1,"")</f>
        <v/>
      </c>
    </row>
    <row r="82" customFormat="false" ht="15" hidden="false" customHeight="false" outlineLevel="0" collapsed="false">
      <c r="A82" s="33" t="s">
        <v>349</v>
      </c>
      <c r="C82" s="5" t="s">
        <v>350</v>
      </c>
      <c r="F82" s="29" t="str">
        <f aca="false">IF(AND(ISNUMBER(F18),ISNUMBER(E18),E18&lt;&gt;0),F18/E18-1,"")</f>
        <v/>
      </c>
      <c r="G82" s="29" t="str">
        <f aca="false">IF(AND(ISNUMBER(G18),ISNUMBER(F18),F18&lt;&gt;0),G18/F18-1,"")</f>
        <v/>
      </c>
      <c r="H82" s="29" t="str">
        <f aca="false">IF(AND(ISNUMBER(H18),ISNUMBER(G18),G18&lt;&gt;0),H18/G18-1,"")</f>
        <v/>
      </c>
      <c r="I82" s="29" t="str">
        <f aca="false">IF(AND(ISNUMBER(I18),ISNUMBER(H18),H18&lt;&gt;0),I18/H18-1,"")</f>
        <v/>
      </c>
      <c r="J82" s="29" t="str">
        <f aca="false">IF(AND(ISNUMBER(J18),ISNUMBER(I18),I18&lt;&gt;0),J18/I18-1,"")</f>
        <v/>
      </c>
      <c r="K82" s="29" t="str">
        <f aca="false">IF(AND(ISNUMBER(K18),ISNUMBER(J18),J18&lt;&gt;0),K18/J18-1,"")</f>
        <v/>
      </c>
      <c r="L82" s="29" t="str">
        <f aca="false">IF(AND(ISNUMBER(L18),ISNUMBER(K18),K18&lt;&gt;0),L18/K18-1,"")</f>
        <v/>
      </c>
      <c r="M82" s="29" t="str">
        <f aca="false">IF(AND(ISNUMBER(M18),ISNUMBER(L18),L18&lt;&gt;0),M18/L18-1,"")</f>
        <v/>
      </c>
      <c r="N82" s="29" t="str">
        <f aca="false">IF(AND(ISNUMBER(N18),ISNUMBER(M18),M18&lt;&gt;0),N18/M18-1,"")</f>
        <v/>
      </c>
    </row>
    <row r="83" customFormat="false" ht="15" hidden="false" customHeight="false" outlineLevel="0" collapsed="false">
      <c r="A83" s="33" t="s">
        <v>351</v>
      </c>
      <c r="C83" s="5" t="s">
        <v>352</v>
      </c>
      <c r="F83" s="29" t="str">
        <f aca="false">IF(AND(ISNUMBER(F19),ISNUMBER(E19),E19&lt;&gt;0),F19/E19-1,"")</f>
        <v/>
      </c>
      <c r="G83" s="29" t="str">
        <f aca="false">IF(AND(ISNUMBER(G19),ISNUMBER(F19),F19&lt;&gt;0),G19/F19-1,"")</f>
        <v/>
      </c>
      <c r="H83" s="29" t="str">
        <f aca="false">IF(AND(ISNUMBER(H19),ISNUMBER(G19),G19&lt;&gt;0),H19/G19-1,"")</f>
        <v/>
      </c>
      <c r="I83" s="29" t="str">
        <f aca="false">IF(AND(ISNUMBER(I19),ISNUMBER(H19),H19&lt;&gt;0),I19/H19-1,"")</f>
        <v/>
      </c>
      <c r="J83" s="29" t="str">
        <f aca="false">IF(AND(ISNUMBER(J19),ISNUMBER(I19),I19&lt;&gt;0),J19/I19-1,"")</f>
        <v/>
      </c>
      <c r="K83" s="29" t="str">
        <f aca="false">IF(AND(ISNUMBER(K19),ISNUMBER(J19),J19&lt;&gt;0),K19/J19-1,"")</f>
        <v/>
      </c>
      <c r="L83" s="29" t="str">
        <f aca="false">IF(AND(ISNUMBER(L19),ISNUMBER(K19),K19&lt;&gt;0),L19/K19-1,"")</f>
        <v/>
      </c>
      <c r="M83" s="29" t="str">
        <f aca="false">IF(AND(ISNUMBER(M19),ISNUMBER(L19),L19&lt;&gt;0),M19/L19-1,"")</f>
        <v/>
      </c>
      <c r="N83" s="29" t="str">
        <f aca="false">IF(AND(ISNUMBER(N19),ISNUMBER(M19),M19&lt;&gt;0),N19/M19-1,"")</f>
        <v/>
      </c>
    </row>
    <row r="84" customFormat="false" ht="15" hidden="false" customHeight="false" outlineLevel="0" collapsed="false">
      <c r="A84" s="33" t="s">
        <v>353</v>
      </c>
      <c r="C84" s="5" t="s">
        <v>354</v>
      </c>
      <c r="F84" s="29" t="str">
        <f aca="false">IF(AND(ISNUMBER(F20),ISNUMBER(E20),E20&lt;&gt;0),F20/E20-1,"")</f>
        <v/>
      </c>
      <c r="G84" s="29" t="str">
        <f aca="false">IF(AND(ISNUMBER(G20),ISNUMBER(F20),F20&lt;&gt;0),G20/F20-1,"")</f>
        <v/>
      </c>
      <c r="H84" s="29" t="str">
        <f aca="false">IF(AND(ISNUMBER(H20),ISNUMBER(G20),G20&lt;&gt;0),H20/G20-1,"")</f>
        <v/>
      </c>
      <c r="I84" s="29" t="str">
        <f aca="false">IF(AND(ISNUMBER(I20),ISNUMBER(H20),H20&lt;&gt;0),I20/H20-1,"")</f>
        <v/>
      </c>
      <c r="J84" s="29" t="str">
        <f aca="false">IF(AND(ISNUMBER(J20),ISNUMBER(I20),I20&lt;&gt;0),J20/I20-1,"")</f>
        <v/>
      </c>
      <c r="K84" s="29" t="str">
        <f aca="false">IF(AND(ISNUMBER(K20),ISNUMBER(J20),J20&lt;&gt;0),K20/J20-1,"")</f>
        <v/>
      </c>
      <c r="L84" s="29" t="str">
        <f aca="false">IF(AND(ISNUMBER(L20),ISNUMBER(K20),K20&lt;&gt;0),L20/K20-1,"")</f>
        <v/>
      </c>
      <c r="M84" s="29" t="str">
        <f aca="false">IF(AND(ISNUMBER(M20),ISNUMBER(L20),L20&lt;&gt;0),M20/L20-1,"")</f>
        <v/>
      </c>
      <c r="N84" s="29" t="str">
        <f aca="false">IF(AND(ISNUMBER(N20),ISNUMBER(M20),M20&lt;&gt;0),N20/M20-1,"")</f>
        <v/>
      </c>
    </row>
    <row r="85" customFormat="false" ht="15" hidden="false" customHeight="false" outlineLevel="0" collapsed="false">
      <c r="A85" s="33" t="s">
        <v>355</v>
      </c>
      <c r="C85" s="5" t="s">
        <v>356</v>
      </c>
      <c r="F85" s="29" t="str">
        <f aca="false">IF(AND(ISNUMBER(F21),ISNUMBER(E21),E21&lt;&gt;0),F21/E21-1,"")</f>
        <v/>
      </c>
      <c r="G85" s="29" t="str">
        <f aca="false">IF(AND(ISNUMBER(G21),ISNUMBER(F21),F21&lt;&gt;0),G21/F21-1,"")</f>
        <v/>
      </c>
      <c r="H85" s="29" t="str">
        <f aca="false">IF(AND(ISNUMBER(H21),ISNUMBER(G21),G21&lt;&gt;0),H21/G21-1,"")</f>
        <v/>
      </c>
      <c r="I85" s="29" t="str">
        <f aca="false">IF(AND(ISNUMBER(I21),ISNUMBER(H21),H21&lt;&gt;0),I21/H21-1,"")</f>
        <v/>
      </c>
      <c r="J85" s="29" t="str">
        <f aca="false">IF(AND(ISNUMBER(J21),ISNUMBER(I21),I21&lt;&gt;0),J21/I21-1,"")</f>
        <v/>
      </c>
      <c r="K85" s="29" t="str">
        <f aca="false">IF(AND(ISNUMBER(K21),ISNUMBER(J21),J21&lt;&gt;0),K21/J21-1,"")</f>
        <v/>
      </c>
      <c r="L85" s="29" t="str">
        <f aca="false">IF(AND(ISNUMBER(L21),ISNUMBER(K21),K21&lt;&gt;0),L21/K21-1,"")</f>
        <v/>
      </c>
      <c r="M85" s="29" t="str">
        <f aca="false">IF(AND(ISNUMBER(M21),ISNUMBER(L21),L21&lt;&gt;0),M21/L21-1,"")</f>
        <v/>
      </c>
      <c r="N85" s="29" t="str">
        <f aca="false">IF(AND(ISNUMBER(N21),ISNUMBER(M21),M21&lt;&gt;0),N21/M21-1,"")</f>
        <v/>
      </c>
    </row>
    <row r="86" customFormat="false" ht="15" hidden="false" customHeight="false" outlineLevel="0" collapsed="false">
      <c r="A86" s="33" t="s">
        <v>357</v>
      </c>
      <c r="C86" s="5" t="s">
        <v>358</v>
      </c>
      <c r="F86" s="29" t="n">
        <f aca="false">IF(AND(ISNUMBER(F22),ISNUMBER(E22),E22&lt;&gt;0),F22/E22-1,"")</f>
        <v>-0.0933333333333334</v>
      </c>
      <c r="G86" s="29" t="str">
        <f aca="false">IF(AND(ISNUMBER(G22),ISNUMBER(F22),F22&lt;&gt;0),G22/F22-1,"")</f>
        <v/>
      </c>
      <c r="H86" s="29" t="str">
        <f aca="false">IF(AND(ISNUMBER(H22),ISNUMBER(G22),G22&lt;&gt;0),H22/G22-1,"")</f>
        <v/>
      </c>
      <c r="I86" s="29" t="str">
        <f aca="false">IF(AND(ISNUMBER(I22),ISNUMBER(H22),H22&lt;&gt;0),I22/H22-1,"")</f>
        <v/>
      </c>
      <c r="J86" s="29" t="str">
        <f aca="false">IF(AND(ISNUMBER(J22),ISNUMBER(I22),I22&lt;&gt;0),J22/I22-1,"")</f>
        <v/>
      </c>
      <c r="K86" s="29" t="str">
        <f aca="false">IF(AND(ISNUMBER(K22),ISNUMBER(J22),J22&lt;&gt;0),K22/J22-1,"")</f>
        <v/>
      </c>
      <c r="L86" s="29" t="str">
        <f aca="false">IF(AND(ISNUMBER(L22),ISNUMBER(K22),K22&lt;&gt;0),L22/K22-1,"")</f>
        <v/>
      </c>
      <c r="M86" s="29" t="str">
        <f aca="false">IF(AND(ISNUMBER(M22),ISNUMBER(L22),L22&lt;&gt;0),M22/L22-1,"")</f>
        <v/>
      </c>
      <c r="N86" s="29" t="str">
        <f aca="false">IF(AND(ISNUMBER(N22),ISNUMBER(M22),M22&lt;&gt;0),N22/M22-1,"")</f>
        <v/>
      </c>
    </row>
    <row r="87" customFormat="false" ht="15" hidden="false" customHeight="false" outlineLevel="0" collapsed="false">
      <c r="A87" s="33" t="s">
        <v>359</v>
      </c>
      <c r="C87" s="5" t="s">
        <v>360</v>
      </c>
      <c r="F87" s="29" t="str">
        <f aca="false">IF(AND(ISNUMBER(F23),ISNUMBER(E23),E23&lt;&gt;0),F23/E23-1,"")</f>
        <v/>
      </c>
      <c r="G87" s="29" t="str">
        <f aca="false">IF(AND(ISNUMBER(G23),ISNUMBER(F23),F23&lt;&gt;0),G23/F23-1,"")</f>
        <v/>
      </c>
      <c r="H87" s="29" t="str">
        <f aca="false">IF(AND(ISNUMBER(H23),ISNUMBER(G23),G23&lt;&gt;0),H23/G23-1,"")</f>
        <v/>
      </c>
      <c r="I87" s="29" t="str">
        <f aca="false">IF(AND(ISNUMBER(I23),ISNUMBER(H23),H23&lt;&gt;0),I23/H23-1,"")</f>
        <v/>
      </c>
      <c r="J87" s="29" t="str">
        <f aca="false">IF(AND(ISNUMBER(J23),ISNUMBER(I23),I23&lt;&gt;0),J23/I23-1,"")</f>
        <v/>
      </c>
      <c r="K87" s="29" t="str">
        <f aca="false">IF(AND(ISNUMBER(K23),ISNUMBER(J23),J23&lt;&gt;0),K23/J23-1,"")</f>
        <v/>
      </c>
      <c r="L87" s="29" t="str">
        <f aca="false">IF(AND(ISNUMBER(L23),ISNUMBER(K23),K23&lt;&gt;0),L23/K23-1,"")</f>
        <v/>
      </c>
      <c r="M87" s="29" t="str">
        <f aca="false">IF(AND(ISNUMBER(M23),ISNUMBER(L23),L23&lt;&gt;0),M23/L23-1,"")</f>
        <v/>
      </c>
      <c r="N87" s="29" t="str">
        <f aca="false">IF(AND(ISNUMBER(N23),ISNUMBER(M23),M23&lt;&gt;0),N23/M23-1,"")</f>
        <v/>
      </c>
    </row>
    <row r="88" customFormat="false" ht="15" hidden="false" customHeight="false" outlineLevel="0" collapsed="false">
      <c r="A88" s="33" t="s">
        <v>361</v>
      </c>
      <c r="C88" s="5" t="s">
        <v>362</v>
      </c>
      <c r="F88" s="29" t="str">
        <f aca="false">IF(AND(ISNUMBER(F24),ISNUMBER(E24),E24&lt;&gt;0),F24/E24-1,"")</f>
        <v/>
      </c>
      <c r="G88" s="29" t="str">
        <f aca="false">IF(AND(ISNUMBER(G24),ISNUMBER(F24),F24&lt;&gt;0),G24/F24-1,"")</f>
        <v/>
      </c>
      <c r="H88" s="29" t="str">
        <f aca="false">IF(AND(ISNUMBER(H24),ISNUMBER(G24),G24&lt;&gt;0),H24/G24-1,"")</f>
        <v/>
      </c>
      <c r="I88" s="29" t="str">
        <f aca="false">IF(AND(ISNUMBER(I24),ISNUMBER(H24),H24&lt;&gt;0),I24/H24-1,"")</f>
        <v/>
      </c>
      <c r="J88" s="29" t="str">
        <f aca="false">IF(AND(ISNUMBER(J24),ISNUMBER(I24),I24&lt;&gt;0),J24/I24-1,"")</f>
        <v/>
      </c>
      <c r="K88" s="29" t="str">
        <f aca="false">IF(AND(ISNUMBER(K24),ISNUMBER(J24),J24&lt;&gt;0),K24/J24-1,"")</f>
        <v/>
      </c>
      <c r="L88" s="29" t="str">
        <f aca="false">IF(AND(ISNUMBER(L24),ISNUMBER(K24),K24&lt;&gt;0),L24/K24-1,"")</f>
        <v/>
      </c>
      <c r="M88" s="29" t="str">
        <f aca="false">IF(AND(ISNUMBER(M24),ISNUMBER(L24),L24&lt;&gt;0),M24/L24-1,"")</f>
        <v/>
      </c>
      <c r="N88" s="29" t="str">
        <f aca="false">IF(AND(ISNUMBER(N24),ISNUMBER(M24),M24&lt;&gt;0),N24/M24-1,"")</f>
        <v/>
      </c>
    </row>
    <row r="89" customFormat="false" ht="15" hidden="false" customHeight="false" outlineLevel="0" collapsed="false">
      <c r="A89" s="33" t="s">
        <v>363</v>
      </c>
      <c r="C89" s="5" t="s">
        <v>364</v>
      </c>
      <c r="F89" s="29" t="str">
        <f aca="false">IF(AND(ISNUMBER(F25),ISNUMBER(E25),E25&lt;&gt;0),F25/E25-1,"")</f>
        <v/>
      </c>
      <c r="G89" s="29" t="str">
        <f aca="false">IF(AND(ISNUMBER(G25),ISNUMBER(F25),F25&lt;&gt;0),G25/F25-1,"")</f>
        <v/>
      </c>
      <c r="H89" s="29" t="str">
        <f aca="false">IF(AND(ISNUMBER(H25),ISNUMBER(G25),G25&lt;&gt;0),H25/G25-1,"")</f>
        <v/>
      </c>
      <c r="I89" s="29" t="str">
        <f aca="false">IF(AND(ISNUMBER(I25),ISNUMBER(H25),H25&lt;&gt;0),I25/H25-1,"")</f>
        <v/>
      </c>
      <c r="J89" s="29" t="str">
        <f aca="false">IF(AND(ISNUMBER(J25),ISNUMBER(I25),I25&lt;&gt;0),J25/I25-1,"")</f>
        <v/>
      </c>
      <c r="K89" s="29" t="str">
        <f aca="false">IF(AND(ISNUMBER(K25),ISNUMBER(J25),J25&lt;&gt;0),K25/J25-1,"")</f>
        <v/>
      </c>
      <c r="L89" s="29" t="str">
        <f aca="false">IF(AND(ISNUMBER(L25),ISNUMBER(K25),K25&lt;&gt;0),L25/K25-1,"")</f>
        <v/>
      </c>
      <c r="M89" s="29" t="str">
        <f aca="false">IF(AND(ISNUMBER(M25),ISNUMBER(L25),L25&lt;&gt;0),M25/L25-1,"")</f>
        <v/>
      </c>
      <c r="N89" s="29" t="str">
        <f aca="false">IF(AND(ISNUMBER(N25),ISNUMBER(M25),M25&lt;&gt;0),N25/M25-1,"")</f>
        <v/>
      </c>
    </row>
    <row r="90" customFormat="false" ht="15" hidden="false" customHeight="false" outlineLevel="0" collapsed="false">
      <c r="A90" s="33" t="s">
        <v>365</v>
      </c>
      <c r="C90" s="5" t="s">
        <v>366</v>
      </c>
      <c r="F90" s="29" t="str">
        <f aca="false">IF(AND(ISNUMBER(F26),ISNUMBER(E26),E26&lt;&gt;0),F26/E26-1,"")</f>
        <v/>
      </c>
      <c r="G90" s="29" t="str">
        <f aca="false">IF(AND(ISNUMBER(G26),ISNUMBER(F26),F26&lt;&gt;0),G26/F26-1,"")</f>
        <v/>
      </c>
      <c r="H90" s="29" t="str">
        <f aca="false">IF(AND(ISNUMBER(H26),ISNUMBER(G26),G26&lt;&gt;0),H26/G26-1,"")</f>
        <v/>
      </c>
      <c r="I90" s="29" t="str">
        <f aca="false">IF(AND(ISNUMBER(I26),ISNUMBER(H26),H26&lt;&gt;0),I26/H26-1,"")</f>
        <v/>
      </c>
      <c r="J90" s="29" t="str">
        <f aca="false">IF(AND(ISNUMBER(J26),ISNUMBER(I26),I26&lt;&gt;0),J26/I26-1,"")</f>
        <v/>
      </c>
      <c r="K90" s="29" t="str">
        <f aca="false">IF(AND(ISNUMBER(K26),ISNUMBER(J26),J26&lt;&gt;0),K26/J26-1,"")</f>
        <v/>
      </c>
      <c r="L90" s="29" t="str">
        <f aca="false">IF(AND(ISNUMBER(L26),ISNUMBER(K26),K26&lt;&gt;0),L26/K26-1,"")</f>
        <v/>
      </c>
      <c r="M90" s="29" t="str">
        <f aca="false">IF(AND(ISNUMBER(M26),ISNUMBER(L26),L26&lt;&gt;0),M26/L26-1,"")</f>
        <v/>
      </c>
      <c r="N90" s="29" t="str">
        <f aca="false">IF(AND(ISNUMBER(N26),ISNUMBER(M26),M26&lt;&gt;0),N26/M26-1,"")</f>
        <v/>
      </c>
    </row>
    <row r="91" customFormat="false" ht="15" hidden="false" customHeight="false" outlineLevel="0" collapsed="false">
      <c r="A91" s="33" t="s">
        <v>367</v>
      </c>
      <c r="C91" s="5" t="s">
        <v>368</v>
      </c>
      <c r="F91" s="29" t="str">
        <f aca="false">IF(AND(ISNUMBER(F27),ISNUMBER(E27),E27&lt;&gt;0),F27/E27-1,"")</f>
        <v/>
      </c>
      <c r="G91" s="29" t="str">
        <f aca="false">IF(AND(ISNUMBER(G27),ISNUMBER(F27),F27&lt;&gt;0),G27/F27-1,"")</f>
        <v/>
      </c>
      <c r="H91" s="29" t="str">
        <f aca="false">IF(AND(ISNUMBER(H27),ISNUMBER(G27),G27&lt;&gt;0),H27/G27-1,"")</f>
        <v/>
      </c>
      <c r="I91" s="29" t="str">
        <f aca="false">IF(AND(ISNUMBER(I27),ISNUMBER(H27),H27&lt;&gt;0),I27/H27-1,"")</f>
        <v/>
      </c>
      <c r="J91" s="29" t="str">
        <f aca="false">IF(AND(ISNUMBER(J27),ISNUMBER(I27),I27&lt;&gt;0),J27/I27-1,"")</f>
        <v/>
      </c>
      <c r="K91" s="29" t="str">
        <f aca="false">IF(AND(ISNUMBER(K27),ISNUMBER(J27),J27&lt;&gt;0),K27/J27-1,"")</f>
        <v/>
      </c>
      <c r="L91" s="29" t="str">
        <f aca="false">IF(AND(ISNUMBER(L27),ISNUMBER(K27),K27&lt;&gt;0),L27/K27-1,"")</f>
        <v/>
      </c>
      <c r="M91" s="29" t="str">
        <f aca="false">IF(AND(ISNUMBER(M27),ISNUMBER(L27),L27&lt;&gt;0),M27/L27-1,"")</f>
        <v/>
      </c>
      <c r="N91" s="29" t="str">
        <f aca="false">IF(AND(ISNUMBER(N27),ISNUMBER(M27),M27&lt;&gt;0),N27/M27-1,"")</f>
        <v/>
      </c>
    </row>
    <row r="92" customFormat="false" ht="15" hidden="false" customHeight="false" outlineLevel="0" collapsed="false">
      <c r="A92" s="33" t="s">
        <v>369</v>
      </c>
      <c r="C92" s="5" t="s">
        <v>370</v>
      </c>
      <c r="F92" s="29" t="str">
        <f aca="false">IF(AND(ISNUMBER(F28),ISNUMBER(E28),E28&lt;&gt;0),F28/E28-1,"")</f>
        <v/>
      </c>
      <c r="G92" s="29" t="str">
        <f aca="false">IF(AND(ISNUMBER(G28),ISNUMBER(F28),F28&lt;&gt;0),G28/F28-1,"")</f>
        <v/>
      </c>
      <c r="H92" s="29" t="str">
        <f aca="false">IF(AND(ISNUMBER(H28),ISNUMBER(G28),G28&lt;&gt;0),H28/G28-1,"")</f>
        <v/>
      </c>
      <c r="I92" s="29" t="str">
        <f aca="false">IF(AND(ISNUMBER(I28),ISNUMBER(H28),H28&lt;&gt;0),I28/H28-1,"")</f>
        <v/>
      </c>
      <c r="J92" s="29" t="str">
        <f aca="false">IF(AND(ISNUMBER(J28),ISNUMBER(I28),I28&lt;&gt;0),J28/I28-1,"")</f>
        <v/>
      </c>
      <c r="K92" s="29" t="str">
        <f aca="false">IF(AND(ISNUMBER(K28),ISNUMBER(J28),J28&lt;&gt;0),K28/J28-1,"")</f>
        <v/>
      </c>
      <c r="L92" s="29" t="str">
        <f aca="false">IF(AND(ISNUMBER(L28),ISNUMBER(K28),K28&lt;&gt;0),L28/K28-1,"")</f>
        <v/>
      </c>
      <c r="M92" s="29" t="str">
        <f aca="false">IF(AND(ISNUMBER(M28),ISNUMBER(L28),L28&lt;&gt;0),M28/L28-1,"")</f>
        <v/>
      </c>
      <c r="N92" s="29" t="str">
        <f aca="false">IF(AND(ISNUMBER(N28),ISNUMBER(M28),M28&lt;&gt;0),N28/M28-1,"")</f>
        <v/>
      </c>
    </row>
    <row r="93" customFormat="false" ht="15" hidden="false" customHeight="false" outlineLevel="0" collapsed="false">
      <c r="A93" s="33" t="s">
        <v>371</v>
      </c>
      <c r="C93" s="5" t="s">
        <v>372</v>
      </c>
      <c r="F93" s="29" t="str">
        <f aca="false">IF(AND(ISNUMBER(F29),ISNUMBER(E29),E29&lt;&gt;0),F29/E29-1,"")</f>
        <v/>
      </c>
      <c r="G93" s="29" t="str">
        <f aca="false">IF(AND(ISNUMBER(G29),ISNUMBER(F29),F29&lt;&gt;0),G29/F29-1,"")</f>
        <v/>
      </c>
      <c r="H93" s="29" t="str">
        <f aca="false">IF(AND(ISNUMBER(H29),ISNUMBER(G29),G29&lt;&gt;0),H29/G29-1,"")</f>
        <v/>
      </c>
      <c r="I93" s="29" t="str">
        <f aca="false">IF(AND(ISNUMBER(I29),ISNUMBER(H29),H29&lt;&gt;0),I29/H29-1,"")</f>
        <v/>
      </c>
      <c r="J93" s="29" t="str">
        <f aca="false">IF(AND(ISNUMBER(J29),ISNUMBER(I29),I29&lt;&gt;0),J29/I29-1,"")</f>
        <v/>
      </c>
      <c r="K93" s="29" t="str">
        <f aca="false">IF(AND(ISNUMBER(K29),ISNUMBER(J29),J29&lt;&gt;0),K29/J29-1,"")</f>
        <v/>
      </c>
      <c r="L93" s="29" t="str">
        <f aca="false">IF(AND(ISNUMBER(L29),ISNUMBER(K29),K29&lt;&gt;0),L29/K29-1,"")</f>
        <v/>
      </c>
      <c r="M93" s="29" t="str">
        <f aca="false">IF(AND(ISNUMBER(M29),ISNUMBER(L29),L29&lt;&gt;0),M29/L29-1,"")</f>
        <v/>
      </c>
      <c r="N93" s="29" t="str">
        <f aca="false">IF(AND(ISNUMBER(N29),ISNUMBER(M29),M29&lt;&gt;0),N29/M29-1,"")</f>
        <v/>
      </c>
    </row>
    <row r="94" customFormat="false" ht="23.85" hidden="false" customHeight="false" outlineLevel="0" collapsed="false">
      <c r="A94" s="33" t="s">
        <v>373</v>
      </c>
      <c r="C94" s="5" t="s">
        <v>374</v>
      </c>
      <c r="F94" s="29" t="str">
        <f aca="false">IF(AND(ISNUMBER(F30),ISNUMBER(E30),E30&lt;&gt;0),F30/E30-1,"")</f>
        <v/>
      </c>
      <c r="G94" s="29" t="str">
        <f aca="false">IF(AND(ISNUMBER(G30),ISNUMBER(F30),F30&lt;&gt;0),G30/F30-1,"")</f>
        <v/>
      </c>
      <c r="H94" s="29" t="str">
        <f aca="false">IF(AND(ISNUMBER(H30),ISNUMBER(G30),G30&lt;&gt;0),H30/G30-1,"")</f>
        <v/>
      </c>
      <c r="I94" s="29" t="str">
        <f aca="false">IF(AND(ISNUMBER(I30),ISNUMBER(H30),H30&lt;&gt;0),I30/H30-1,"")</f>
        <v/>
      </c>
      <c r="J94" s="29" t="str">
        <f aca="false">IF(AND(ISNUMBER(J30),ISNUMBER(I30),I30&lt;&gt;0),J30/I30-1,"")</f>
        <v/>
      </c>
      <c r="K94" s="29" t="str">
        <f aca="false">IF(AND(ISNUMBER(K30),ISNUMBER(J30),J30&lt;&gt;0),K30/J30-1,"")</f>
        <v/>
      </c>
      <c r="L94" s="29" t="str">
        <f aca="false">IF(AND(ISNUMBER(L30),ISNUMBER(K30),K30&lt;&gt;0),L30/K30-1,"")</f>
        <v/>
      </c>
      <c r="M94" s="29" t="str">
        <f aca="false">IF(AND(ISNUMBER(M30),ISNUMBER(L30),L30&lt;&gt;0),M30/L30-1,"")</f>
        <v/>
      </c>
      <c r="N94" s="29" t="str">
        <f aca="false">IF(AND(ISNUMBER(N30),ISNUMBER(M30),M30&lt;&gt;0),N30/M30-1,"")</f>
        <v/>
      </c>
    </row>
    <row r="95" customFormat="false" ht="23.85" hidden="false" customHeight="false" outlineLevel="0" collapsed="false">
      <c r="A95" s="33" t="s">
        <v>376</v>
      </c>
      <c r="C95" s="5" t="s">
        <v>377</v>
      </c>
      <c r="F95" s="29" t="str">
        <f aca="false">IF(AND(ISNUMBER(F31),ISNUMBER(E31),E31&lt;&gt;0),F31/E31-1,"")</f>
        <v/>
      </c>
      <c r="G95" s="29" t="str">
        <f aca="false">IF(AND(ISNUMBER(G31),ISNUMBER(F31),F31&lt;&gt;0),G31/F31-1,"")</f>
        <v/>
      </c>
      <c r="H95" s="29" t="str">
        <f aca="false">IF(AND(ISNUMBER(H31),ISNUMBER(G31),G31&lt;&gt;0),H31/G31-1,"")</f>
        <v/>
      </c>
      <c r="I95" s="29" t="str">
        <f aca="false">IF(AND(ISNUMBER(I31),ISNUMBER(H31),H31&lt;&gt;0),I31/H31-1,"")</f>
        <v/>
      </c>
      <c r="J95" s="29" t="str">
        <f aca="false">IF(AND(ISNUMBER(J31),ISNUMBER(I31),I31&lt;&gt;0),J31/I31-1,"")</f>
        <v/>
      </c>
      <c r="K95" s="29" t="str">
        <f aca="false">IF(AND(ISNUMBER(K31),ISNUMBER(J31),J31&lt;&gt;0),K31/J31-1,"")</f>
        <v/>
      </c>
      <c r="L95" s="29" t="str">
        <f aca="false">IF(AND(ISNUMBER(L31),ISNUMBER(K31),K31&lt;&gt;0),L31/K31-1,"")</f>
        <v/>
      </c>
      <c r="M95" s="29" t="str">
        <f aca="false">IF(AND(ISNUMBER(M31),ISNUMBER(L31),L31&lt;&gt;0),M31/L31-1,"")</f>
        <v/>
      </c>
      <c r="N95" s="29" t="str">
        <f aca="false">IF(AND(ISNUMBER(N31),ISNUMBER(M31),M31&lt;&gt;0),N31/M31-1,"")</f>
        <v/>
      </c>
    </row>
    <row r="96" customFormat="false" ht="23.85" hidden="false" customHeight="false" outlineLevel="0" collapsed="false">
      <c r="A96" s="33" t="s">
        <v>378</v>
      </c>
      <c r="C96" s="5" t="s">
        <v>379</v>
      </c>
      <c r="F96" s="29" t="str">
        <f aca="false">IF(AND(ISNUMBER(F32),ISNUMBER(E32),E32&lt;&gt;0),F32/E32-1,"")</f>
        <v/>
      </c>
      <c r="G96" s="29" t="str">
        <f aca="false">IF(AND(ISNUMBER(G32),ISNUMBER(F32),F32&lt;&gt;0),G32/F32-1,"")</f>
        <v/>
      </c>
      <c r="H96" s="29" t="str">
        <f aca="false">IF(AND(ISNUMBER(H32),ISNUMBER(G32),G32&lt;&gt;0),H32/G32-1,"")</f>
        <v/>
      </c>
      <c r="I96" s="29" t="str">
        <f aca="false">IF(AND(ISNUMBER(I32),ISNUMBER(H32),H32&lt;&gt;0),I32/H32-1,"")</f>
        <v/>
      </c>
      <c r="J96" s="29" t="str">
        <f aca="false">IF(AND(ISNUMBER(J32),ISNUMBER(I32),I32&lt;&gt;0),J32/I32-1,"")</f>
        <v/>
      </c>
      <c r="K96" s="29" t="str">
        <f aca="false">IF(AND(ISNUMBER(K32),ISNUMBER(J32),J32&lt;&gt;0),K32/J32-1,"")</f>
        <v/>
      </c>
      <c r="L96" s="29" t="str">
        <f aca="false">IF(AND(ISNUMBER(L32),ISNUMBER(K32),K32&lt;&gt;0),L32/K32-1,"")</f>
        <v/>
      </c>
      <c r="M96" s="29" t="str">
        <f aca="false">IF(AND(ISNUMBER(M32),ISNUMBER(L32),L32&lt;&gt;0),M32/L32-1,"")</f>
        <v/>
      </c>
      <c r="N96" s="29" t="str">
        <f aca="false">IF(AND(ISNUMBER(N32),ISNUMBER(M32),M32&lt;&gt;0),N32/M32-1,"")</f>
        <v/>
      </c>
    </row>
    <row r="97" customFormat="false" ht="23.85" hidden="false" customHeight="false" outlineLevel="0" collapsed="false">
      <c r="A97" s="33" t="s">
        <v>380</v>
      </c>
      <c r="C97" s="5" t="s">
        <v>381</v>
      </c>
      <c r="F97" s="29" t="str">
        <f aca="false">IF(AND(ISNUMBER(F33),ISNUMBER(E33),E33&lt;&gt;0),F33/E33-1,"")</f>
        <v/>
      </c>
      <c r="G97" s="29" t="str">
        <f aca="false">IF(AND(ISNUMBER(G33),ISNUMBER(F33),F33&lt;&gt;0),G33/F33-1,"")</f>
        <v/>
      </c>
      <c r="H97" s="29" t="str">
        <f aca="false">IF(AND(ISNUMBER(H33),ISNUMBER(G33),G33&lt;&gt;0),H33/G33-1,"")</f>
        <v/>
      </c>
      <c r="I97" s="29" t="str">
        <f aca="false">IF(AND(ISNUMBER(I33),ISNUMBER(H33),H33&lt;&gt;0),I33/H33-1,"")</f>
        <v/>
      </c>
      <c r="J97" s="29" t="str">
        <f aca="false">IF(AND(ISNUMBER(J33),ISNUMBER(I33),I33&lt;&gt;0),J33/I33-1,"")</f>
        <v/>
      </c>
      <c r="K97" s="29" t="str">
        <f aca="false">IF(AND(ISNUMBER(K33),ISNUMBER(J33),J33&lt;&gt;0),K33/J33-1,"")</f>
        <v/>
      </c>
      <c r="L97" s="29" t="str">
        <f aca="false">IF(AND(ISNUMBER(L33),ISNUMBER(K33),K33&lt;&gt;0),L33/K33-1,"")</f>
        <v/>
      </c>
      <c r="M97" s="29" t="str">
        <f aca="false">IF(AND(ISNUMBER(M33),ISNUMBER(L33),L33&lt;&gt;0),M33/L33-1,"")</f>
        <v/>
      </c>
      <c r="N97" s="29" t="str">
        <f aca="false">IF(AND(ISNUMBER(N33),ISNUMBER(M33),M33&lt;&gt;0),N33/M33-1,"")</f>
        <v/>
      </c>
    </row>
    <row r="98" customFormat="false" ht="23.85" hidden="false" customHeight="false" outlineLevel="0" collapsed="false">
      <c r="A98" s="33" t="s">
        <v>382</v>
      </c>
      <c r="C98" s="5" t="s">
        <v>383</v>
      </c>
      <c r="F98" s="29" t="str">
        <f aca="false">IF(AND(ISNUMBER(F34),ISNUMBER(E34),E34&lt;&gt;0),F34/E34-1,"")</f>
        <v/>
      </c>
      <c r="G98" s="29" t="str">
        <f aca="false">IF(AND(ISNUMBER(G34),ISNUMBER(F34),F34&lt;&gt;0),G34/F34-1,"")</f>
        <v/>
      </c>
      <c r="H98" s="29" t="str">
        <f aca="false">IF(AND(ISNUMBER(H34),ISNUMBER(G34),G34&lt;&gt;0),H34/G34-1,"")</f>
        <v/>
      </c>
      <c r="I98" s="29" t="str">
        <f aca="false">IF(AND(ISNUMBER(I34),ISNUMBER(H34),H34&lt;&gt;0),I34/H34-1,"")</f>
        <v/>
      </c>
      <c r="J98" s="29" t="str">
        <f aca="false">IF(AND(ISNUMBER(J34),ISNUMBER(I34),I34&lt;&gt;0),J34/I34-1,"")</f>
        <v/>
      </c>
      <c r="K98" s="29" t="str">
        <f aca="false">IF(AND(ISNUMBER(K34),ISNUMBER(J34),J34&lt;&gt;0),K34/J34-1,"")</f>
        <v/>
      </c>
      <c r="L98" s="29" t="str">
        <f aca="false">IF(AND(ISNUMBER(L34),ISNUMBER(K34),K34&lt;&gt;0),L34/K34-1,"")</f>
        <v/>
      </c>
      <c r="M98" s="29" t="str">
        <f aca="false">IF(AND(ISNUMBER(M34),ISNUMBER(L34),L34&lt;&gt;0),M34/L34-1,"")</f>
        <v/>
      </c>
      <c r="N98" s="29" t="str">
        <f aca="false">IF(AND(ISNUMBER(N34),ISNUMBER(M34),M34&lt;&gt;0),N34/M34-1,"")</f>
        <v/>
      </c>
    </row>
    <row r="99" customFormat="false" ht="23.85" hidden="false" customHeight="false" outlineLevel="0" collapsed="false">
      <c r="A99" s="33" t="s">
        <v>384</v>
      </c>
      <c r="C99" s="5" t="s">
        <v>385</v>
      </c>
      <c r="F99" s="29" t="str">
        <f aca="false">IF(AND(ISNUMBER(F35),ISNUMBER(E35),E35&lt;&gt;0),F35/E35-1,"")</f>
        <v/>
      </c>
      <c r="G99" s="29" t="str">
        <f aca="false">IF(AND(ISNUMBER(G35),ISNUMBER(F35),F35&lt;&gt;0),G35/F35-1,"")</f>
        <v/>
      </c>
      <c r="H99" s="29" t="str">
        <f aca="false">IF(AND(ISNUMBER(H35),ISNUMBER(G35),G35&lt;&gt;0),H35/G35-1,"")</f>
        <v/>
      </c>
      <c r="I99" s="29" t="str">
        <f aca="false">IF(AND(ISNUMBER(I35),ISNUMBER(H35),H35&lt;&gt;0),I35/H35-1,"")</f>
        <v/>
      </c>
      <c r="J99" s="29" t="str">
        <f aca="false">IF(AND(ISNUMBER(J35),ISNUMBER(I35),I35&lt;&gt;0),J35/I35-1,"")</f>
        <v/>
      </c>
      <c r="K99" s="29" t="str">
        <f aca="false">IF(AND(ISNUMBER(K35),ISNUMBER(J35),J35&lt;&gt;0),K35/J35-1,"")</f>
        <v/>
      </c>
      <c r="L99" s="29" t="str">
        <f aca="false">IF(AND(ISNUMBER(L35),ISNUMBER(K35),K35&lt;&gt;0),L35/K35-1,"")</f>
        <v/>
      </c>
      <c r="M99" s="29" t="str">
        <f aca="false">IF(AND(ISNUMBER(M35),ISNUMBER(L35),L35&lt;&gt;0),M35/L35-1,"")</f>
        <v/>
      </c>
      <c r="N99" s="29" t="str">
        <f aca="false">IF(AND(ISNUMBER(N35),ISNUMBER(M35),M35&lt;&gt;0),N35/M35-1,"")</f>
        <v/>
      </c>
    </row>
    <row r="100" customFormat="false" ht="23.85" hidden="false" customHeight="false" outlineLevel="0" collapsed="false">
      <c r="A100" s="33" t="s">
        <v>386</v>
      </c>
      <c r="C100" s="5" t="s">
        <v>387</v>
      </c>
      <c r="F100" s="29" t="str">
        <f aca="false">IF(AND(ISNUMBER(F36),ISNUMBER(E36),E36&lt;&gt;0),F36/E36-1,"")</f>
        <v/>
      </c>
      <c r="G100" s="29" t="str">
        <f aca="false">IF(AND(ISNUMBER(G36),ISNUMBER(F36),F36&lt;&gt;0),G36/F36-1,"")</f>
        <v/>
      </c>
      <c r="H100" s="29" t="str">
        <f aca="false">IF(AND(ISNUMBER(H36),ISNUMBER(G36),G36&lt;&gt;0),H36/G36-1,"")</f>
        <v/>
      </c>
      <c r="I100" s="29" t="str">
        <f aca="false">IF(AND(ISNUMBER(I36),ISNUMBER(H36),H36&lt;&gt;0),I36/H36-1,"")</f>
        <v/>
      </c>
      <c r="J100" s="29" t="str">
        <f aca="false">IF(AND(ISNUMBER(J36),ISNUMBER(I36),I36&lt;&gt;0),J36/I36-1,"")</f>
        <v/>
      </c>
      <c r="K100" s="29" t="str">
        <f aca="false">IF(AND(ISNUMBER(K36),ISNUMBER(J36),J36&lt;&gt;0),K36/J36-1,"")</f>
        <v/>
      </c>
      <c r="L100" s="29" t="str">
        <f aca="false">IF(AND(ISNUMBER(L36),ISNUMBER(K36),K36&lt;&gt;0),L36/K36-1,"")</f>
        <v/>
      </c>
      <c r="M100" s="29" t="str">
        <f aca="false">IF(AND(ISNUMBER(M36),ISNUMBER(L36),L36&lt;&gt;0),M36/L36-1,"")</f>
        <v/>
      </c>
      <c r="N100" s="29" t="str">
        <f aca="false">IF(AND(ISNUMBER(N36),ISNUMBER(M36),M36&lt;&gt;0),N36/M36-1,"")</f>
        <v/>
      </c>
    </row>
    <row r="101" customFormat="false" ht="23.85" hidden="false" customHeight="false" outlineLevel="0" collapsed="false">
      <c r="A101" s="33" t="s">
        <v>388</v>
      </c>
      <c r="C101" s="5" t="s">
        <v>389</v>
      </c>
      <c r="F101" s="29" t="str">
        <f aca="false">IF(AND(ISNUMBER(F37),ISNUMBER(E37),E37&lt;&gt;0),F37/E37-1,"")</f>
        <v/>
      </c>
      <c r="G101" s="29" t="str">
        <f aca="false">IF(AND(ISNUMBER(G37),ISNUMBER(F37),F37&lt;&gt;0),G37/F37-1,"")</f>
        <v/>
      </c>
      <c r="H101" s="29" t="str">
        <f aca="false">IF(AND(ISNUMBER(H37),ISNUMBER(G37),G37&lt;&gt;0),H37/G37-1,"")</f>
        <v/>
      </c>
      <c r="I101" s="29" t="str">
        <f aca="false">IF(AND(ISNUMBER(I37),ISNUMBER(H37),H37&lt;&gt;0),I37/H37-1,"")</f>
        <v/>
      </c>
      <c r="J101" s="29" t="str">
        <f aca="false">IF(AND(ISNUMBER(J37),ISNUMBER(I37),I37&lt;&gt;0),J37/I37-1,"")</f>
        <v/>
      </c>
      <c r="K101" s="29" t="str">
        <f aca="false">IF(AND(ISNUMBER(K37),ISNUMBER(J37),J37&lt;&gt;0),K37/J37-1,"")</f>
        <v/>
      </c>
      <c r="L101" s="29" t="str">
        <f aca="false">IF(AND(ISNUMBER(L37),ISNUMBER(K37),K37&lt;&gt;0),L37/K37-1,"")</f>
        <v/>
      </c>
      <c r="M101" s="29" t="str">
        <f aca="false">IF(AND(ISNUMBER(M37),ISNUMBER(L37),L37&lt;&gt;0),M37/L37-1,"")</f>
        <v/>
      </c>
      <c r="N101" s="29" t="str">
        <f aca="false">IF(AND(ISNUMBER(N37),ISNUMBER(M37),M37&lt;&gt;0),N37/M37-1,"")</f>
        <v/>
      </c>
    </row>
    <row r="102" customFormat="false" ht="15" hidden="false" customHeight="false" outlineLevel="0" collapsed="false">
      <c r="A102" s="33" t="s">
        <v>390</v>
      </c>
      <c r="C102" s="5" t="s">
        <v>391</v>
      </c>
      <c r="F102" s="29" t="str">
        <f aca="false">IF(AND(ISNUMBER(F38),ISNUMBER(E38),E38&lt;&gt;0),F38/E38-1,"")</f>
        <v/>
      </c>
      <c r="G102" s="29" t="str">
        <f aca="false">IF(AND(ISNUMBER(G38),ISNUMBER(F38),F38&lt;&gt;0),G38/F38-1,"")</f>
        <v/>
      </c>
      <c r="H102" s="29" t="str">
        <f aca="false">IF(AND(ISNUMBER(H38),ISNUMBER(G38),G38&lt;&gt;0),H38/G38-1,"")</f>
        <v/>
      </c>
      <c r="I102" s="29" t="str">
        <f aca="false">IF(AND(ISNUMBER(I38),ISNUMBER(H38),H38&lt;&gt;0),I38/H38-1,"")</f>
        <v/>
      </c>
      <c r="J102" s="29" t="str">
        <f aca="false">IF(AND(ISNUMBER(J38),ISNUMBER(I38),I38&lt;&gt;0),J38/I38-1,"")</f>
        <v/>
      </c>
      <c r="K102" s="29" t="str">
        <f aca="false">IF(AND(ISNUMBER(K38),ISNUMBER(J38),J38&lt;&gt;0),K38/J38-1,"")</f>
        <v/>
      </c>
      <c r="L102" s="29" t="str">
        <f aca="false">IF(AND(ISNUMBER(L38),ISNUMBER(K38),K38&lt;&gt;0),L38/K38-1,"")</f>
        <v/>
      </c>
      <c r="M102" s="29" t="str">
        <f aca="false">IF(AND(ISNUMBER(M38),ISNUMBER(L38),L38&lt;&gt;0),M38/L38-1,"")</f>
        <v/>
      </c>
      <c r="N102" s="29" t="str">
        <f aca="false">IF(AND(ISNUMBER(N38),ISNUMBER(M38),M38&lt;&gt;0),N38/M38-1,"")</f>
        <v/>
      </c>
    </row>
    <row r="103" customFormat="false" ht="15" hidden="false" customHeight="false" outlineLevel="0" collapsed="false">
      <c r="A103" s="33" t="s">
        <v>393</v>
      </c>
      <c r="C103" s="5" t="s">
        <v>394</v>
      </c>
      <c r="F103" s="29" t="str">
        <f aca="false">IF(AND(ISNUMBER(F39),ISNUMBER(E39),E39&lt;&gt;0),F39/E39-1,"")</f>
        <v/>
      </c>
      <c r="G103" s="29" t="str">
        <f aca="false">IF(AND(ISNUMBER(G39),ISNUMBER(F39),F39&lt;&gt;0),G39/F39-1,"")</f>
        <v/>
      </c>
      <c r="H103" s="29" t="str">
        <f aca="false">IF(AND(ISNUMBER(H39),ISNUMBER(G39),G39&lt;&gt;0),H39/G39-1,"")</f>
        <v/>
      </c>
      <c r="I103" s="29" t="str">
        <f aca="false">IF(AND(ISNUMBER(I39),ISNUMBER(H39),H39&lt;&gt;0),I39/H39-1,"")</f>
        <v/>
      </c>
      <c r="J103" s="29" t="str">
        <f aca="false">IF(AND(ISNUMBER(J39),ISNUMBER(I39),I39&lt;&gt;0),J39/I39-1,"")</f>
        <v/>
      </c>
      <c r="K103" s="29" t="str">
        <f aca="false">IF(AND(ISNUMBER(K39),ISNUMBER(J39),J39&lt;&gt;0),K39/J39-1,"")</f>
        <v/>
      </c>
      <c r="L103" s="29" t="str">
        <f aca="false">IF(AND(ISNUMBER(L39),ISNUMBER(K39),K39&lt;&gt;0),L39/K39-1,"")</f>
        <v/>
      </c>
      <c r="M103" s="29" t="str">
        <f aca="false">IF(AND(ISNUMBER(M39),ISNUMBER(L39),L39&lt;&gt;0),M39/L39-1,"")</f>
        <v/>
      </c>
      <c r="N103" s="29" t="str">
        <f aca="false">IF(AND(ISNUMBER(N39),ISNUMBER(M39),M39&lt;&gt;0),N39/M39-1,"")</f>
        <v/>
      </c>
    </row>
    <row r="104" customFormat="false" ht="15" hidden="false" customHeight="false" outlineLevel="0" collapsed="false">
      <c r="A104" s="33" t="s">
        <v>395</v>
      </c>
      <c r="C104" s="5" t="s">
        <v>396</v>
      </c>
      <c r="F104" s="29" t="str">
        <f aca="false">IF(AND(ISNUMBER(F40),ISNUMBER(E40),E40&lt;&gt;0),F40/E40-1,"")</f>
        <v/>
      </c>
      <c r="G104" s="29" t="str">
        <f aca="false">IF(AND(ISNUMBER(G40),ISNUMBER(F40),F40&lt;&gt;0),G40/F40-1,"")</f>
        <v/>
      </c>
      <c r="H104" s="29" t="str">
        <f aca="false">IF(AND(ISNUMBER(H40),ISNUMBER(G40),G40&lt;&gt;0),H40/G40-1,"")</f>
        <v/>
      </c>
      <c r="I104" s="29" t="str">
        <f aca="false">IF(AND(ISNUMBER(I40),ISNUMBER(H40),H40&lt;&gt;0),I40/H40-1,"")</f>
        <v/>
      </c>
      <c r="J104" s="29" t="str">
        <f aca="false">IF(AND(ISNUMBER(J40),ISNUMBER(I40),I40&lt;&gt;0),J40/I40-1,"")</f>
        <v/>
      </c>
      <c r="K104" s="29" t="str">
        <f aca="false">IF(AND(ISNUMBER(K40),ISNUMBER(J40),J40&lt;&gt;0),K40/J40-1,"")</f>
        <v/>
      </c>
      <c r="L104" s="29" t="str">
        <f aca="false">IF(AND(ISNUMBER(L40),ISNUMBER(K40),K40&lt;&gt;0),L40/K40-1,"")</f>
        <v/>
      </c>
      <c r="M104" s="29" t="str">
        <f aca="false">IF(AND(ISNUMBER(M40),ISNUMBER(L40),L40&lt;&gt;0),M40/L40-1,"")</f>
        <v/>
      </c>
      <c r="N104" s="29" t="str">
        <f aca="false">IF(AND(ISNUMBER(N40),ISNUMBER(M40),M40&lt;&gt;0),N40/M40-1,"")</f>
        <v/>
      </c>
    </row>
    <row r="105" customFormat="false" ht="15" hidden="false" customHeight="false" outlineLevel="0" collapsed="false">
      <c r="A105" s="33" t="s">
        <v>397</v>
      </c>
      <c r="C105" s="5" t="s">
        <v>398</v>
      </c>
      <c r="F105" s="29" t="str">
        <f aca="false">IF(AND(ISNUMBER(F41),ISNUMBER(E41),E41&lt;&gt;0),F41/E41-1,"")</f>
        <v/>
      </c>
      <c r="G105" s="29" t="str">
        <f aca="false">IF(AND(ISNUMBER(G41),ISNUMBER(F41),F41&lt;&gt;0),G41/F41-1,"")</f>
        <v/>
      </c>
      <c r="H105" s="29" t="str">
        <f aca="false">IF(AND(ISNUMBER(H41),ISNUMBER(G41),G41&lt;&gt;0),H41/G41-1,"")</f>
        <v/>
      </c>
      <c r="I105" s="29" t="str">
        <f aca="false">IF(AND(ISNUMBER(I41),ISNUMBER(H41),H41&lt;&gt;0),I41/H41-1,"")</f>
        <v/>
      </c>
      <c r="J105" s="29" t="str">
        <f aca="false">IF(AND(ISNUMBER(J41),ISNUMBER(I41),I41&lt;&gt;0),J41/I41-1,"")</f>
        <v/>
      </c>
      <c r="K105" s="29" t="str">
        <f aca="false">IF(AND(ISNUMBER(K41),ISNUMBER(J41),J41&lt;&gt;0),K41/J41-1,"")</f>
        <v/>
      </c>
      <c r="L105" s="29" t="str">
        <f aca="false">IF(AND(ISNUMBER(L41),ISNUMBER(K41),K41&lt;&gt;0),L41/K41-1,"")</f>
        <v/>
      </c>
      <c r="M105" s="29" t="str">
        <f aca="false">IF(AND(ISNUMBER(M41),ISNUMBER(L41),L41&lt;&gt;0),M41/L41-1,"")</f>
        <v/>
      </c>
      <c r="N105" s="29" t="str">
        <f aca="false">IF(AND(ISNUMBER(N41),ISNUMBER(M41),M41&lt;&gt;0),N41/M41-1,"")</f>
        <v/>
      </c>
    </row>
    <row r="106" customFormat="false" ht="15" hidden="false" customHeight="false" outlineLevel="0" collapsed="false">
      <c r="A106" s="33" t="s">
        <v>399</v>
      </c>
      <c r="C106" s="5" t="s">
        <v>400</v>
      </c>
      <c r="F106" s="29" t="str">
        <f aca="false">IF(AND(ISNUMBER(F42),ISNUMBER(E42),E42&lt;&gt;0),F42/E42-1,"")</f>
        <v/>
      </c>
      <c r="G106" s="29" t="str">
        <f aca="false">IF(AND(ISNUMBER(G42),ISNUMBER(F42),F42&lt;&gt;0),G42/F42-1,"")</f>
        <v/>
      </c>
      <c r="H106" s="29" t="str">
        <f aca="false">IF(AND(ISNUMBER(H42),ISNUMBER(G42),G42&lt;&gt;0),H42/G42-1,"")</f>
        <v/>
      </c>
      <c r="I106" s="29" t="str">
        <f aca="false">IF(AND(ISNUMBER(I42),ISNUMBER(H42),H42&lt;&gt;0),I42/H42-1,"")</f>
        <v/>
      </c>
      <c r="J106" s="29" t="str">
        <f aca="false">IF(AND(ISNUMBER(J42),ISNUMBER(I42),I42&lt;&gt;0),J42/I42-1,"")</f>
        <v/>
      </c>
      <c r="K106" s="29" t="str">
        <f aca="false">IF(AND(ISNUMBER(K42),ISNUMBER(J42),J42&lt;&gt;0),K42/J42-1,"")</f>
        <v/>
      </c>
      <c r="L106" s="29" t="str">
        <f aca="false">IF(AND(ISNUMBER(L42),ISNUMBER(K42),K42&lt;&gt;0),L42/K42-1,"")</f>
        <v/>
      </c>
      <c r="M106" s="29" t="str">
        <f aca="false">IF(AND(ISNUMBER(M42),ISNUMBER(L42),L42&lt;&gt;0),M42/L42-1,"")</f>
        <v/>
      </c>
      <c r="N106" s="29" t="str">
        <f aca="false">IF(AND(ISNUMBER(N42),ISNUMBER(M42),M42&lt;&gt;0),N42/M42-1,"")</f>
        <v/>
      </c>
    </row>
    <row r="107" customFormat="false" ht="15" hidden="false" customHeight="false" outlineLevel="0" collapsed="false">
      <c r="A107" s="33" t="s">
        <v>401</v>
      </c>
      <c r="C107" s="5" t="s">
        <v>402</v>
      </c>
      <c r="F107" s="29" t="str">
        <f aca="false">IF(AND(ISNUMBER(F43),ISNUMBER(E43),E43&lt;&gt;0),F43/E43-1,"")</f>
        <v/>
      </c>
      <c r="G107" s="29" t="str">
        <f aca="false">IF(AND(ISNUMBER(G43),ISNUMBER(F43),F43&lt;&gt;0),G43/F43-1,"")</f>
        <v/>
      </c>
      <c r="H107" s="29" t="str">
        <f aca="false">IF(AND(ISNUMBER(H43),ISNUMBER(G43),G43&lt;&gt;0),H43/G43-1,"")</f>
        <v/>
      </c>
      <c r="I107" s="29" t="str">
        <f aca="false">IF(AND(ISNUMBER(I43),ISNUMBER(H43),H43&lt;&gt;0),I43/H43-1,"")</f>
        <v/>
      </c>
      <c r="J107" s="29" t="str">
        <f aca="false">IF(AND(ISNUMBER(J43),ISNUMBER(I43),I43&lt;&gt;0),J43/I43-1,"")</f>
        <v/>
      </c>
      <c r="K107" s="29" t="str">
        <f aca="false">IF(AND(ISNUMBER(K43),ISNUMBER(J43),J43&lt;&gt;0),K43/J43-1,"")</f>
        <v/>
      </c>
      <c r="L107" s="29" t="str">
        <f aca="false">IF(AND(ISNUMBER(L43),ISNUMBER(K43),K43&lt;&gt;0),L43/K43-1,"")</f>
        <v/>
      </c>
      <c r="M107" s="29" t="str">
        <f aca="false">IF(AND(ISNUMBER(M43),ISNUMBER(L43),L43&lt;&gt;0),M43/L43-1,"")</f>
        <v/>
      </c>
      <c r="N107" s="29" t="str">
        <f aca="false">IF(AND(ISNUMBER(N43),ISNUMBER(M43),M43&lt;&gt;0),N43/M43-1,"")</f>
        <v/>
      </c>
    </row>
    <row r="108" customFormat="false" ht="15" hidden="false" customHeight="false" outlineLevel="0" collapsed="false">
      <c r="A108" s="33" t="s">
        <v>403</v>
      </c>
      <c r="C108" s="5" t="s">
        <v>404</v>
      </c>
      <c r="F108" s="29" t="str">
        <f aca="false">IF(AND(ISNUMBER(F44),ISNUMBER(E44),E44&lt;&gt;0),F44/E44-1,"")</f>
        <v/>
      </c>
      <c r="G108" s="29" t="str">
        <f aca="false">IF(AND(ISNUMBER(G44),ISNUMBER(F44),F44&lt;&gt;0),G44/F44-1,"")</f>
        <v/>
      </c>
      <c r="H108" s="29" t="str">
        <f aca="false">IF(AND(ISNUMBER(H44),ISNUMBER(G44),G44&lt;&gt;0),H44/G44-1,"")</f>
        <v/>
      </c>
      <c r="I108" s="29" t="str">
        <f aca="false">IF(AND(ISNUMBER(I44),ISNUMBER(H44),H44&lt;&gt;0),I44/H44-1,"")</f>
        <v/>
      </c>
      <c r="J108" s="29" t="str">
        <f aca="false">IF(AND(ISNUMBER(J44),ISNUMBER(I44),I44&lt;&gt;0),J44/I44-1,"")</f>
        <v/>
      </c>
      <c r="K108" s="29" t="str">
        <f aca="false">IF(AND(ISNUMBER(K44),ISNUMBER(J44),J44&lt;&gt;0),K44/J44-1,"")</f>
        <v/>
      </c>
      <c r="L108" s="29" t="str">
        <f aca="false">IF(AND(ISNUMBER(L44),ISNUMBER(K44),K44&lt;&gt;0),L44/K44-1,"")</f>
        <v/>
      </c>
      <c r="M108" s="29" t="str">
        <f aca="false">IF(AND(ISNUMBER(M44),ISNUMBER(L44),L44&lt;&gt;0),M44/L44-1,"")</f>
        <v/>
      </c>
      <c r="N108" s="29" t="str">
        <f aca="false">IF(AND(ISNUMBER(N44),ISNUMBER(M44),M44&lt;&gt;0),N44/M44-1,"")</f>
        <v/>
      </c>
    </row>
    <row r="109" customFormat="false" ht="15" hidden="false" customHeight="false" outlineLevel="0" collapsed="false">
      <c r="A109" s="33" t="s">
        <v>405</v>
      </c>
      <c r="C109" s="5" t="s">
        <v>406</v>
      </c>
      <c r="F109" s="29" t="str">
        <f aca="false">IF(AND(ISNUMBER(F45),ISNUMBER(E45),E45&lt;&gt;0),F45/E45-1,"")</f>
        <v/>
      </c>
      <c r="G109" s="29" t="str">
        <f aca="false">IF(AND(ISNUMBER(G45),ISNUMBER(F45),F45&lt;&gt;0),G45/F45-1,"")</f>
        <v/>
      </c>
      <c r="H109" s="29" t="str">
        <f aca="false">IF(AND(ISNUMBER(H45),ISNUMBER(G45),G45&lt;&gt;0),H45/G45-1,"")</f>
        <v/>
      </c>
      <c r="I109" s="29" t="str">
        <f aca="false">IF(AND(ISNUMBER(I45),ISNUMBER(H45),H45&lt;&gt;0),I45/H45-1,"")</f>
        <v/>
      </c>
      <c r="J109" s="29" t="str">
        <f aca="false">IF(AND(ISNUMBER(J45),ISNUMBER(I45),I45&lt;&gt;0),J45/I45-1,"")</f>
        <v/>
      </c>
      <c r="K109" s="29" t="str">
        <f aca="false">IF(AND(ISNUMBER(K45),ISNUMBER(J45),J45&lt;&gt;0),K45/J45-1,"")</f>
        <v/>
      </c>
      <c r="L109" s="29" t="str">
        <f aca="false">IF(AND(ISNUMBER(L45),ISNUMBER(K45),K45&lt;&gt;0),L45/K45-1,"")</f>
        <v/>
      </c>
      <c r="M109" s="29" t="str">
        <f aca="false">IF(AND(ISNUMBER(M45),ISNUMBER(L45),L45&lt;&gt;0),M45/L45-1,"")</f>
        <v/>
      </c>
      <c r="N109" s="29" t="str">
        <f aca="false">IF(AND(ISNUMBER(N45),ISNUMBER(M45),M45&lt;&gt;0),N45/M45-1,"")</f>
        <v/>
      </c>
    </row>
    <row r="110" customFormat="false" ht="15" hidden="false" customHeight="false" outlineLevel="0" collapsed="false">
      <c r="A110" s="33" t="s">
        <v>407</v>
      </c>
      <c r="C110" s="5" t="s">
        <v>409</v>
      </c>
      <c r="F110" s="29" t="str">
        <f aca="false">IF(AND(ISNUMBER(F46),ISNUMBER(E46),E46&lt;&gt;0),F46/E46-1,"")</f>
        <v/>
      </c>
      <c r="G110" s="29" t="str">
        <f aca="false">IF(AND(ISNUMBER(G46),ISNUMBER(F46),F46&lt;&gt;0),G46/F46-1,"")</f>
        <v/>
      </c>
      <c r="H110" s="29" t="str">
        <f aca="false">IF(AND(ISNUMBER(H46),ISNUMBER(G46),G46&lt;&gt;0),H46/G46-1,"")</f>
        <v/>
      </c>
      <c r="I110" s="29" t="str">
        <f aca="false">IF(AND(ISNUMBER(I46),ISNUMBER(H46),H46&lt;&gt;0),I46/H46-1,"")</f>
        <v/>
      </c>
      <c r="J110" s="29" t="str">
        <f aca="false">IF(AND(ISNUMBER(J46),ISNUMBER(I46),I46&lt;&gt;0),J46/I46-1,"")</f>
        <v/>
      </c>
      <c r="K110" s="29" t="str">
        <f aca="false">IF(AND(ISNUMBER(K46),ISNUMBER(J46),J46&lt;&gt;0),K46/J46-1,"")</f>
        <v/>
      </c>
      <c r="L110" s="29" t="str">
        <f aca="false">IF(AND(ISNUMBER(L46),ISNUMBER(K46),K46&lt;&gt;0),L46/K46-1,"")</f>
        <v/>
      </c>
      <c r="M110" s="29" t="str">
        <f aca="false">IF(AND(ISNUMBER(M46),ISNUMBER(L46),L46&lt;&gt;0),M46/L46-1,"")</f>
        <v/>
      </c>
      <c r="N110" s="29" t="str">
        <f aca="false">IF(AND(ISNUMBER(N46),ISNUMBER(M46),M46&lt;&gt;0),N46/M46-1,"")</f>
        <v/>
      </c>
    </row>
    <row r="111" customFormat="false" ht="15" hidden="false" customHeight="false" outlineLevel="0" collapsed="false">
      <c r="A111" s="33" t="s">
        <v>410</v>
      </c>
      <c r="C111" s="5" t="s">
        <v>411</v>
      </c>
      <c r="F111" s="29" t="str">
        <f aca="false">IF(AND(ISNUMBER(F47),ISNUMBER(E47),E47&lt;&gt;0),F47/E47-1,"")</f>
        <v/>
      </c>
      <c r="G111" s="29" t="str">
        <f aca="false">IF(AND(ISNUMBER(G47),ISNUMBER(F47),F47&lt;&gt;0),G47/F47-1,"")</f>
        <v/>
      </c>
      <c r="H111" s="29" t="str">
        <f aca="false">IF(AND(ISNUMBER(H47),ISNUMBER(G47),G47&lt;&gt;0),H47/G47-1,"")</f>
        <v/>
      </c>
      <c r="I111" s="29" t="str">
        <f aca="false">IF(AND(ISNUMBER(I47),ISNUMBER(H47),H47&lt;&gt;0),I47/H47-1,"")</f>
        <v/>
      </c>
      <c r="J111" s="29" t="str">
        <f aca="false">IF(AND(ISNUMBER(J47),ISNUMBER(I47),I47&lt;&gt;0),J47/I47-1,"")</f>
        <v/>
      </c>
      <c r="K111" s="29" t="str">
        <f aca="false">IF(AND(ISNUMBER(K47),ISNUMBER(J47),J47&lt;&gt;0),K47/J47-1,"")</f>
        <v/>
      </c>
      <c r="L111" s="29" t="str">
        <f aca="false">IF(AND(ISNUMBER(L47),ISNUMBER(K47),K47&lt;&gt;0),L47/K47-1,"")</f>
        <v/>
      </c>
      <c r="M111" s="29" t="str">
        <f aca="false">IF(AND(ISNUMBER(M47),ISNUMBER(L47),L47&lt;&gt;0),M47/L47-1,"")</f>
        <v/>
      </c>
      <c r="N111" s="29" t="str">
        <f aca="false">IF(AND(ISNUMBER(N47),ISNUMBER(M47),M47&lt;&gt;0),N47/M47-1,"")</f>
        <v/>
      </c>
    </row>
    <row r="112" customFormat="false" ht="15" hidden="false" customHeight="false" outlineLevel="0" collapsed="false">
      <c r="A112" s="33" t="s">
        <v>412</v>
      </c>
      <c r="C112" s="5" t="s">
        <v>413</v>
      </c>
      <c r="F112" s="29" t="str">
        <f aca="false">IF(AND(ISNUMBER(F48),ISNUMBER(E48),E48&lt;&gt;0),F48/E48-1,"")</f>
        <v/>
      </c>
      <c r="G112" s="29" t="str">
        <f aca="false">IF(AND(ISNUMBER(G48),ISNUMBER(F48),F48&lt;&gt;0),G48/F48-1,"")</f>
        <v/>
      </c>
      <c r="H112" s="29" t="str">
        <f aca="false">IF(AND(ISNUMBER(H48),ISNUMBER(G48),G48&lt;&gt;0),H48/G48-1,"")</f>
        <v/>
      </c>
      <c r="I112" s="29" t="str">
        <f aca="false">IF(AND(ISNUMBER(I48),ISNUMBER(H48),H48&lt;&gt;0),I48/H48-1,"")</f>
        <v/>
      </c>
      <c r="J112" s="29" t="str">
        <f aca="false">IF(AND(ISNUMBER(J48),ISNUMBER(I48),I48&lt;&gt;0),J48/I48-1,"")</f>
        <v/>
      </c>
      <c r="K112" s="29" t="str">
        <f aca="false">IF(AND(ISNUMBER(K48),ISNUMBER(J48),J48&lt;&gt;0),K48/J48-1,"")</f>
        <v/>
      </c>
      <c r="L112" s="29" t="str">
        <f aca="false">IF(AND(ISNUMBER(L48),ISNUMBER(K48),K48&lt;&gt;0),L48/K48-1,"")</f>
        <v/>
      </c>
      <c r="M112" s="29" t="str">
        <f aca="false">IF(AND(ISNUMBER(M48),ISNUMBER(L48),L48&lt;&gt;0),M48/L48-1,"")</f>
        <v/>
      </c>
      <c r="N112" s="29" t="str">
        <f aca="false">IF(AND(ISNUMBER(N48),ISNUMBER(M48),M48&lt;&gt;0),N48/M48-1,"")</f>
        <v/>
      </c>
    </row>
    <row r="113" customFormat="false" ht="15" hidden="false" customHeight="false" outlineLevel="0" collapsed="false">
      <c r="A113" s="33" t="s">
        <v>415</v>
      </c>
      <c r="C113" s="5" t="s">
        <v>416</v>
      </c>
      <c r="F113" s="29" t="str">
        <f aca="false">IF(AND(ISNUMBER(F49),ISNUMBER(E49),E49&lt;&gt;0),F49/E49-1,"")</f>
        <v/>
      </c>
      <c r="G113" s="29" t="str">
        <f aca="false">IF(AND(ISNUMBER(G49),ISNUMBER(F49),F49&lt;&gt;0),G49/F49-1,"")</f>
        <v/>
      </c>
      <c r="H113" s="29" t="str">
        <f aca="false">IF(AND(ISNUMBER(H49),ISNUMBER(G49),G49&lt;&gt;0),H49/G49-1,"")</f>
        <v/>
      </c>
      <c r="I113" s="29" t="str">
        <f aca="false">IF(AND(ISNUMBER(I49),ISNUMBER(H49),H49&lt;&gt;0),I49/H49-1,"")</f>
        <v/>
      </c>
      <c r="J113" s="29" t="str">
        <f aca="false">IF(AND(ISNUMBER(J49),ISNUMBER(I49),I49&lt;&gt;0),J49/I49-1,"")</f>
        <v/>
      </c>
      <c r="K113" s="29" t="str">
        <f aca="false">IF(AND(ISNUMBER(K49),ISNUMBER(J49),J49&lt;&gt;0),K49/J49-1,"")</f>
        <v/>
      </c>
      <c r="L113" s="29" t="str">
        <f aca="false">IF(AND(ISNUMBER(L49),ISNUMBER(K49),K49&lt;&gt;0),L49/K49-1,"")</f>
        <v/>
      </c>
      <c r="M113" s="29" t="str">
        <f aca="false">IF(AND(ISNUMBER(M49),ISNUMBER(L49),L49&lt;&gt;0),M49/L49-1,"")</f>
        <v/>
      </c>
      <c r="N113" s="29" t="str">
        <f aca="false">IF(AND(ISNUMBER(N49),ISNUMBER(M49),M49&lt;&gt;0),N49/M49-1,"")</f>
        <v/>
      </c>
    </row>
    <row r="114" customFormat="false" ht="15" hidden="false" customHeight="false" outlineLevel="0" collapsed="false">
      <c r="A114" s="33" t="s">
        <v>417</v>
      </c>
      <c r="C114" s="5" t="s">
        <v>418</v>
      </c>
      <c r="F114" s="29" t="str">
        <f aca="false">IF(AND(ISNUMBER(F50),ISNUMBER(E50),E50&lt;&gt;0),F50/E50-1,"")</f>
        <v/>
      </c>
      <c r="G114" s="29" t="str">
        <f aca="false">IF(AND(ISNUMBER(G50),ISNUMBER(F50),F50&lt;&gt;0),G50/F50-1,"")</f>
        <v/>
      </c>
      <c r="H114" s="29" t="str">
        <f aca="false">IF(AND(ISNUMBER(H50),ISNUMBER(G50),G50&lt;&gt;0),H50/G50-1,"")</f>
        <v/>
      </c>
      <c r="I114" s="29" t="str">
        <f aca="false">IF(AND(ISNUMBER(I50),ISNUMBER(H50),H50&lt;&gt;0),I50/H50-1,"")</f>
        <v/>
      </c>
      <c r="J114" s="29" t="str">
        <f aca="false">IF(AND(ISNUMBER(J50),ISNUMBER(I50),I50&lt;&gt;0),J50/I50-1,"")</f>
        <v/>
      </c>
      <c r="K114" s="29" t="str">
        <f aca="false">IF(AND(ISNUMBER(K50),ISNUMBER(J50),J50&lt;&gt;0),K50/J50-1,"")</f>
        <v/>
      </c>
      <c r="L114" s="29" t="str">
        <f aca="false">IF(AND(ISNUMBER(L50),ISNUMBER(K50),K50&lt;&gt;0),L50/K50-1,"")</f>
        <v/>
      </c>
      <c r="M114" s="29" t="str">
        <f aca="false">IF(AND(ISNUMBER(M50),ISNUMBER(L50),L50&lt;&gt;0),M50/L50-1,"")</f>
        <v/>
      </c>
      <c r="N114" s="29" t="str">
        <f aca="false">IF(AND(ISNUMBER(N50),ISNUMBER(M50),M50&lt;&gt;0),N50/M50-1,"")</f>
        <v/>
      </c>
    </row>
    <row r="115" customFormat="false" ht="15" hidden="false" customHeight="false" outlineLevel="0" collapsed="false">
      <c r="A115" s="33" t="s">
        <v>420</v>
      </c>
      <c r="C115" s="5" t="s">
        <v>421</v>
      </c>
      <c r="F115" s="29" t="str">
        <f aca="false">IF(AND(ISNUMBER(F51),ISNUMBER(E51),E51&lt;&gt;0),F51/E51-1,"")</f>
        <v/>
      </c>
      <c r="G115" s="29" t="str">
        <f aca="false">IF(AND(ISNUMBER(G51),ISNUMBER(F51),F51&lt;&gt;0),G51/F51-1,"")</f>
        <v/>
      </c>
      <c r="H115" s="29" t="str">
        <f aca="false">IF(AND(ISNUMBER(H51),ISNUMBER(G51),G51&lt;&gt;0),H51/G51-1,"")</f>
        <v/>
      </c>
      <c r="I115" s="29" t="str">
        <f aca="false">IF(AND(ISNUMBER(I51),ISNUMBER(H51),H51&lt;&gt;0),I51/H51-1,"")</f>
        <v/>
      </c>
      <c r="J115" s="29" t="str">
        <f aca="false">IF(AND(ISNUMBER(J51),ISNUMBER(I51),I51&lt;&gt;0),J51/I51-1,"")</f>
        <v/>
      </c>
      <c r="K115" s="29" t="str">
        <f aca="false">IF(AND(ISNUMBER(K51),ISNUMBER(J51),J51&lt;&gt;0),K51/J51-1,"")</f>
        <v/>
      </c>
      <c r="L115" s="29" t="str">
        <f aca="false">IF(AND(ISNUMBER(L51),ISNUMBER(K51),K51&lt;&gt;0),L51/K51-1,"")</f>
        <v/>
      </c>
      <c r="M115" s="29" t="str">
        <f aca="false">IF(AND(ISNUMBER(M51),ISNUMBER(L51),L51&lt;&gt;0),M51/L51-1,"")</f>
        <v/>
      </c>
      <c r="N115" s="29" t="str">
        <f aca="false">IF(AND(ISNUMBER(N51),ISNUMBER(M51),M51&lt;&gt;0),N51/M51-1,"")</f>
        <v/>
      </c>
    </row>
    <row r="116" customFormat="false" ht="15" hidden="false" customHeight="false" outlineLevel="0" collapsed="false">
      <c r="A116" s="33" t="s">
        <v>422</v>
      </c>
      <c r="C116" s="5" t="s">
        <v>424</v>
      </c>
      <c r="F116" s="29" t="str">
        <f aca="false">IF(AND(ISNUMBER(F52),ISNUMBER(E52),E52&lt;&gt;0),F52/E52-1,"")</f>
        <v/>
      </c>
      <c r="G116" s="29" t="str">
        <f aca="false">IF(AND(ISNUMBER(G52),ISNUMBER(F52),F52&lt;&gt;0),G52/F52-1,"")</f>
        <v/>
      </c>
      <c r="H116" s="29" t="str">
        <f aca="false">IF(AND(ISNUMBER(H52),ISNUMBER(G52),G52&lt;&gt;0),H52/G52-1,"")</f>
        <v/>
      </c>
      <c r="I116" s="29" t="str">
        <f aca="false">IF(AND(ISNUMBER(I52),ISNUMBER(H52),H52&lt;&gt;0),I52/H52-1,"")</f>
        <v/>
      </c>
      <c r="J116" s="29" t="str">
        <f aca="false">IF(AND(ISNUMBER(J52),ISNUMBER(I52),I52&lt;&gt;0),J52/I52-1,"")</f>
        <v/>
      </c>
      <c r="K116" s="29" t="str">
        <f aca="false">IF(AND(ISNUMBER(K52),ISNUMBER(J52),J52&lt;&gt;0),K52/J52-1,"")</f>
        <v/>
      </c>
      <c r="L116" s="29" t="str">
        <f aca="false">IF(AND(ISNUMBER(L52),ISNUMBER(K52),K52&lt;&gt;0),L52/K52-1,"")</f>
        <v/>
      </c>
      <c r="M116" s="29" t="str">
        <f aca="false">IF(AND(ISNUMBER(M52),ISNUMBER(L52),L52&lt;&gt;0),M52/L52-1,"")</f>
        <v/>
      </c>
      <c r="N116" s="29" t="str">
        <f aca="false">IF(AND(ISNUMBER(N52),ISNUMBER(M52),M52&lt;&gt;0),N52/M52-1,"")</f>
        <v/>
      </c>
    </row>
    <row r="117" customFormat="false" ht="15" hidden="false" customHeight="false" outlineLevel="0" collapsed="false">
      <c r="A117" s="33" t="s">
        <v>425</v>
      </c>
      <c r="C117" s="5" t="s">
        <v>426</v>
      </c>
      <c r="F117" s="29" t="str">
        <f aca="false">IF(AND(ISNUMBER(F53),ISNUMBER(E53),E53&lt;&gt;0),F53/E53-1,"")</f>
        <v/>
      </c>
      <c r="G117" s="29" t="str">
        <f aca="false">IF(AND(ISNUMBER(G53),ISNUMBER(F53),F53&lt;&gt;0),G53/F53-1,"")</f>
        <v/>
      </c>
      <c r="H117" s="29" t="str">
        <f aca="false">IF(AND(ISNUMBER(H53),ISNUMBER(G53),G53&lt;&gt;0),H53/G53-1,"")</f>
        <v/>
      </c>
      <c r="I117" s="29" t="str">
        <f aca="false">IF(AND(ISNUMBER(I53),ISNUMBER(H53),H53&lt;&gt;0),I53/H53-1,"")</f>
        <v/>
      </c>
      <c r="J117" s="29" t="str">
        <f aca="false">IF(AND(ISNUMBER(J53),ISNUMBER(I53),I53&lt;&gt;0),J53/I53-1,"")</f>
        <v/>
      </c>
      <c r="K117" s="29" t="str">
        <f aca="false">IF(AND(ISNUMBER(K53),ISNUMBER(J53),J53&lt;&gt;0),K53/J53-1,"")</f>
        <v/>
      </c>
      <c r="L117" s="29" t="str">
        <f aca="false">IF(AND(ISNUMBER(L53),ISNUMBER(K53),K53&lt;&gt;0),L53/K53-1,"")</f>
        <v/>
      </c>
      <c r="M117" s="29" t="str">
        <f aca="false">IF(AND(ISNUMBER(M53),ISNUMBER(L53),L53&lt;&gt;0),M53/L53-1,"")</f>
        <v/>
      </c>
      <c r="N117" s="29" t="str">
        <f aca="false">IF(AND(ISNUMBER(N53),ISNUMBER(M53),M53&lt;&gt;0),N53/M53-1,"")</f>
        <v/>
      </c>
    </row>
    <row r="118" customFormat="false" ht="15" hidden="false" customHeight="false" outlineLevel="0" collapsed="false">
      <c r="A118" s="33" t="s">
        <v>428</v>
      </c>
      <c r="C118" s="5" t="s">
        <v>429</v>
      </c>
      <c r="F118" s="29" t="str">
        <f aca="false">IF(AND(ISNUMBER(F54),ISNUMBER(E54),E54&lt;&gt;0),F54/E54-1,"")</f>
        <v/>
      </c>
      <c r="G118" s="29" t="str">
        <f aca="false">IF(AND(ISNUMBER(G54),ISNUMBER(F54),F54&lt;&gt;0),G54/F54-1,"")</f>
        <v/>
      </c>
      <c r="H118" s="29" t="str">
        <f aca="false">IF(AND(ISNUMBER(H54),ISNUMBER(G54),G54&lt;&gt;0),H54/G54-1,"")</f>
        <v/>
      </c>
      <c r="I118" s="29" t="str">
        <f aca="false">IF(AND(ISNUMBER(I54),ISNUMBER(H54),H54&lt;&gt;0),I54/H54-1,"")</f>
        <v/>
      </c>
      <c r="J118" s="29" t="str">
        <f aca="false">IF(AND(ISNUMBER(J54),ISNUMBER(I54),I54&lt;&gt;0),J54/I54-1,"")</f>
        <v/>
      </c>
      <c r="K118" s="29" t="str">
        <f aca="false">IF(AND(ISNUMBER(K54),ISNUMBER(J54),J54&lt;&gt;0),K54/J54-1,"")</f>
        <v/>
      </c>
      <c r="L118" s="29" t="str">
        <f aca="false">IF(AND(ISNUMBER(L54),ISNUMBER(K54),K54&lt;&gt;0),L54/K54-1,"")</f>
        <v/>
      </c>
      <c r="M118" s="29" t="str">
        <f aca="false">IF(AND(ISNUMBER(M54),ISNUMBER(L54),L54&lt;&gt;0),M54/L54-1,"")</f>
        <v/>
      </c>
      <c r="N118" s="29" t="str">
        <f aca="false">IF(AND(ISNUMBER(N54),ISNUMBER(M54),M54&lt;&gt;0),N54/M54-1,"")</f>
        <v/>
      </c>
    </row>
    <row r="119" customFormat="false" ht="15" hidden="false" customHeight="false" outlineLevel="0" collapsed="false">
      <c r="A119" s="33" t="s">
        <v>430</v>
      </c>
      <c r="C119" s="5" t="s">
        <v>432</v>
      </c>
      <c r="F119" s="29" t="str">
        <f aca="false">IF(AND(ISNUMBER(F55),ISNUMBER(E55),E55&lt;&gt;0),F55/E55-1,"")</f>
        <v/>
      </c>
      <c r="G119" s="29" t="str">
        <f aca="false">IF(AND(ISNUMBER(G55),ISNUMBER(F55),F55&lt;&gt;0),G55/F55-1,"")</f>
        <v/>
      </c>
      <c r="H119" s="29" t="str">
        <f aca="false">IF(AND(ISNUMBER(H55),ISNUMBER(G55),G55&lt;&gt;0),H55/G55-1,"")</f>
        <v/>
      </c>
      <c r="I119" s="29" t="str">
        <f aca="false">IF(AND(ISNUMBER(I55),ISNUMBER(H55),H55&lt;&gt;0),I55/H55-1,"")</f>
        <v/>
      </c>
      <c r="J119" s="29" t="str">
        <f aca="false">IF(AND(ISNUMBER(J55),ISNUMBER(I55),I55&lt;&gt;0),J55/I55-1,"")</f>
        <v/>
      </c>
      <c r="K119" s="29" t="str">
        <f aca="false">IF(AND(ISNUMBER(K55),ISNUMBER(J55),J55&lt;&gt;0),K55/J55-1,"")</f>
        <v/>
      </c>
      <c r="L119" s="29" t="str">
        <f aca="false">IF(AND(ISNUMBER(L55),ISNUMBER(K55),K55&lt;&gt;0),L55/K55-1,"")</f>
        <v/>
      </c>
      <c r="M119" s="29" t="str">
        <f aca="false">IF(AND(ISNUMBER(M55),ISNUMBER(L55),L55&lt;&gt;0),M55/L55-1,"")</f>
        <v/>
      </c>
      <c r="N119" s="29" t="str">
        <f aca="false">IF(AND(ISNUMBER(N55),ISNUMBER(M55),M55&lt;&gt;0),N55/M55-1,"")</f>
        <v/>
      </c>
    </row>
    <row r="120" customFormat="false" ht="15" hidden="false" customHeight="false" outlineLevel="0" collapsed="false">
      <c r="A120" s="33" t="s">
        <v>433</v>
      </c>
      <c r="C120" s="5" t="s">
        <v>434</v>
      </c>
      <c r="F120" s="29" t="str">
        <f aca="false">IF(AND(ISNUMBER(F56),ISNUMBER(E56),E56&lt;&gt;0),F56/E56-1,"")</f>
        <v/>
      </c>
      <c r="G120" s="29" t="str">
        <f aca="false">IF(AND(ISNUMBER(G56),ISNUMBER(F56),F56&lt;&gt;0),G56/F56-1,"")</f>
        <v/>
      </c>
      <c r="H120" s="29" t="str">
        <f aca="false">IF(AND(ISNUMBER(H56),ISNUMBER(G56),G56&lt;&gt;0),H56/G56-1,"")</f>
        <v/>
      </c>
      <c r="I120" s="29" t="str">
        <f aca="false">IF(AND(ISNUMBER(I56),ISNUMBER(H56),H56&lt;&gt;0),I56/H56-1,"")</f>
        <v/>
      </c>
      <c r="J120" s="29" t="str">
        <f aca="false">IF(AND(ISNUMBER(J56),ISNUMBER(I56),I56&lt;&gt;0),J56/I56-1,"")</f>
        <v/>
      </c>
      <c r="K120" s="29" t="str">
        <f aca="false">IF(AND(ISNUMBER(K56),ISNUMBER(J56),J56&lt;&gt;0),K56/J56-1,"")</f>
        <v/>
      </c>
      <c r="L120" s="29" t="str">
        <f aca="false">IF(AND(ISNUMBER(L56),ISNUMBER(K56),K56&lt;&gt;0),L56/K56-1,"")</f>
        <v/>
      </c>
      <c r="M120" s="29" t="str">
        <f aca="false">IF(AND(ISNUMBER(M56),ISNUMBER(L56),L56&lt;&gt;0),M56/L56-1,"")</f>
        <v/>
      </c>
      <c r="N120" s="29" t="str">
        <f aca="false">IF(AND(ISNUMBER(N56),ISNUMBER(M56),M56&lt;&gt;0),N56/M56-1,"")</f>
        <v/>
      </c>
    </row>
    <row r="121" customFormat="false" ht="15" hidden="false" customHeight="false" outlineLevel="0" collapsed="false">
      <c r="A121" s="33" t="s">
        <v>435</v>
      </c>
      <c r="C121" s="5" t="s">
        <v>437</v>
      </c>
      <c r="F121" s="29" t="str">
        <f aca="false">IF(AND(ISNUMBER(F57),ISNUMBER(E57),E57&lt;&gt;0),F57/E57-1,"")</f>
        <v/>
      </c>
      <c r="G121" s="29" t="str">
        <f aca="false">IF(AND(ISNUMBER(G57),ISNUMBER(F57),F57&lt;&gt;0),G57/F57-1,"")</f>
        <v/>
      </c>
      <c r="H121" s="29" t="str">
        <f aca="false">IF(AND(ISNUMBER(H57),ISNUMBER(G57),G57&lt;&gt;0),H57/G57-1,"")</f>
        <v/>
      </c>
      <c r="I121" s="29" t="str">
        <f aca="false">IF(AND(ISNUMBER(I57),ISNUMBER(H57),H57&lt;&gt;0),I57/H57-1,"")</f>
        <v/>
      </c>
      <c r="J121" s="29" t="str">
        <f aca="false">IF(AND(ISNUMBER(J57),ISNUMBER(I57),I57&lt;&gt;0),J57/I57-1,"")</f>
        <v/>
      </c>
      <c r="K121" s="29" t="str">
        <f aca="false">IF(AND(ISNUMBER(K57),ISNUMBER(J57),J57&lt;&gt;0),K57/J57-1,"")</f>
        <v/>
      </c>
      <c r="L121" s="29" t="str">
        <f aca="false">IF(AND(ISNUMBER(L57),ISNUMBER(K57),K57&lt;&gt;0),L57/K57-1,"")</f>
        <v/>
      </c>
      <c r="M121" s="29" t="str">
        <f aca="false">IF(AND(ISNUMBER(M57),ISNUMBER(L57),L57&lt;&gt;0),M57/L57-1,"")</f>
        <v/>
      </c>
      <c r="N121" s="29" t="str">
        <f aca="false">IF(AND(ISNUMBER(N57),ISNUMBER(M57),M57&lt;&gt;0),N57/M57-1,"")</f>
        <v/>
      </c>
    </row>
    <row r="122" customFormat="false" ht="15" hidden="false" customHeight="false" outlineLevel="0" collapsed="false">
      <c r="A122" s="33" t="s">
        <v>438</v>
      </c>
      <c r="C122" s="5" t="s">
        <v>439</v>
      </c>
      <c r="F122" s="29" t="str">
        <f aca="false">IF(AND(ISNUMBER(F58),ISNUMBER(E58),E58&lt;&gt;0),F58/E58-1,"")</f>
        <v/>
      </c>
      <c r="G122" s="29" t="str">
        <f aca="false">IF(AND(ISNUMBER(G58),ISNUMBER(F58),F58&lt;&gt;0),G58/F58-1,"")</f>
        <v/>
      </c>
      <c r="H122" s="29" t="str">
        <f aca="false">IF(AND(ISNUMBER(H58),ISNUMBER(G58),G58&lt;&gt;0),H58/G58-1,"")</f>
        <v/>
      </c>
      <c r="I122" s="29" t="str">
        <f aca="false">IF(AND(ISNUMBER(I58),ISNUMBER(H58),H58&lt;&gt;0),I58/H58-1,"")</f>
        <v/>
      </c>
      <c r="J122" s="29" t="str">
        <f aca="false">IF(AND(ISNUMBER(J58),ISNUMBER(I58),I58&lt;&gt;0),J58/I58-1,"")</f>
        <v/>
      </c>
      <c r="K122" s="29" t="str">
        <f aca="false">IF(AND(ISNUMBER(K58),ISNUMBER(J58),J58&lt;&gt;0),K58/J58-1,"")</f>
        <v/>
      </c>
      <c r="L122" s="29" t="str">
        <f aca="false">IF(AND(ISNUMBER(L58),ISNUMBER(K58),K58&lt;&gt;0),L58/K58-1,"")</f>
        <v/>
      </c>
      <c r="M122" s="29" t="str">
        <f aca="false">IF(AND(ISNUMBER(M58),ISNUMBER(L58),L58&lt;&gt;0),M58/L58-1,"")</f>
        <v/>
      </c>
      <c r="N122" s="29" t="str">
        <f aca="false">IF(AND(ISNUMBER(N58),ISNUMBER(M58),M58&lt;&gt;0),N58/M58-1,"")</f>
        <v/>
      </c>
    </row>
    <row r="123" customFormat="false" ht="15" hidden="false" customHeight="false" outlineLevel="0" collapsed="false">
      <c r="A123" s="33" t="s">
        <v>440</v>
      </c>
      <c r="C123" s="5" t="s">
        <v>441</v>
      </c>
      <c r="F123" s="29" t="str">
        <f aca="false">IF(AND(ISNUMBER(F59),ISNUMBER(E59),E59&lt;&gt;0),F59/E59-1,"")</f>
        <v/>
      </c>
      <c r="G123" s="29" t="str">
        <f aca="false">IF(AND(ISNUMBER(G59),ISNUMBER(F59),F59&lt;&gt;0),G59/F59-1,"")</f>
        <v/>
      </c>
      <c r="H123" s="29" t="str">
        <f aca="false">IF(AND(ISNUMBER(H59),ISNUMBER(G59),G59&lt;&gt;0),H59/G59-1,"")</f>
        <v/>
      </c>
      <c r="I123" s="29" t="str">
        <f aca="false">IF(AND(ISNUMBER(I59),ISNUMBER(H59),H59&lt;&gt;0),I59/H59-1,"")</f>
        <v/>
      </c>
      <c r="J123" s="29" t="str">
        <f aca="false">IF(AND(ISNUMBER(J59),ISNUMBER(I59),I59&lt;&gt;0),J59/I59-1,"")</f>
        <v/>
      </c>
      <c r="K123" s="29" t="str">
        <f aca="false">IF(AND(ISNUMBER(K59),ISNUMBER(J59),J59&lt;&gt;0),K59/J59-1,"")</f>
        <v/>
      </c>
      <c r="L123" s="29" t="str">
        <f aca="false">IF(AND(ISNUMBER(L59),ISNUMBER(K59),K59&lt;&gt;0),L59/K59-1,"")</f>
        <v/>
      </c>
      <c r="M123" s="29" t="str">
        <f aca="false">IF(AND(ISNUMBER(M59),ISNUMBER(L59),L59&lt;&gt;0),M59/L59-1,"")</f>
        <v/>
      </c>
      <c r="N123" s="29" t="str">
        <f aca="false">IF(AND(ISNUMBER(N59),ISNUMBER(M59),M59&lt;&gt;0),N59/M59-1,"")</f>
        <v/>
      </c>
    </row>
    <row r="124" customFormat="false" ht="15" hidden="false" customHeight="false" outlineLevel="0" collapsed="false">
      <c r="A124" s="33" t="s">
        <v>443</v>
      </c>
      <c r="C124" s="5" t="s">
        <v>444</v>
      </c>
      <c r="F124" s="29" t="str">
        <f aca="false">IF(AND(ISNUMBER(F60),ISNUMBER(E60),E60&lt;&gt;0),F60/E60-1,"")</f>
        <v/>
      </c>
      <c r="G124" s="29" t="str">
        <f aca="false">IF(AND(ISNUMBER(G60),ISNUMBER(F60),F60&lt;&gt;0),G60/F60-1,"")</f>
        <v/>
      </c>
      <c r="H124" s="29" t="str">
        <f aca="false">IF(AND(ISNUMBER(H60),ISNUMBER(G60),G60&lt;&gt;0),H60/G60-1,"")</f>
        <v/>
      </c>
      <c r="I124" s="29" t="str">
        <f aca="false">IF(AND(ISNUMBER(I60),ISNUMBER(H60),H60&lt;&gt;0),I60/H60-1,"")</f>
        <v/>
      </c>
      <c r="J124" s="29" t="str">
        <f aca="false">IF(AND(ISNUMBER(J60),ISNUMBER(I60),I60&lt;&gt;0),J60/I60-1,"")</f>
        <v/>
      </c>
      <c r="K124" s="29" t="str">
        <f aca="false">IF(AND(ISNUMBER(K60),ISNUMBER(J60),J60&lt;&gt;0),K60/J60-1,"")</f>
        <v/>
      </c>
      <c r="L124" s="29" t="str">
        <f aca="false">IF(AND(ISNUMBER(L60),ISNUMBER(K60),K60&lt;&gt;0),L60/K60-1,"")</f>
        <v/>
      </c>
      <c r="M124" s="29" t="str">
        <f aca="false">IF(AND(ISNUMBER(M60),ISNUMBER(L60),L60&lt;&gt;0),M60/L60-1,"")</f>
        <v/>
      </c>
      <c r="N124" s="29" t="str">
        <f aca="false">IF(AND(ISNUMBER(N60),ISNUMBER(M60),M60&lt;&gt;0),N60/M60-1,"")</f>
        <v/>
      </c>
    </row>
    <row r="125" customFormat="false" ht="15" hidden="false" customHeight="false" outlineLevel="0" collapsed="false">
      <c r="A125" s="33" t="s">
        <v>445</v>
      </c>
      <c r="C125" s="5" t="s">
        <v>446</v>
      </c>
      <c r="F125" s="29" t="str">
        <f aca="false">IF(AND(ISNUMBER(F61),ISNUMBER(E61),E61&lt;&gt;0),F61/E61-1,"")</f>
        <v/>
      </c>
      <c r="G125" s="29" t="str">
        <f aca="false">IF(AND(ISNUMBER(G61),ISNUMBER(F61),F61&lt;&gt;0),G61/F61-1,"")</f>
        <v/>
      </c>
      <c r="H125" s="29" t="str">
        <f aca="false">IF(AND(ISNUMBER(H61),ISNUMBER(G61),G61&lt;&gt;0),H61/G61-1,"")</f>
        <v/>
      </c>
      <c r="I125" s="29" t="str">
        <f aca="false">IF(AND(ISNUMBER(I61),ISNUMBER(H61),H61&lt;&gt;0),I61/H61-1,"")</f>
        <v/>
      </c>
      <c r="J125" s="29" t="str">
        <f aca="false">IF(AND(ISNUMBER(J61),ISNUMBER(I61),I61&lt;&gt;0),J61/I61-1,"")</f>
        <v/>
      </c>
      <c r="K125" s="29" t="str">
        <f aca="false">IF(AND(ISNUMBER(K61),ISNUMBER(J61),J61&lt;&gt;0),K61/J61-1,"")</f>
        <v/>
      </c>
      <c r="L125" s="29" t="str">
        <f aca="false">IF(AND(ISNUMBER(L61),ISNUMBER(K61),K61&lt;&gt;0),L61/K61-1,"")</f>
        <v/>
      </c>
      <c r="M125" s="29" t="str">
        <f aca="false">IF(AND(ISNUMBER(M61),ISNUMBER(L61),L61&lt;&gt;0),M61/L61-1,"")</f>
        <v/>
      </c>
      <c r="N125" s="29" t="str">
        <f aca="false">IF(AND(ISNUMBER(N61),ISNUMBER(M61),M61&lt;&gt;0),N61/M61-1,"")</f>
        <v/>
      </c>
    </row>
    <row r="126" customFormat="false" ht="15" hidden="false" customHeight="false" outlineLevel="0" collapsed="false">
      <c r="A126" s="33" t="s">
        <v>447</v>
      </c>
      <c r="C126" s="5" t="s">
        <v>449</v>
      </c>
      <c r="F126" s="29" t="str">
        <f aca="false">IF(AND(ISNUMBER(F62),ISNUMBER(E62),E62&lt;&gt;0),F62/E62-1,"")</f>
        <v/>
      </c>
      <c r="G126" s="29" t="str">
        <f aca="false">IF(AND(ISNUMBER(G62),ISNUMBER(F62),F62&lt;&gt;0),G62/F62-1,"")</f>
        <v/>
      </c>
      <c r="H126" s="29" t="str">
        <f aca="false">IF(AND(ISNUMBER(H62),ISNUMBER(G62),G62&lt;&gt;0),H62/G62-1,"")</f>
        <v/>
      </c>
      <c r="I126" s="29" t="str">
        <f aca="false">IF(AND(ISNUMBER(I62),ISNUMBER(H62),H62&lt;&gt;0),I62/H62-1,"")</f>
        <v/>
      </c>
      <c r="J126" s="29" t="str">
        <f aca="false">IF(AND(ISNUMBER(J62),ISNUMBER(I62),I62&lt;&gt;0),J62/I62-1,"")</f>
        <v/>
      </c>
      <c r="K126" s="29" t="str">
        <f aca="false">IF(AND(ISNUMBER(K62),ISNUMBER(J62),J62&lt;&gt;0),K62/J62-1,"")</f>
        <v/>
      </c>
      <c r="L126" s="29" t="str">
        <f aca="false">IF(AND(ISNUMBER(L62),ISNUMBER(K62),K62&lt;&gt;0),L62/K62-1,"")</f>
        <v/>
      </c>
      <c r="M126" s="29" t="str">
        <f aca="false">IF(AND(ISNUMBER(M62),ISNUMBER(L62),L62&lt;&gt;0),M62/L62-1,"")</f>
        <v/>
      </c>
      <c r="N126" s="29" t="str">
        <f aca="false">IF(AND(ISNUMBER(N62),ISNUMBER(M62),M62&lt;&gt;0),N62/M62-1,"")</f>
        <v/>
      </c>
    </row>
    <row r="127" customFormat="false" ht="15" hidden="false" customHeight="false" outlineLevel="0" collapsed="false">
      <c r="A127" s="33" t="s">
        <v>450</v>
      </c>
      <c r="C127" s="5" t="s">
        <v>451</v>
      </c>
      <c r="F127" s="29" t="str">
        <f aca="false">IF(AND(ISNUMBER(F63),ISNUMBER(E63),E63&lt;&gt;0),F63/E63-1,"")</f>
        <v/>
      </c>
      <c r="G127" s="29" t="str">
        <f aca="false">IF(AND(ISNUMBER(G63),ISNUMBER(F63),F63&lt;&gt;0),G63/F63-1,"")</f>
        <v/>
      </c>
      <c r="H127" s="29" t="str">
        <f aca="false">IF(AND(ISNUMBER(H63),ISNUMBER(G63),G63&lt;&gt;0),H63/G63-1,"")</f>
        <v/>
      </c>
      <c r="I127" s="29" t="str">
        <f aca="false">IF(AND(ISNUMBER(I63),ISNUMBER(H63),H63&lt;&gt;0),I63/H63-1,"")</f>
        <v/>
      </c>
      <c r="J127" s="29" t="str">
        <f aca="false">IF(AND(ISNUMBER(J63),ISNUMBER(I63),I63&lt;&gt;0),J63/I63-1,"")</f>
        <v/>
      </c>
      <c r="K127" s="29" t="str">
        <f aca="false">IF(AND(ISNUMBER(K63),ISNUMBER(J63),J63&lt;&gt;0),K63/J63-1,"")</f>
        <v/>
      </c>
      <c r="L127" s="29" t="str">
        <f aca="false">IF(AND(ISNUMBER(L63),ISNUMBER(K63),K63&lt;&gt;0),L63/K63-1,"")</f>
        <v/>
      </c>
      <c r="M127" s="29" t="str">
        <f aca="false">IF(AND(ISNUMBER(M63),ISNUMBER(L63),L63&lt;&gt;0),M63/L63-1,"")</f>
        <v/>
      </c>
      <c r="N127" s="29" t="str">
        <f aca="false">IF(AND(ISNUMBER(N63),ISNUMBER(M63),M63&lt;&gt;0),N63/M63-1,"")</f>
        <v/>
      </c>
    </row>
    <row r="128" customFormat="false" ht="15" hidden="false" customHeight="false" outlineLevel="0" collapsed="false">
      <c r="A128" s="33" t="s">
        <v>452</v>
      </c>
      <c r="C128" s="5" t="s">
        <v>453</v>
      </c>
      <c r="F128" s="29" t="str">
        <f aca="false">IF(AND(ISNUMBER(F64),ISNUMBER(E64),E64&lt;&gt;0),F64/E64-1,"")</f>
        <v/>
      </c>
      <c r="G128" s="29" t="str">
        <f aca="false">IF(AND(ISNUMBER(G64),ISNUMBER(F64),F64&lt;&gt;0),G64/F64-1,"")</f>
        <v/>
      </c>
      <c r="H128" s="29" t="str">
        <f aca="false">IF(AND(ISNUMBER(H64),ISNUMBER(G64),G64&lt;&gt;0),H64/G64-1,"")</f>
        <v/>
      </c>
      <c r="I128" s="29" t="str">
        <f aca="false">IF(AND(ISNUMBER(I64),ISNUMBER(H64),H64&lt;&gt;0),I64/H64-1,"")</f>
        <v/>
      </c>
      <c r="J128" s="29" t="str">
        <f aca="false">IF(AND(ISNUMBER(J64),ISNUMBER(I64),I64&lt;&gt;0),J64/I64-1,"")</f>
        <v/>
      </c>
      <c r="K128" s="29" t="str">
        <f aca="false">IF(AND(ISNUMBER(K64),ISNUMBER(J64),J64&lt;&gt;0),K64/J64-1,"")</f>
        <v/>
      </c>
      <c r="L128" s="29" t="str">
        <f aca="false">IF(AND(ISNUMBER(L64),ISNUMBER(K64),K64&lt;&gt;0),L64/K64-1,"")</f>
        <v/>
      </c>
      <c r="M128" s="29" t="str">
        <f aca="false">IF(AND(ISNUMBER(M64),ISNUMBER(L64),L64&lt;&gt;0),M64/L64-1,"")</f>
        <v/>
      </c>
      <c r="N128" s="29" t="str">
        <f aca="false">IF(AND(ISNUMBER(N64),ISNUMBER(M64),M64&lt;&gt;0),N64/M64-1,"")</f>
        <v/>
      </c>
    </row>
    <row r="129" customFormat="false" ht="15" hidden="false" customHeight="false" outlineLevel="0" collapsed="false">
      <c r="A129" s="33" t="s">
        <v>454</v>
      </c>
      <c r="C129" s="5" t="s">
        <v>455</v>
      </c>
      <c r="F129" s="29" t="str">
        <f aca="false">IF(AND(ISNUMBER(F65),ISNUMBER(E65),E65&lt;&gt;0),F65/E65-1,"")</f>
        <v/>
      </c>
      <c r="G129" s="29" t="str">
        <f aca="false">IF(AND(ISNUMBER(G65),ISNUMBER(F65),F65&lt;&gt;0),G65/F65-1,"")</f>
        <v/>
      </c>
      <c r="H129" s="29" t="str">
        <f aca="false">IF(AND(ISNUMBER(H65),ISNUMBER(G65),G65&lt;&gt;0),H65/G65-1,"")</f>
        <v/>
      </c>
      <c r="I129" s="29" t="str">
        <f aca="false">IF(AND(ISNUMBER(I65),ISNUMBER(H65),H65&lt;&gt;0),I65/H65-1,"")</f>
        <v/>
      </c>
      <c r="J129" s="29" t="str">
        <f aca="false">IF(AND(ISNUMBER(J65),ISNUMBER(I65),I65&lt;&gt;0),J65/I65-1,"")</f>
        <v/>
      </c>
      <c r="K129" s="29" t="str">
        <f aca="false">IF(AND(ISNUMBER(K65),ISNUMBER(J65),J65&lt;&gt;0),K65/J65-1,"")</f>
        <v/>
      </c>
      <c r="L129" s="29" t="str">
        <f aca="false">IF(AND(ISNUMBER(L65),ISNUMBER(K65),K65&lt;&gt;0),L65/K65-1,"")</f>
        <v/>
      </c>
      <c r="M129" s="29" t="str">
        <f aca="false">IF(AND(ISNUMBER(M65),ISNUMBER(L65),L65&lt;&gt;0),M65/L65-1,"")</f>
        <v/>
      </c>
      <c r="N129" s="29" t="str">
        <f aca="false">IF(AND(ISNUMBER(N65),ISNUMBER(M65),M65&lt;&gt;0),N65/M65-1,"")</f>
        <v/>
      </c>
    </row>
    <row r="130" customFormat="false" ht="15" hidden="false" customHeight="false" outlineLevel="0" collapsed="false">
      <c r="A130" s="33" t="s">
        <v>456</v>
      </c>
      <c r="C130" s="5" t="s">
        <v>457</v>
      </c>
      <c r="F130" s="29" t="str">
        <f aca="false">IF(AND(ISNUMBER(F66),ISNUMBER(E66),E66&lt;&gt;0),F66/E66-1,"")</f>
        <v/>
      </c>
      <c r="G130" s="29" t="str">
        <f aca="false">IF(AND(ISNUMBER(G66),ISNUMBER(F66),F66&lt;&gt;0),G66/F66-1,"")</f>
        <v/>
      </c>
      <c r="H130" s="29" t="str">
        <f aca="false">IF(AND(ISNUMBER(H66),ISNUMBER(G66),G66&lt;&gt;0),H66/G66-1,"")</f>
        <v/>
      </c>
      <c r="I130" s="29" t="str">
        <f aca="false">IF(AND(ISNUMBER(I66),ISNUMBER(H66),H66&lt;&gt;0),I66/H66-1,"")</f>
        <v/>
      </c>
      <c r="J130" s="29" t="str">
        <f aca="false">IF(AND(ISNUMBER(J66),ISNUMBER(I66),I66&lt;&gt;0),J66/I66-1,"")</f>
        <v/>
      </c>
      <c r="K130" s="29" t="str">
        <f aca="false">IF(AND(ISNUMBER(K66),ISNUMBER(J66),J66&lt;&gt;0),K66/J66-1,"")</f>
        <v/>
      </c>
      <c r="L130" s="29" t="str">
        <f aca="false">IF(AND(ISNUMBER(L66),ISNUMBER(K66),K66&lt;&gt;0),L66/K66-1,"")</f>
        <v/>
      </c>
      <c r="M130" s="29" t="str">
        <f aca="false">IF(AND(ISNUMBER(M66),ISNUMBER(L66),L66&lt;&gt;0),M66/L66-1,"")</f>
        <v/>
      </c>
      <c r="N130" s="29" t="str">
        <f aca="false">IF(AND(ISNUMBER(N66),ISNUMBER(M66),M66&lt;&gt;0),N66/M66-1,"")</f>
        <v/>
      </c>
    </row>
    <row r="132" customFormat="false" ht="46.25" hidden="false" customHeight="false" outlineLevel="0" collapsed="false">
      <c r="B132" s="11" t="s">
        <v>461</v>
      </c>
    </row>
    <row r="133" customFormat="false" ht="15" hidden="false" customHeight="false" outlineLevel="0" collapsed="false">
      <c r="A133" s="8"/>
      <c r="B133" s="8" t="s">
        <v>462</v>
      </c>
      <c r="C133" s="8"/>
      <c r="D133" s="8"/>
      <c r="E133" s="8" t="s">
        <v>306</v>
      </c>
      <c r="F133" s="8" t="s">
        <v>307</v>
      </c>
      <c r="G133" s="8" t="s">
        <v>308</v>
      </c>
      <c r="H133" s="8" t="s">
        <v>309</v>
      </c>
      <c r="I133" s="8" t="s">
        <v>310</v>
      </c>
      <c r="J133" s="8" t="s">
        <v>311</v>
      </c>
      <c r="K133" s="8" t="s">
        <v>312</v>
      </c>
      <c r="L133" s="8" t="s">
        <v>313</v>
      </c>
      <c r="M133" s="8" t="s">
        <v>314</v>
      </c>
      <c r="N133" s="8" t="s">
        <v>315</v>
      </c>
    </row>
    <row r="134" customFormat="false" ht="15" hidden="false" customHeight="false" outlineLevel="0" collapsed="false">
      <c r="B134" s="5" t="s">
        <v>463</v>
      </c>
      <c r="F134" s="14" t="str">
        <f aca="false">IF(AND(ISNUMBER(F78),ISNUMBER(F86)),IF(AND(F78&lt;0,F86&lt;0),"Both cut",""),"")</f>
        <v>Both cut</v>
      </c>
      <c r="G134" s="14" t="str">
        <f aca="false">IF(AND(ISNUMBER(G78),ISNUMBER(G86)),IF(AND(G78&lt;0,G86&lt;0),"Both cut",""),"")</f>
        <v/>
      </c>
      <c r="H134" s="14" t="str">
        <f aca="false">IF(AND(ISNUMBER(H78),ISNUMBER(H86)),IF(AND(H78&lt;0,H86&lt;0),"Both cut",""),"")</f>
        <v/>
      </c>
      <c r="I134" s="14" t="str">
        <f aca="false">IF(AND(ISNUMBER(I78),ISNUMBER(I86)),IF(AND(I78&lt;0,I86&lt;0),"Both cut",""),"")</f>
        <v/>
      </c>
      <c r="J134" s="14" t="str">
        <f aca="false">IF(AND(ISNUMBER(J78),ISNUMBER(J86)),IF(AND(J78&lt;0,J86&lt;0),"Both cut",""),"")</f>
        <v/>
      </c>
      <c r="K134" s="14" t="str">
        <f aca="false">IF(AND(ISNUMBER(K78),ISNUMBER(K86)),IF(AND(K78&lt;0,K86&lt;0),"Both cut",""),"")</f>
        <v/>
      </c>
      <c r="L134" s="14" t="str">
        <f aca="false">IF(AND(ISNUMBER(L78),ISNUMBER(L86)),IF(AND(L78&lt;0,L86&lt;0),"Both cut",""),"")</f>
        <v/>
      </c>
      <c r="M134" s="14" t="str">
        <f aca="false">IF(AND(ISNUMBER(M78),ISNUMBER(M86)),IF(AND(M78&lt;0,M86&lt;0),"Both cut",""),"")</f>
        <v/>
      </c>
      <c r="N134" s="14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464</v>
      </c>
      <c r="F135" s="14" t="str">
        <f aca="false">IF(AND(ISNUMBER(F79),ISNUMBER(F87)),IF(AND(F79&lt;0,F87&lt;0),"Both cut",""),"")</f>
        <v/>
      </c>
      <c r="G135" s="14" t="str">
        <f aca="false">IF(AND(ISNUMBER(G79),ISNUMBER(G87)),IF(AND(G79&lt;0,G87&lt;0),"Both cut",""),"")</f>
        <v/>
      </c>
      <c r="H135" s="14" t="str">
        <f aca="false">IF(AND(ISNUMBER(H79),ISNUMBER(H87)),IF(AND(H79&lt;0,H87&lt;0),"Both cut",""),"")</f>
        <v/>
      </c>
      <c r="I135" s="14" t="str">
        <f aca="false">IF(AND(ISNUMBER(I79),ISNUMBER(I87)),IF(AND(I79&lt;0,I87&lt;0),"Both cut",""),"")</f>
        <v/>
      </c>
      <c r="J135" s="14" t="str">
        <f aca="false">IF(AND(ISNUMBER(J79),ISNUMBER(J87)),IF(AND(J79&lt;0,J87&lt;0),"Both cut",""),"")</f>
        <v/>
      </c>
      <c r="K135" s="14" t="str">
        <f aca="false">IF(AND(ISNUMBER(K79),ISNUMBER(K87)),IF(AND(K79&lt;0,K87&lt;0),"Both cut",""),"")</f>
        <v/>
      </c>
      <c r="L135" s="14" t="str">
        <f aca="false">IF(AND(ISNUMBER(L79),ISNUMBER(L87)),IF(AND(L79&lt;0,L87&lt;0),"Both cut",""),"")</f>
        <v/>
      </c>
      <c r="M135" s="14" t="str">
        <f aca="false">IF(AND(ISNUMBER(M79),ISNUMBER(M87)),IF(AND(M79&lt;0,M87&lt;0),"Both cut",""),"")</f>
        <v/>
      </c>
      <c r="N135" s="14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465</v>
      </c>
      <c r="F136" s="14" t="str">
        <f aca="false">IF(AND(ISNUMBER(F80),ISNUMBER(F88)),IF(AND(F80&lt;0,F88&lt;0),"Both cut",""),"")</f>
        <v/>
      </c>
      <c r="G136" s="14" t="str">
        <f aca="false">IF(AND(ISNUMBER(G80),ISNUMBER(G88)),IF(AND(G80&lt;0,G88&lt;0),"Both cut",""),"")</f>
        <v/>
      </c>
      <c r="H136" s="14" t="str">
        <f aca="false">IF(AND(ISNUMBER(H80),ISNUMBER(H88)),IF(AND(H80&lt;0,H88&lt;0),"Both cut",""),"")</f>
        <v/>
      </c>
      <c r="I136" s="14" t="str">
        <f aca="false">IF(AND(ISNUMBER(I80),ISNUMBER(I88)),IF(AND(I80&lt;0,I88&lt;0),"Both cut",""),"")</f>
        <v/>
      </c>
      <c r="J136" s="14" t="str">
        <f aca="false">IF(AND(ISNUMBER(J80),ISNUMBER(J88)),IF(AND(J80&lt;0,J88&lt;0),"Both cut",""),"")</f>
        <v/>
      </c>
      <c r="K136" s="14" t="str">
        <f aca="false">IF(AND(ISNUMBER(K80),ISNUMBER(K88)),IF(AND(K80&lt;0,K88&lt;0),"Both cut",""),"")</f>
        <v/>
      </c>
      <c r="L136" s="14" t="str">
        <f aca="false">IF(AND(ISNUMBER(L80),ISNUMBER(L88)),IF(AND(L80&lt;0,L88&lt;0),"Both cut",""),"")</f>
        <v/>
      </c>
      <c r="M136" s="14" t="str">
        <f aca="false">IF(AND(ISNUMBER(M80),ISNUMBER(M88)),IF(AND(M80&lt;0,M88&lt;0),"Both cut",""),"")</f>
        <v/>
      </c>
      <c r="N136" s="14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466</v>
      </c>
      <c r="F137" s="14" t="str">
        <f aca="false">IF(AND(ISNUMBER(F81),ISNUMBER(F89)),IF(AND(F81&lt;0,F89&lt;0),"Both cut",""),"")</f>
        <v/>
      </c>
      <c r="G137" s="14" t="str">
        <f aca="false">IF(AND(ISNUMBER(G81),ISNUMBER(G89)),IF(AND(G81&lt;0,G89&lt;0),"Both cut",""),"")</f>
        <v/>
      </c>
      <c r="H137" s="14" t="str">
        <f aca="false">IF(AND(ISNUMBER(H81),ISNUMBER(H89)),IF(AND(H81&lt;0,H89&lt;0),"Both cut",""),"")</f>
        <v/>
      </c>
      <c r="I137" s="14" t="str">
        <f aca="false">IF(AND(ISNUMBER(I81),ISNUMBER(I89)),IF(AND(I81&lt;0,I89&lt;0),"Both cut",""),"")</f>
        <v/>
      </c>
      <c r="J137" s="14" t="str">
        <f aca="false">IF(AND(ISNUMBER(J81),ISNUMBER(J89)),IF(AND(J81&lt;0,J89&lt;0),"Both cut",""),"")</f>
        <v/>
      </c>
      <c r="K137" s="14" t="str">
        <f aca="false">IF(AND(ISNUMBER(K81),ISNUMBER(K89)),IF(AND(K81&lt;0,K89&lt;0),"Both cut",""),"")</f>
        <v/>
      </c>
      <c r="L137" s="14" t="str">
        <f aca="false">IF(AND(ISNUMBER(L81),ISNUMBER(L89)),IF(AND(L81&lt;0,L89&lt;0),"Both cut",""),"")</f>
        <v/>
      </c>
      <c r="M137" s="14" t="str">
        <f aca="false">IF(AND(ISNUMBER(M81),ISNUMBER(M89)),IF(AND(M81&lt;0,M89&lt;0),"Both cut",""),"")</f>
        <v/>
      </c>
      <c r="N137" s="14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467</v>
      </c>
      <c r="F138" s="14" t="str">
        <f aca="false">IF(AND(ISNUMBER(F82),ISNUMBER(F90)),IF(AND(F82&lt;0,F90&lt;0),"Both cut",""),"")</f>
        <v/>
      </c>
      <c r="G138" s="14" t="str">
        <f aca="false">IF(AND(ISNUMBER(G82),ISNUMBER(G90)),IF(AND(G82&lt;0,G90&lt;0),"Both cut",""),"")</f>
        <v/>
      </c>
      <c r="H138" s="14" t="str">
        <f aca="false">IF(AND(ISNUMBER(H82),ISNUMBER(H90)),IF(AND(H82&lt;0,H90&lt;0),"Both cut",""),"")</f>
        <v/>
      </c>
      <c r="I138" s="14" t="str">
        <f aca="false">IF(AND(ISNUMBER(I82),ISNUMBER(I90)),IF(AND(I82&lt;0,I90&lt;0),"Both cut",""),"")</f>
        <v/>
      </c>
      <c r="J138" s="14" t="str">
        <f aca="false">IF(AND(ISNUMBER(J82),ISNUMBER(J90)),IF(AND(J82&lt;0,J90&lt;0),"Both cut",""),"")</f>
        <v/>
      </c>
      <c r="K138" s="14" t="str">
        <f aca="false">IF(AND(ISNUMBER(K82),ISNUMBER(K90)),IF(AND(K82&lt;0,K90&lt;0),"Both cut",""),"")</f>
        <v/>
      </c>
      <c r="L138" s="14" t="str">
        <f aca="false">IF(AND(ISNUMBER(L82),ISNUMBER(L90)),IF(AND(L82&lt;0,L90&lt;0),"Both cut",""),"")</f>
        <v/>
      </c>
      <c r="M138" s="14" t="str">
        <f aca="false">IF(AND(ISNUMBER(M82),ISNUMBER(M90)),IF(AND(M82&lt;0,M90&lt;0),"Both cut",""),"")</f>
        <v/>
      </c>
      <c r="N138" s="14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468</v>
      </c>
      <c r="F139" s="14" t="str">
        <f aca="false">IF(AND(ISNUMBER(F83),ISNUMBER(F91)),IF(AND(F83&lt;0,F91&lt;0),"Both cut",""),"")</f>
        <v/>
      </c>
      <c r="G139" s="14" t="str">
        <f aca="false">IF(AND(ISNUMBER(G83),ISNUMBER(G91)),IF(AND(G83&lt;0,G91&lt;0),"Both cut",""),"")</f>
        <v/>
      </c>
      <c r="H139" s="14" t="str">
        <f aca="false">IF(AND(ISNUMBER(H83),ISNUMBER(H91)),IF(AND(H83&lt;0,H91&lt;0),"Both cut",""),"")</f>
        <v/>
      </c>
      <c r="I139" s="14" t="str">
        <f aca="false">IF(AND(ISNUMBER(I83),ISNUMBER(I91)),IF(AND(I83&lt;0,I91&lt;0),"Both cut",""),"")</f>
        <v/>
      </c>
      <c r="J139" s="14" t="str">
        <f aca="false">IF(AND(ISNUMBER(J83),ISNUMBER(J91)),IF(AND(J83&lt;0,J91&lt;0),"Both cut",""),"")</f>
        <v/>
      </c>
      <c r="K139" s="14" t="str">
        <f aca="false">IF(AND(ISNUMBER(K83),ISNUMBER(K91)),IF(AND(K83&lt;0,K91&lt;0),"Both cut",""),"")</f>
        <v/>
      </c>
      <c r="L139" s="14" t="str">
        <f aca="false">IF(AND(ISNUMBER(L83),ISNUMBER(L91)),IF(AND(L83&lt;0,L91&lt;0),"Both cut",""),"")</f>
        <v/>
      </c>
      <c r="M139" s="14" t="str">
        <f aca="false">IF(AND(ISNUMBER(M83),ISNUMBER(M91)),IF(AND(M83&lt;0,M91&lt;0),"Both cut",""),"")</f>
        <v/>
      </c>
      <c r="N139" s="14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469</v>
      </c>
      <c r="F140" s="14" t="str">
        <f aca="false">IF(AND(ISNUMBER(F84),ISNUMBER(F92)),IF(AND(F84&lt;0,F92&lt;0),"Both cut",""),"")</f>
        <v/>
      </c>
      <c r="G140" s="14" t="str">
        <f aca="false">IF(AND(ISNUMBER(G84),ISNUMBER(G92)),IF(AND(G84&lt;0,G92&lt;0),"Both cut",""),"")</f>
        <v/>
      </c>
      <c r="H140" s="14" t="str">
        <f aca="false">IF(AND(ISNUMBER(H84),ISNUMBER(H92)),IF(AND(H84&lt;0,H92&lt;0),"Both cut",""),"")</f>
        <v/>
      </c>
      <c r="I140" s="14" t="str">
        <f aca="false">IF(AND(ISNUMBER(I84),ISNUMBER(I92)),IF(AND(I84&lt;0,I92&lt;0),"Both cut",""),"")</f>
        <v/>
      </c>
      <c r="J140" s="14" t="str">
        <f aca="false">IF(AND(ISNUMBER(J84),ISNUMBER(J92)),IF(AND(J84&lt;0,J92&lt;0),"Both cut",""),"")</f>
        <v/>
      </c>
      <c r="K140" s="14" t="str">
        <f aca="false">IF(AND(ISNUMBER(K84),ISNUMBER(K92)),IF(AND(K84&lt;0,K92&lt;0),"Both cut",""),"")</f>
        <v/>
      </c>
      <c r="L140" s="14" t="str">
        <f aca="false">IF(AND(ISNUMBER(L84),ISNUMBER(L92)),IF(AND(L84&lt;0,L92&lt;0),"Both cut",""),"")</f>
        <v/>
      </c>
      <c r="M140" s="14" t="str">
        <f aca="false">IF(AND(ISNUMBER(M84),ISNUMBER(M92)),IF(AND(M84&lt;0,M92&lt;0),"Both cut",""),"")</f>
        <v/>
      </c>
      <c r="N140" s="14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470</v>
      </c>
      <c r="F141" s="14" t="str">
        <f aca="false">IF(AND(ISNUMBER(F85),ISNUMBER(F93)),IF(AND(F85&lt;0,F93&lt;0),"Both cut",""),"")</f>
        <v/>
      </c>
      <c r="G141" s="14" t="str">
        <f aca="false">IF(AND(ISNUMBER(G85),ISNUMBER(G93)),IF(AND(G85&lt;0,G93&lt;0),"Both cut",""),"")</f>
        <v/>
      </c>
      <c r="H141" s="14" t="str">
        <f aca="false">IF(AND(ISNUMBER(H85),ISNUMBER(H93)),IF(AND(H85&lt;0,H93&lt;0),"Both cut",""),"")</f>
        <v/>
      </c>
      <c r="I141" s="14" t="str">
        <f aca="false">IF(AND(ISNUMBER(I85),ISNUMBER(I93)),IF(AND(I85&lt;0,I93&lt;0),"Both cut",""),"")</f>
        <v/>
      </c>
      <c r="J141" s="14" t="str">
        <f aca="false">IF(AND(ISNUMBER(J85),ISNUMBER(J93)),IF(AND(J85&lt;0,J93&lt;0),"Both cut",""),"")</f>
        <v/>
      </c>
      <c r="K141" s="14" t="str">
        <f aca="false">IF(AND(ISNUMBER(K85),ISNUMBER(K93)),IF(AND(K85&lt;0,K93&lt;0),"Both cut",""),"")</f>
        <v/>
      </c>
      <c r="L141" s="14" t="str">
        <f aca="false">IF(AND(ISNUMBER(L85),ISNUMBER(L93)),IF(AND(L85&lt;0,L93&lt;0),"Both cut",""),"")</f>
        <v/>
      </c>
      <c r="M141" s="14" t="str">
        <f aca="false">IF(AND(ISNUMBER(M85),ISNUMBER(M93)),IF(AND(M85&lt;0,M93&lt;0),"Both cut",""),"")</f>
        <v/>
      </c>
      <c r="N141" s="14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35" t="s">
        <v>471</v>
      </c>
    </row>
    <row r="144" customFormat="false" ht="15" hidden="false" customHeight="false" outlineLevel="0" collapsed="false">
      <c r="B144" s="35" t="s">
        <v>472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473</v>
      </c>
    </row>
    <row r="2" customFormat="false" ht="15" hidden="false" customHeight="false" outlineLevel="0" collapsed="false">
      <c r="A2" s="3" t="s">
        <v>474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475</v>
      </c>
      <c r="B5" s="8" t="s">
        <v>244</v>
      </c>
      <c r="C5" s="8" t="s">
        <v>476</v>
      </c>
      <c r="D5" s="8" t="s">
        <v>477</v>
      </c>
      <c r="E5" s="8" t="s">
        <v>478</v>
      </c>
    </row>
    <row r="6" customFormat="false" ht="15" hidden="false" customHeight="false" outlineLevel="0" collapsed="false">
      <c r="A6" s="5" t="s">
        <v>479</v>
      </c>
      <c r="B6" s="36" t="n">
        <v>1.85</v>
      </c>
      <c r="C6" s="36" t="n">
        <v>2</v>
      </c>
      <c r="D6" s="37" t="n">
        <f aca="false">IF(AND(ISNUMBER(B6),ISNUMBER(C6)),B6-C6,"")</f>
        <v>-0.15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480</v>
      </c>
      <c r="B7" s="22" t="n">
        <v>0.142</v>
      </c>
      <c r="C7" s="22" t="n">
        <v>0.15</v>
      </c>
      <c r="D7" s="38" t="n">
        <f aca="false">IF(AND(ISNUMBER(B7),ISNUMBER(C7)),B7-C7,"")</f>
        <v>-0.00800000000000001</v>
      </c>
      <c r="E7" s="14" t="str">
        <f aca="false">IF(D7="","",IF(D7&gt;=0,"Yes","No"))</f>
        <v>No</v>
      </c>
    </row>
    <row r="8" customFormat="false" ht="15" hidden="false" customHeight="false" outlineLevel="0" collapsed="false">
      <c r="A8" s="5" t="s">
        <v>481</v>
      </c>
      <c r="B8" s="36" t="n">
        <v>22.4</v>
      </c>
      <c r="C8" s="36" t="n">
        <v>25</v>
      </c>
      <c r="D8" s="37" t="n">
        <f aca="false">IF(AND(ISNUMBER(B8),ISNUMBER(C8)),B8-C8,"")</f>
        <v>-2.6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482</v>
      </c>
      <c r="B9" s="9" t="s">
        <v>483</v>
      </c>
      <c r="C9" s="9" t="s">
        <v>484</v>
      </c>
      <c r="D9" s="39" t="n">
        <f aca="false">IF(OR(B9="",C9=""),"",IFERROR(MATCH(C9,CreditScale,0)-MATCH(B9,CreditScale,0),""))</f>
        <v>-2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485</v>
      </c>
      <c r="B10" s="30" t="n">
        <v>68</v>
      </c>
      <c r="C10" s="30" t="n">
        <v>70</v>
      </c>
      <c r="D10" s="10" t="n">
        <f aca="false">IF(AND(ISNUMBER(B10),ISNUMBER(C10)),B10-C10,"")</f>
        <v>-2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486</v>
      </c>
      <c r="B12" s="8" t="s">
        <v>487</v>
      </c>
    </row>
    <row r="13" customFormat="false" ht="15" hidden="false" customHeight="false" outlineLevel="0" collapsed="false">
      <c r="A13" s="5" t="s">
        <v>488</v>
      </c>
      <c r="B13" s="30" t="n">
        <v>78</v>
      </c>
    </row>
    <row r="14" customFormat="false" ht="15" hidden="false" customHeight="false" outlineLevel="0" collapsed="false">
      <c r="A14" s="5" t="s">
        <v>489</v>
      </c>
      <c r="B14" s="30" t="n">
        <v>3</v>
      </c>
    </row>
    <row r="15" customFormat="false" ht="15" hidden="false" customHeight="false" outlineLevel="0" collapsed="false">
      <c r="A15" s="5" t="s">
        <v>490</v>
      </c>
      <c r="B15" s="23" t="n">
        <v>412000</v>
      </c>
    </row>
    <row r="16" customFormat="false" ht="15" hidden="false" customHeight="false" outlineLevel="0" collapsed="false">
      <c r="A16" s="5" t="s">
        <v>491</v>
      </c>
      <c r="B16" s="23" t="n">
        <v>18500</v>
      </c>
    </row>
    <row r="17" customFormat="false" ht="15" hidden="false" customHeight="false" outlineLevel="0" collapsed="false">
      <c r="A17" s="5" t="s">
        <v>492</v>
      </c>
      <c r="B17" s="23" t="n">
        <v>14200</v>
      </c>
    </row>
    <row r="19" customFormat="false" ht="30" hidden="false" customHeight="true" outlineLevel="0" collapsed="false">
      <c r="A19" s="8" t="s">
        <v>493</v>
      </c>
      <c r="B19" s="8" t="s">
        <v>494</v>
      </c>
      <c r="C19" s="8" t="s">
        <v>495</v>
      </c>
    </row>
    <row r="20" customFormat="false" ht="15" hidden="false" customHeight="false" outlineLevel="0" collapsed="false">
      <c r="A20" s="5" t="s">
        <v>496</v>
      </c>
      <c r="B20" s="23" t="n">
        <v>1450</v>
      </c>
      <c r="C20" s="23" t="n">
        <v>120</v>
      </c>
    </row>
    <row r="21" customFormat="false" ht="15" hidden="false" customHeight="false" outlineLevel="0" collapsed="false">
      <c r="A21" s="5" t="s">
        <v>497</v>
      </c>
      <c r="B21" s="24" t="n">
        <v>264</v>
      </c>
      <c r="C21" s="24" t="n">
        <v>1237</v>
      </c>
    </row>
    <row r="22" customFormat="false" ht="15" hidden="false" customHeight="false" outlineLevel="0" collapsed="false">
      <c r="A22" s="5" t="s">
        <v>498</v>
      </c>
      <c r="B22" s="13" t="n">
        <v>4</v>
      </c>
      <c r="C22" s="13" t="n">
        <v>4.2</v>
      </c>
    </row>
    <row r="23" customFormat="false" ht="15" hidden="false" customHeight="false" outlineLevel="0" collapsed="false">
      <c r="A23" s="5" t="s">
        <v>499</v>
      </c>
      <c r="B23" s="24" t="n">
        <v>182</v>
      </c>
      <c r="C23" s="24" t="n">
        <v>905</v>
      </c>
    </row>
    <row r="24" customFormat="false" ht="15" hidden="false" customHeight="false" outlineLevel="0" collapsed="false">
      <c r="A24" s="5" t="s">
        <v>500</v>
      </c>
      <c r="B24" s="22" t="n">
        <v>0.11</v>
      </c>
      <c r="C24" s="22" t="n">
        <v>0.09</v>
      </c>
    </row>
    <row r="25" customFormat="false" ht="15" hidden="false" customHeight="false" outlineLevel="0" collapsed="false">
      <c r="A25" s="5" t="s">
        <v>501</v>
      </c>
      <c r="B25" s="24" t="n">
        <v>276</v>
      </c>
      <c r="C25" s="24" t="n">
        <v>1195</v>
      </c>
    </row>
    <row r="26" customFormat="false" ht="15" hidden="false" customHeight="false" outlineLevel="0" collapsed="false">
      <c r="A26" s="5" t="s">
        <v>502</v>
      </c>
      <c r="B26" s="13" t="n">
        <v>4</v>
      </c>
      <c r="C26" s="13" t="n">
        <v>4.1</v>
      </c>
    </row>
    <row r="27" customFormat="false" ht="15" hidden="false" customHeight="false" outlineLevel="0" collapsed="false">
      <c r="A27" s="5" t="s">
        <v>503</v>
      </c>
      <c r="B27" s="24" t="n">
        <v>186</v>
      </c>
      <c r="C27" s="24" t="n">
        <v>890</v>
      </c>
    </row>
    <row r="28" customFormat="false" ht="15" hidden="false" customHeight="false" outlineLevel="0" collapsed="false">
      <c r="A28" s="11" t="s">
        <v>504</v>
      </c>
      <c r="B28" s="40" t="n">
        <f aca="false">IF(AND(ISNUMBER(B21),ISNUMBER(B25)),B21/B25-1,"")</f>
        <v>-0.0434782608695652</v>
      </c>
      <c r="C28" s="40" t="n">
        <f aca="false">IF(AND(ISNUMBER(C21),ISNUMBER(C25)),C21/C25-1,"")</f>
        <v>0.0351464435146442</v>
      </c>
    </row>
    <row r="29" customFormat="false" ht="15" hidden="false" customHeight="false" outlineLevel="0" collapsed="false">
      <c r="A29" s="11" t="s">
        <v>505</v>
      </c>
      <c r="B29" s="40" t="n">
        <f aca="false">IF(AND(ISNUMBER(B23),ISNUMBER(B27)),B23/B27-1,"")</f>
        <v>-0.021505376344086</v>
      </c>
      <c r="C29" s="40" t="n">
        <f aca="false">IF(AND(ISNUMBER(C23),ISNUMBER(C27)),C23/C27-1,"")</f>
        <v>0.0168539325842696</v>
      </c>
    </row>
    <row r="31" customFormat="false" ht="30" hidden="false" customHeight="true" outlineLevel="0" collapsed="false">
      <c r="A31" s="8" t="s">
        <v>506</v>
      </c>
      <c r="B31" s="8" t="s">
        <v>494</v>
      </c>
      <c r="C31" s="8" t="s">
        <v>495</v>
      </c>
    </row>
    <row r="32" customFormat="false" ht="15" hidden="false" customHeight="false" outlineLevel="0" collapsed="false">
      <c r="A32" s="5" t="s">
        <v>507</v>
      </c>
      <c r="B32" s="13" t="n">
        <v>12</v>
      </c>
      <c r="C32" s="13" t="n">
        <v>12</v>
      </c>
    </row>
    <row r="33" customFormat="false" ht="15" hidden="false" customHeight="false" outlineLevel="0" collapsed="false">
      <c r="A33" s="5" t="s">
        <v>508</v>
      </c>
      <c r="B33" s="13" t="n">
        <v>11.5</v>
      </c>
      <c r="C33" s="13" t="n">
        <v>12.6</v>
      </c>
    </row>
    <row r="34" customFormat="false" ht="15" hidden="false" customHeight="false" outlineLevel="0" collapsed="false">
      <c r="A34" s="5" t="s">
        <v>509</v>
      </c>
      <c r="B34" s="13" t="n">
        <v>12.4</v>
      </c>
      <c r="C34" s="13" t="n">
        <v>11.1</v>
      </c>
    </row>
    <row r="35" customFormat="false" ht="15" hidden="false" customHeight="false" outlineLevel="0" collapsed="false">
      <c r="A35" s="5" t="s">
        <v>510</v>
      </c>
      <c r="B35" s="13" t="n">
        <v>13</v>
      </c>
      <c r="C35" s="13" t="n">
        <v>12.2</v>
      </c>
    </row>
    <row r="36" customFormat="false" ht="15" hidden="false" customHeight="false" outlineLevel="0" collapsed="false">
      <c r="A36" s="11" t="s">
        <v>511</v>
      </c>
      <c r="B36" s="12" t="n">
        <f aca="false">IF(COUNT(B32:B35)=0,"",AVERAGE(B32:B35))</f>
        <v>12.225</v>
      </c>
      <c r="C36" s="12" t="n">
        <f aca="false">IF(COUNT(C32:C35)=0,"",AVERAGE(C32:C35))</f>
        <v>11.975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512</v>
      </c>
    </row>
    <row r="2" customFormat="false" ht="15" hidden="false" customHeight="false" outlineLevel="0" collapsed="false">
      <c r="A2" s="3" t="s">
        <v>474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475</v>
      </c>
      <c r="B5" s="8" t="s">
        <v>244</v>
      </c>
      <c r="C5" s="8" t="s">
        <v>476</v>
      </c>
      <c r="D5" s="8" t="s">
        <v>477</v>
      </c>
      <c r="E5" s="8" t="s">
        <v>478</v>
      </c>
    </row>
    <row r="6" customFormat="false" ht="15" hidden="false" customHeight="false" outlineLevel="0" collapsed="false">
      <c r="A6" s="5" t="s">
        <v>479</v>
      </c>
      <c r="B6" s="36" t="n">
        <v>2.1</v>
      </c>
      <c r="C6" s="36" t="n">
        <v>2.15</v>
      </c>
      <c r="D6" s="37" t="n">
        <f aca="false">IF(AND(ISNUMBER(B6),ISNUMBER(C6)),B6-C6,"")</f>
        <v>-0.0499999999999998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480</v>
      </c>
      <c r="B7" s="22" t="n">
        <v>0.155</v>
      </c>
      <c r="C7" s="22" t="n">
        <v>0.155</v>
      </c>
      <c r="D7" s="38" t="n">
        <f aca="false">IF(AND(ISNUMBER(B7),ISNUMBER(C7)),B7-C7,"")</f>
        <v>0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481</v>
      </c>
      <c r="B8" s="36" t="n">
        <v>26.1</v>
      </c>
      <c r="C8" s="36" t="n">
        <v>27</v>
      </c>
      <c r="D8" s="37" t="n">
        <f aca="false">IF(AND(ISNUMBER(B8),ISNUMBER(C8)),B8-C8,"")</f>
        <v>-0.899999999999999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482</v>
      </c>
      <c r="B9" s="9" t="s">
        <v>513</v>
      </c>
      <c r="C9" s="9" t="s">
        <v>484</v>
      </c>
      <c r="D9" s="39" t="n">
        <f aca="false">IF(OR(B9="",C9=""),"",IFERROR(MATCH(C9,CreditScale,0)-MATCH(B9,CreditScale,0),""))</f>
        <v>-1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485</v>
      </c>
      <c r="B10" s="30" t="n">
        <v>71</v>
      </c>
      <c r="C10" s="30" t="n">
        <v>72</v>
      </c>
      <c r="D10" s="10" t="n">
        <f aca="false">IF(AND(ISNUMBER(B10),ISNUMBER(C10)),B10-C10,"")</f>
        <v>-1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486</v>
      </c>
      <c r="B12" s="8" t="s">
        <v>487</v>
      </c>
    </row>
    <row r="13" customFormat="false" ht="15" hidden="false" customHeight="false" outlineLevel="0" collapsed="false">
      <c r="A13" s="5" t="s">
        <v>488</v>
      </c>
      <c r="B13" s="30" t="n">
        <v>84</v>
      </c>
    </row>
    <row r="14" customFormat="false" ht="15" hidden="false" customHeight="false" outlineLevel="0" collapsed="false">
      <c r="A14" s="5" t="s">
        <v>489</v>
      </c>
      <c r="B14" s="30" t="n">
        <v>2</v>
      </c>
    </row>
    <row r="15" customFormat="false" ht="15" hidden="false" customHeight="false" outlineLevel="0" collapsed="false">
      <c r="A15" s="5" t="s">
        <v>490</v>
      </c>
      <c r="B15" s="23" t="n">
        <v>455000</v>
      </c>
    </row>
    <row r="16" customFormat="false" ht="15" hidden="false" customHeight="false" outlineLevel="0" collapsed="false">
      <c r="A16" s="5" t="s">
        <v>491</v>
      </c>
      <c r="B16" s="23" t="n">
        <v>21900</v>
      </c>
    </row>
    <row r="17" customFormat="false" ht="15" hidden="false" customHeight="false" outlineLevel="0" collapsed="false">
      <c r="A17" s="5" t="s">
        <v>492</v>
      </c>
      <c r="B17" s="23" t="n">
        <v>19800</v>
      </c>
    </row>
    <row r="19" customFormat="false" ht="30" hidden="false" customHeight="true" outlineLevel="0" collapsed="false">
      <c r="A19" s="8" t="s">
        <v>493</v>
      </c>
      <c r="B19" s="8" t="s">
        <v>494</v>
      </c>
      <c r="C19" s="8" t="s">
        <v>495</v>
      </c>
    </row>
    <row r="20" customFormat="false" ht="15" hidden="false" customHeight="false" outlineLevel="0" collapsed="false">
      <c r="A20" s="5" t="s">
        <v>496</v>
      </c>
      <c r="B20" s="23" t="n">
        <v>1610</v>
      </c>
      <c r="C20" s="23" t="n">
        <v>131</v>
      </c>
    </row>
    <row r="21" customFormat="false" ht="15" hidden="false" customHeight="false" outlineLevel="0" collapsed="false">
      <c r="A21" s="5" t="s">
        <v>497</v>
      </c>
      <c r="B21" s="24" t="n">
        <v>259</v>
      </c>
      <c r="C21" s="24" t="n">
        <v>1229</v>
      </c>
    </row>
    <row r="22" customFormat="false" ht="15" hidden="false" customHeight="false" outlineLevel="0" collapsed="false">
      <c r="A22" s="5" t="s">
        <v>498</v>
      </c>
      <c r="B22" s="13" t="n">
        <v>4.2</v>
      </c>
      <c r="C22" s="13" t="n">
        <v>4.4</v>
      </c>
    </row>
    <row r="23" customFormat="false" ht="15" hidden="false" customHeight="false" outlineLevel="0" collapsed="false">
      <c r="A23" s="5" t="s">
        <v>499</v>
      </c>
      <c r="B23" s="24" t="n">
        <v>176</v>
      </c>
      <c r="C23" s="24" t="n">
        <v>884</v>
      </c>
    </row>
    <row r="24" customFormat="false" ht="15" hidden="false" customHeight="false" outlineLevel="0" collapsed="false">
      <c r="A24" s="5" t="s">
        <v>500</v>
      </c>
      <c r="B24" s="22" t="n">
        <v>0.125</v>
      </c>
      <c r="C24" s="22" t="n">
        <v>0.105</v>
      </c>
    </row>
    <row r="25" customFormat="false" ht="15" hidden="false" customHeight="false" outlineLevel="0" collapsed="false">
      <c r="A25" s="5" t="s">
        <v>501</v>
      </c>
      <c r="B25" s="24" t="n">
        <v>271</v>
      </c>
      <c r="C25" s="24" t="n">
        <v>1188</v>
      </c>
    </row>
    <row r="26" customFormat="false" ht="15" hidden="false" customHeight="false" outlineLevel="0" collapsed="false">
      <c r="A26" s="5" t="s">
        <v>502</v>
      </c>
      <c r="B26" s="13" t="n">
        <v>4.1</v>
      </c>
      <c r="C26" s="13" t="n">
        <v>4.2</v>
      </c>
    </row>
    <row r="27" customFormat="false" ht="15" hidden="false" customHeight="false" outlineLevel="0" collapsed="false">
      <c r="A27" s="5" t="s">
        <v>503</v>
      </c>
      <c r="B27" s="24" t="n">
        <v>184</v>
      </c>
      <c r="C27" s="24" t="n">
        <v>879</v>
      </c>
    </row>
    <row r="28" customFormat="false" ht="15" hidden="false" customHeight="false" outlineLevel="0" collapsed="false">
      <c r="A28" s="11" t="s">
        <v>504</v>
      </c>
      <c r="B28" s="40" t="n">
        <f aca="false">IF(AND(ISNUMBER(B21),ISNUMBER(B25)),B21/B25-1,"")</f>
        <v>-0.044280442804428</v>
      </c>
      <c r="C28" s="40" t="n">
        <f aca="false">IF(AND(ISNUMBER(C21),ISNUMBER(C25)),C21/C25-1,"")</f>
        <v>0.0345117845117846</v>
      </c>
    </row>
    <row r="29" customFormat="false" ht="15" hidden="false" customHeight="false" outlineLevel="0" collapsed="false">
      <c r="A29" s="11" t="s">
        <v>505</v>
      </c>
      <c r="B29" s="40" t="n">
        <f aca="false">IF(AND(ISNUMBER(B23),ISNUMBER(B27)),B23/B27-1,"")</f>
        <v>-0.0434782608695652</v>
      </c>
      <c r="C29" s="40" t="n">
        <f aca="false">IF(AND(ISNUMBER(C23),ISNUMBER(C27)),C23/C27-1,"")</f>
        <v>0.00568828213879402</v>
      </c>
    </row>
    <row r="31" customFormat="false" ht="30" hidden="false" customHeight="true" outlineLevel="0" collapsed="false">
      <c r="A31" s="8" t="s">
        <v>506</v>
      </c>
      <c r="B31" s="8" t="s">
        <v>494</v>
      </c>
      <c r="C31" s="8" t="s">
        <v>495</v>
      </c>
    </row>
    <row r="32" customFormat="false" ht="15" hidden="false" customHeight="false" outlineLevel="0" collapsed="false">
      <c r="A32" s="5" t="s">
        <v>507</v>
      </c>
      <c r="B32" s="13" t="n">
        <v>13.1</v>
      </c>
      <c r="C32" s="13" t="n">
        <v>12.8</v>
      </c>
    </row>
    <row r="33" customFormat="false" ht="15" hidden="false" customHeight="false" outlineLevel="0" collapsed="false">
      <c r="A33" s="5" t="s">
        <v>508</v>
      </c>
      <c r="B33" s="13" t="n">
        <v>12.2</v>
      </c>
      <c r="C33" s="13" t="n">
        <v>13</v>
      </c>
    </row>
    <row r="34" customFormat="false" ht="15" hidden="false" customHeight="false" outlineLevel="0" collapsed="false">
      <c r="A34" s="5" t="s">
        <v>509</v>
      </c>
      <c r="B34" s="13" t="n">
        <v>13</v>
      </c>
      <c r="C34" s="13" t="n">
        <v>11.9</v>
      </c>
    </row>
    <row r="35" customFormat="false" ht="15" hidden="false" customHeight="false" outlineLevel="0" collapsed="false">
      <c r="A35" s="5" t="s">
        <v>510</v>
      </c>
      <c r="B35" s="13" t="n">
        <v>13.6</v>
      </c>
      <c r="C35" s="13" t="n">
        <v>12.5</v>
      </c>
    </row>
    <row r="36" customFormat="false" ht="15" hidden="false" customHeight="false" outlineLevel="0" collapsed="false">
      <c r="A36" s="11" t="s">
        <v>511</v>
      </c>
      <c r="B36" s="12" t="n">
        <f aca="false">IF(COUNT(B32:B35)=0,"",AVERAGE(B32:B35))</f>
        <v>12.975</v>
      </c>
      <c r="C36" s="12" t="n">
        <f aca="false">IF(COUNT(C32:C35)=0,"",AVERAGE(C32:C35))</f>
        <v>12.55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514</v>
      </c>
    </row>
    <row r="2" customFormat="false" ht="15" hidden="false" customHeight="false" outlineLevel="0" collapsed="false">
      <c r="A2" s="3" t="s">
        <v>474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475</v>
      </c>
      <c r="B5" s="8" t="s">
        <v>244</v>
      </c>
      <c r="C5" s="8" t="s">
        <v>476</v>
      </c>
      <c r="D5" s="8" t="s">
        <v>477</v>
      </c>
      <c r="E5" s="8" t="s">
        <v>478</v>
      </c>
    </row>
    <row r="6" customFormat="false" ht="15" hidden="false" customHeight="false" outlineLevel="0" collapsed="false">
      <c r="A6" s="5" t="s">
        <v>479</v>
      </c>
      <c r="B6" s="36" t="n">
        <v>2.32</v>
      </c>
      <c r="C6" s="36" t="n">
        <v>2.3</v>
      </c>
      <c r="D6" s="37" t="n">
        <f aca="false">IF(AND(ISNUMBER(B6),ISNUMBER(C6)),B6-C6,"")</f>
        <v>0.02</v>
      </c>
      <c r="E6" s="14" t="str">
        <f aca="false">IF(D6="","",IF(D6&gt;=0,"Yes","No"))</f>
        <v>Yes</v>
      </c>
    </row>
    <row r="7" customFormat="false" ht="15" hidden="false" customHeight="false" outlineLevel="0" collapsed="false">
      <c r="A7" s="5" t="s">
        <v>480</v>
      </c>
      <c r="B7" s="22" t="n">
        <v>0.168</v>
      </c>
      <c r="C7" s="22" t="n">
        <v>0.16</v>
      </c>
      <c r="D7" s="38" t="n">
        <f aca="false">IF(AND(ISNUMBER(B7),ISNUMBER(C7)),B7-C7,"")</f>
        <v>0.00800000000000001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481</v>
      </c>
      <c r="B8" s="36" t="n">
        <v>29.5</v>
      </c>
      <c r="C8" s="36" t="n">
        <v>29</v>
      </c>
      <c r="D8" s="37" t="n">
        <f aca="false">IF(AND(ISNUMBER(B8),ISNUMBER(C8)),B8-C8,"")</f>
        <v>0.5</v>
      </c>
      <c r="E8" s="14" t="str">
        <f aca="false">IF(D8="","",IF(D8&gt;=0,"Yes","No"))</f>
        <v>Yes</v>
      </c>
    </row>
    <row r="9" customFormat="false" ht="15" hidden="false" customHeight="false" outlineLevel="0" collapsed="false">
      <c r="A9" s="5" t="s">
        <v>482</v>
      </c>
      <c r="B9" s="9" t="s">
        <v>484</v>
      </c>
      <c r="C9" s="9" t="s">
        <v>484</v>
      </c>
      <c r="D9" s="39" t="n">
        <f aca="false">IF(OR(B9="",C9=""),"",IFERROR(MATCH(C9,CreditScale,0)-MATCH(B9,CreditScale,0),""))</f>
        <v>0</v>
      </c>
      <c r="E9" s="14" t="str">
        <f aca="false">IF(D9="","",IF(D9&gt;=0,"Yes","No"))</f>
        <v>Yes</v>
      </c>
    </row>
    <row r="10" customFormat="false" ht="15" hidden="false" customHeight="false" outlineLevel="0" collapsed="false">
      <c r="A10" s="5" t="s">
        <v>485</v>
      </c>
      <c r="B10" s="30" t="n">
        <v>74</v>
      </c>
      <c r="C10" s="30" t="n">
        <v>74</v>
      </c>
      <c r="D10" s="10" t="n">
        <f aca="false">IF(AND(ISNUMBER(B10),ISNUMBER(C10)),B10-C10,"")</f>
        <v>0</v>
      </c>
      <c r="E10" s="14" t="str">
        <f aca="false">IF(D10="","",IF(D10&gt;=0,"Yes","No"))</f>
        <v>Yes</v>
      </c>
    </row>
    <row r="12" customFormat="false" ht="30" hidden="false" customHeight="true" outlineLevel="0" collapsed="false">
      <c r="A12" s="8" t="s">
        <v>486</v>
      </c>
      <c r="B12" s="8" t="s">
        <v>487</v>
      </c>
    </row>
    <row r="13" customFormat="false" ht="15" hidden="false" customHeight="false" outlineLevel="0" collapsed="false">
      <c r="A13" s="5" t="s">
        <v>488</v>
      </c>
      <c r="B13" s="30" t="n">
        <v>89</v>
      </c>
    </row>
    <row r="14" customFormat="false" ht="15" hidden="false" customHeight="false" outlineLevel="0" collapsed="false">
      <c r="A14" s="5" t="s">
        <v>489</v>
      </c>
      <c r="B14" s="30" t="n">
        <v>1</v>
      </c>
    </row>
    <row r="15" customFormat="false" ht="15" hidden="false" customHeight="false" outlineLevel="0" collapsed="false">
      <c r="A15" s="5" t="s">
        <v>490</v>
      </c>
      <c r="B15" s="23" t="n">
        <v>498000</v>
      </c>
    </row>
    <row r="16" customFormat="false" ht="15" hidden="false" customHeight="false" outlineLevel="0" collapsed="false">
      <c r="A16" s="5" t="s">
        <v>491</v>
      </c>
      <c r="B16" s="23" t="n">
        <v>24800</v>
      </c>
    </row>
    <row r="17" customFormat="false" ht="15" hidden="false" customHeight="false" outlineLevel="0" collapsed="false">
      <c r="A17" s="5" t="s">
        <v>492</v>
      </c>
      <c r="B17" s="23" t="n">
        <v>23500</v>
      </c>
    </row>
    <row r="19" customFormat="false" ht="30" hidden="false" customHeight="true" outlineLevel="0" collapsed="false">
      <c r="A19" s="8" t="s">
        <v>493</v>
      </c>
      <c r="B19" s="8" t="s">
        <v>494</v>
      </c>
      <c r="C19" s="8" t="s">
        <v>495</v>
      </c>
    </row>
    <row r="20" customFormat="false" ht="15" hidden="false" customHeight="false" outlineLevel="0" collapsed="false">
      <c r="A20" s="5" t="s">
        <v>496</v>
      </c>
      <c r="B20" s="23" t="n">
        <v>1720</v>
      </c>
      <c r="C20" s="23" t="n">
        <v>142</v>
      </c>
    </row>
    <row r="21" customFormat="false" ht="15" hidden="false" customHeight="false" outlineLevel="0" collapsed="false">
      <c r="A21" s="5" t="s">
        <v>497</v>
      </c>
      <c r="B21" s="24" t="n">
        <v>255</v>
      </c>
      <c r="C21" s="24" t="n">
        <v>1219</v>
      </c>
    </row>
    <row r="22" customFormat="false" ht="15" hidden="false" customHeight="false" outlineLevel="0" collapsed="false">
      <c r="A22" s="5" t="s">
        <v>498</v>
      </c>
      <c r="B22" s="13" t="n">
        <v>4.3</v>
      </c>
      <c r="C22" s="13" t="n">
        <v>4.6</v>
      </c>
    </row>
    <row r="23" customFormat="false" ht="15" hidden="false" customHeight="false" outlineLevel="0" collapsed="false">
      <c r="A23" s="5" t="s">
        <v>499</v>
      </c>
      <c r="B23" s="24" t="n">
        <v>171</v>
      </c>
      <c r="C23" s="24" t="n">
        <v>870</v>
      </c>
    </row>
    <row r="24" customFormat="false" ht="15" hidden="false" customHeight="false" outlineLevel="0" collapsed="false">
      <c r="A24" s="5" t="s">
        <v>500</v>
      </c>
      <c r="B24" s="22" t="n">
        <v>0.135</v>
      </c>
      <c r="C24" s="22" t="n">
        <v>0.112</v>
      </c>
    </row>
    <row r="25" customFormat="false" ht="15" hidden="false" customHeight="false" outlineLevel="0" collapsed="false">
      <c r="A25" s="5" t="s">
        <v>501</v>
      </c>
      <c r="B25" s="24" t="n">
        <v>268</v>
      </c>
      <c r="C25" s="24" t="n">
        <v>1181</v>
      </c>
    </row>
    <row r="26" customFormat="false" ht="15" hidden="false" customHeight="false" outlineLevel="0" collapsed="false">
      <c r="A26" s="5" t="s">
        <v>502</v>
      </c>
      <c r="B26" s="13" t="n">
        <v>4.2</v>
      </c>
      <c r="C26" s="13" t="n">
        <v>4.3</v>
      </c>
    </row>
    <row r="27" customFormat="false" ht="15" hidden="false" customHeight="false" outlineLevel="0" collapsed="false">
      <c r="A27" s="5" t="s">
        <v>503</v>
      </c>
      <c r="B27" s="24" t="n">
        <v>181</v>
      </c>
      <c r="C27" s="24" t="n">
        <v>871</v>
      </c>
    </row>
    <row r="28" customFormat="false" ht="15" hidden="false" customHeight="false" outlineLevel="0" collapsed="false">
      <c r="A28" s="11" t="s">
        <v>504</v>
      </c>
      <c r="B28" s="40" t="n">
        <f aca="false">IF(AND(ISNUMBER(B21),ISNUMBER(B25)),B21/B25-1,"")</f>
        <v>-0.0485074626865671</v>
      </c>
      <c r="C28" s="40" t="n">
        <f aca="false">IF(AND(ISNUMBER(C21),ISNUMBER(C25)),C21/C25-1,"")</f>
        <v>0.0321761219305674</v>
      </c>
    </row>
    <row r="29" customFormat="false" ht="15" hidden="false" customHeight="false" outlineLevel="0" collapsed="false">
      <c r="A29" s="11" t="s">
        <v>505</v>
      </c>
      <c r="B29" s="40" t="n">
        <f aca="false">IF(AND(ISNUMBER(B23),ISNUMBER(B27)),B23/B27-1,"")</f>
        <v>-0.0552486187845304</v>
      </c>
      <c r="C29" s="40" t="n">
        <f aca="false">IF(AND(ISNUMBER(C23),ISNUMBER(C27)),C23/C27-1,"")</f>
        <v>-0.00114810562571754</v>
      </c>
    </row>
    <row r="31" customFormat="false" ht="30" hidden="false" customHeight="true" outlineLevel="0" collapsed="false">
      <c r="A31" s="8" t="s">
        <v>506</v>
      </c>
      <c r="B31" s="8" t="s">
        <v>494</v>
      </c>
      <c r="C31" s="8" t="s">
        <v>495</v>
      </c>
    </row>
    <row r="32" customFormat="false" ht="15" hidden="false" customHeight="false" outlineLevel="0" collapsed="false">
      <c r="A32" s="5" t="s">
        <v>507</v>
      </c>
      <c r="B32" s="13" t="n">
        <v>13.8</v>
      </c>
      <c r="C32" s="13" t="n">
        <v>13.4</v>
      </c>
    </row>
    <row r="33" customFormat="false" ht="15" hidden="false" customHeight="false" outlineLevel="0" collapsed="false">
      <c r="A33" s="5" t="s">
        <v>508</v>
      </c>
      <c r="B33" s="13" t="n">
        <v>12.9</v>
      </c>
      <c r="C33" s="13" t="n">
        <v>13.6</v>
      </c>
    </row>
    <row r="34" customFormat="false" ht="15" hidden="false" customHeight="false" outlineLevel="0" collapsed="false">
      <c r="A34" s="5" t="s">
        <v>509</v>
      </c>
      <c r="B34" s="13" t="n">
        <v>13.5</v>
      </c>
      <c r="C34" s="13" t="n">
        <v>12.5</v>
      </c>
    </row>
    <row r="35" customFormat="false" ht="15" hidden="false" customHeight="false" outlineLevel="0" collapsed="false">
      <c r="A35" s="5" t="s">
        <v>510</v>
      </c>
      <c r="B35" s="13" t="n">
        <v>14.1</v>
      </c>
      <c r="C35" s="13" t="n">
        <v>13</v>
      </c>
    </row>
    <row r="36" customFormat="false" ht="15" hidden="false" customHeight="false" outlineLevel="0" collapsed="false">
      <c r="A36" s="11" t="s">
        <v>511</v>
      </c>
      <c r="B36" s="12" t="n">
        <f aca="false">IF(COUNT(B32:B35)=0,"",AVERAGE(B32:B35))</f>
        <v>13.575</v>
      </c>
      <c r="C36" s="12" t="n">
        <f aca="false">IF(COUNT(C32:C35)=0,"",AVERAGE(C32:C35))</f>
        <v>13.125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2"/>
    <col collapsed="false" customWidth="true" hidden="true" outlineLevel="0" max="12" min="12" style="0" width="13"/>
  </cols>
  <sheetData>
    <row r="1" customFormat="false" ht="19.7" hidden="false" customHeight="false" outlineLevel="0" collapsed="false">
      <c r="A1" s="6" t="s">
        <v>515</v>
      </c>
    </row>
    <row r="2" customFormat="false" ht="15" hidden="false" customHeight="false" outlineLevel="0" collapsed="false">
      <c r="A2" s="3" t="s">
        <v>516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240</v>
      </c>
      <c r="B5" s="8" t="s">
        <v>306</v>
      </c>
      <c r="C5" s="8" t="s">
        <v>307</v>
      </c>
      <c r="D5" s="8" t="s">
        <v>308</v>
      </c>
    </row>
    <row r="6" customFormat="false" ht="15" hidden="false" customHeight="false" outlineLevel="0" collapsed="false">
      <c r="A6" s="11" t="s">
        <v>517</v>
      </c>
      <c r="B6" s="37" t="n">
        <f aca="false">IF('Y6 Results'!B6="","",'Y6 Results'!B6)</f>
        <v>1.85</v>
      </c>
      <c r="C6" s="37" t="n">
        <f aca="false">IF('Y7 Results'!B6="","",'Y7 Results'!B6)</f>
        <v>2.1</v>
      </c>
      <c r="D6" s="37" t="n">
        <f aca="false">IF('Y8 Results'!B6="","",'Y8 Results'!B6)</f>
        <v>2.32</v>
      </c>
      <c r="L6" s="41" t="s">
        <v>518</v>
      </c>
    </row>
    <row r="7" customFormat="false" ht="15" hidden="false" customHeight="false" outlineLevel="0" collapsed="false">
      <c r="A7" s="5" t="s">
        <v>519</v>
      </c>
      <c r="B7" s="37" t="n">
        <f aca="false">IF('Y6 Results'!C6="","",'Y6 Results'!C6)</f>
        <v>2</v>
      </c>
      <c r="C7" s="37" t="n">
        <f aca="false">IF('Y7 Results'!C6="","",'Y7 Results'!C6)</f>
        <v>2.15</v>
      </c>
      <c r="D7" s="37" t="n">
        <f aca="false">IF('Y8 Results'!C6="","",'Y8 Results'!C6)</f>
        <v>2.3</v>
      </c>
      <c r="L7" s="41" t="s">
        <v>520</v>
      </c>
    </row>
    <row r="8" customFormat="false" ht="15" hidden="false" customHeight="false" outlineLevel="0" collapsed="false">
      <c r="A8" s="11" t="s">
        <v>521</v>
      </c>
      <c r="B8" s="38" t="n">
        <f aca="false">IF('Y6 Results'!B7="","",'Y6 Results'!B7)</f>
        <v>0.142</v>
      </c>
      <c r="C8" s="38" t="n">
        <f aca="false">IF('Y7 Results'!B7="","",'Y7 Results'!B7)</f>
        <v>0.155</v>
      </c>
      <c r="D8" s="38" t="n">
        <f aca="false">IF('Y8 Results'!B7="","",'Y8 Results'!B7)</f>
        <v>0.168</v>
      </c>
      <c r="L8" s="41" t="s">
        <v>522</v>
      </c>
    </row>
    <row r="9" customFormat="false" ht="15" hidden="false" customHeight="false" outlineLevel="0" collapsed="false">
      <c r="A9" s="5" t="s">
        <v>523</v>
      </c>
      <c r="B9" s="38" t="n">
        <f aca="false">IF('Y6 Results'!C7="","",'Y6 Results'!C7)</f>
        <v>0.15</v>
      </c>
      <c r="C9" s="38" t="n">
        <f aca="false">IF('Y7 Results'!C7="","",'Y7 Results'!C7)</f>
        <v>0.155</v>
      </c>
      <c r="D9" s="38" t="n">
        <f aca="false">IF('Y8 Results'!C7="","",'Y8 Results'!C7)</f>
        <v>0.16</v>
      </c>
      <c r="L9" s="41" t="s">
        <v>524</v>
      </c>
    </row>
    <row r="10" customFormat="false" ht="15" hidden="false" customHeight="false" outlineLevel="0" collapsed="false">
      <c r="A10" s="11" t="s">
        <v>481</v>
      </c>
      <c r="B10" s="37" t="n">
        <f aca="false">IF('Y6 Results'!B8="","",'Y6 Results'!B8)</f>
        <v>22.4</v>
      </c>
      <c r="C10" s="37" t="n">
        <f aca="false">IF('Y7 Results'!B8="","",'Y7 Results'!B8)</f>
        <v>26.1</v>
      </c>
      <c r="D10" s="37" t="n">
        <f aca="false">IF('Y8 Results'!B8="","",'Y8 Results'!B8)</f>
        <v>29.5</v>
      </c>
      <c r="L10" s="41" t="s">
        <v>525</v>
      </c>
    </row>
    <row r="11" customFormat="false" ht="15" hidden="false" customHeight="false" outlineLevel="0" collapsed="false">
      <c r="A11" s="5" t="s">
        <v>526</v>
      </c>
      <c r="B11" s="37" t="n">
        <f aca="false">IF('Y6 Results'!C8="","",'Y6 Results'!C8)</f>
        <v>25</v>
      </c>
      <c r="C11" s="37" t="n">
        <f aca="false">IF('Y7 Results'!C8="","",'Y7 Results'!C8)</f>
        <v>27</v>
      </c>
      <c r="D11" s="37" t="n">
        <f aca="false">IF('Y8 Results'!C8="","",'Y8 Results'!C8)</f>
        <v>29</v>
      </c>
      <c r="L11" s="41" t="s">
        <v>289</v>
      </c>
    </row>
    <row r="12" customFormat="false" ht="15" hidden="false" customHeight="false" outlineLevel="0" collapsed="false">
      <c r="A12" s="11" t="s">
        <v>482</v>
      </c>
      <c r="B12" s="14" t="str">
        <f aca="false">IF('Y6 Results'!B9="","",'Y6 Results'!B9)</f>
        <v>B+</v>
      </c>
      <c r="C12" s="14" t="str">
        <f aca="false">IF('Y7 Results'!B9="","",'Y7 Results'!B9)</f>
        <v>BB-</v>
      </c>
      <c r="D12" s="14" t="str">
        <f aca="false">IF('Y8 Results'!B9="","",'Y8 Results'!B9)</f>
        <v>BB</v>
      </c>
      <c r="L12" s="41" t="s">
        <v>527</v>
      </c>
    </row>
    <row r="13" customFormat="false" ht="15" hidden="false" customHeight="false" outlineLevel="0" collapsed="false">
      <c r="A13" s="11" t="s">
        <v>528</v>
      </c>
      <c r="B13" s="10" t="n">
        <f aca="false">IF(B12="","",IFERROR(22-MATCH(B12,CreditScale,0),""))</f>
        <v>8</v>
      </c>
      <c r="C13" s="10" t="n">
        <f aca="false">IF(C12="","",IFERROR(22-MATCH(C12,CreditScale,0),""))</f>
        <v>9</v>
      </c>
      <c r="D13" s="10" t="n">
        <f aca="false">IF(D12="","",IFERROR(22-MATCH(D12,CreditScale,0),""))</f>
        <v>10</v>
      </c>
      <c r="L13" s="41" t="s">
        <v>529</v>
      </c>
    </row>
    <row r="14" customFormat="false" ht="15" hidden="false" customHeight="false" outlineLevel="0" collapsed="false">
      <c r="A14" s="11" t="s">
        <v>485</v>
      </c>
      <c r="B14" s="10" t="n">
        <f aca="false">IF('Y6 Results'!B10="","",'Y6 Results'!B10)</f>
        <v>68</v>
      </c>
      <c r="C14" s="10" t="n">
        <f aca="false">IF('Y7 Results'!B10="","",'Y7 Results'!B10)</f>
        <v>71</v>
      </c>
      <c r="D14" s="10" t="n">
        <f aca="false">IF('Y8 Results'!B10="","",'Y8 Results'!B10)</f>
        <v>74</v>
      </c>
      <c r="L14" s="41" t="s">
        <v>530</v>
      </c>
    </row>
    <row r="15" customFormat="false" ht="15" hidden="false" customHeight="false" outlineLevel="0" collapsed="false">
      <c r="A15" s="5" t="s">
        <v>531</v>
      </c>
      <c r="B15" s="10" t="n">
        <f aca="false">IF('Y6 Results'!C10="","",'Y6 Results'!C10)</f>
        <v>70</v>
      </c>
      <c r="C15" s="10" t="n">
        <f aca="false">IF('Y7 Results'!C10="","",'Y7 Results'!C10)</f>
        <v>72</v>
      </c>
      <c r="D15" s="10" t="n">
        <f aca="false">IF('Y8 Results'!C10="","",'Y8 Results'!C10)</f>
        <v>74</v>
      </c>
      <c r="L15" s="41" t="s">
        <v>532</v>
      </c>
    </row>
    <row r="16" customFormat="false" ht="15" hidden="false" customHeight="false" outlineLevel="0" collapsed="false">
      <c r="A16" s="11" t="s">
        <v>533</v>
      </c>
      <c r="B16" s="10" t="n">
        <f aca="false">IF('Y6 Results'!B13="","",'Y6 Results'!B13)</f>
        <v>78</v>
      </c>
      <c r="C16" s="10" t="n">
        <f aca="false">IF('Y7 Results'!B13="","",'Y7 Results'!B13)</f>
        <v>84</v>
      </c>
      <c r="D16" s="10" t="n">
        <f aca="false">IF('Y8 Results'!B13="","",'Y8 Results'!B13)</f>
        <v>89</v>
      </c>
      <c r="L16" s="41" t="s">
        <v>534</v>
      </c>
    </row>
    <row r="17" customFormat="false" ht="15" hidden="false" customHeight="false" outlineLevel="0" collapsed="false">
      <c r="A17" s="11" t="s">
        <v>114</v>
      </c>
      <c r="B17" s="10" t="n">
        <f aca="false">IF('Y6 Results'!B14="","",'Y6 Results'!B14)</f>
        <v>3</v>
      </c>
      <c r="C17" s="10" t="n">
        <f aca="false">IF('Y7 Results'!B14="","",'Y7 Results'!B14)</f>
        <v>2</v>
      </c>
      <c r="D17" s="10" t="n">
        <f aca="false">IF('Y8 Results'!B14="","",'Y8 Results'!B14)</f>
        <v>1</v>
      </c>
      <c r="L17" s="41" t="s">
        <v>484</v>
      </c>
    </row>
    <row r="18" customFormat="false" ht="15" hidden="false" customHeight="false" outlineLevel="0" collapsed="false">
      <c r="A18" s="11" t="s">
        <v>490</v>
      </c>
      <c r="B18" s="42" t="n">
        <f aca="false">IF('Y6 Results'!B15="","",'Y6 Results'!B15)</f>
        <v>412000</v>
      </c>
      <c r="C18" s="42" t="n">
        <f aca="false">IF('Y7 Results'!B15="","",'Y7 Results'!B15)</f>
        <v>455000</v>
      </c>
      <c r="D18" s="42" t="n">
        <f aca="false">IF('Y8 Results'!B15="","",'Y8 Results'!B15)</f>
        <v>498000</v>
      </c>
      <c r="L18" s="41" t="s">
        <v>513</v>
      </c>
    </row>
    <row r="19" customFormat="false" ht="15" hidden="false" customHeight="false" outlineLevel="0" collapsed="false">
      <c r="A19" s="11" t="s">
        <v>491</v>
      </c>
      <c r="B19" s="42" t="n">
        <f aca="false">IF('Y6 Results'!B16="","",'Y6 Results'!B16)</f>
        <v>18500</v>
      </c>
      <c r="C19" s="42" t="n">
        <f aca="false">IF('Y7 Results'!B16="","",'Y7 Results'!B16)</f>
        <v>21900</v>
      </c>
      <c r="D19" s="42" t="n">
        <f aca="false">IF('Y8 Results'!B16="","",'Y8 Results'!B16)</f>
        <v>24800</v>
      </c>
      <c r="L19" s="41" t="s">
        <v>483</v>
      </c>
    </row>
    <row r="20" customFormat="false" ht="15" hidden="false" customHeight="false" outlineLevel="0" collapsed="false">
      <c r="A20" s="11" t="s">
        <v>492</v>
      </c>
      <c r="B20" s="42" t="n">
        <f aca="false">IF('Y6 Results'!B17="","",'Y6 Results'!B17)</f>
        <v>14200</v>
      </c>
      <c r="C20" s="42" t="n">
        <f aca="false">IF('Y7 Results'!B17="","",'Y7 Results'!B17)</f>
        <v>19800</v>
      </c>
      <c r="D20" s="42" t="n">
        <f aca="false">IF('Y8 Results'!B17="","",'Y8 Results'!B17)</f>
        <v>23500</v>
      </c>
      <c r="L20" s="41" t="s">
        <v>291</v>
      </c>
    </row>
    <row r="21" customFormat="false" ht="15" hidden="false" customHeight="false" outlineLevel="0" collapsed="false">
      <c r="A21" s="11" t="s">
        <v>535</v>
      </c>
      <c r="B21" s="12" t="n">
        <f aca="false">IF('Y6 Results'!B36="","",'Y6 Results'!B36)</f>
        <v>12.225</v>
      </c>
      <c r="C21" s="12" t="n">
        <f aca="false">IF('Y7 Results'!B36="","",'Y7 Results'!B36)</f>
        <v>12.975</v>
      </c>
      <c r="D21" s="12" t="n">
        <f aca="false">IF('Y8 Results'!B36="","",'Y8 Results'!B36)</f>
        <v>13.575</v>
      </c>
      <c r="L21" s="41" t="s">
        <v>536</v>
      </c>
    </row>
    <row r="22" customFormat="false" ht="15" hidden="false" customHeight="false" outlineLevel="0" collapsed="false">
      <c r="A22" s="11" t="s">
        <v>537</v>
      </c>
      <c r="B22" s="12" t="n">
        <f aca="false">IF('Y6 Results'!C36="","",'Y6 Results'!C36)</f>
        <v>11.975</v>
      </c>
      <c r="C22" s="12" t="n">
        <f aca="false">IF('Y7 Results'!C36="","",'Y7 Results'!C36)</f>
        <v>12.55</v>
      </c>
      <c r="D22" s="12" t="n">
        <f aca="false">IF('Y8 Results'!C36="","",'Y8 Results'!C36)</f>
        <v>13.125</v>
      </c>
      <c r="L22" s="41" t="s">
        <v>538</v>
      </c>
    </row>
    <row r="23" customFormat="false" ht="15" hidden="false" customHeight="false" outlineLevel="0" collapsed="false">
      <c r="A23" s="11" t="s">
        <v>539</v>
      </c>
      <c r="B23" s="31" t="n">
        <f aca="false">IF('Y6 Results'!B23="","",'Y6 Results'!B23)</f>
        <v>182</v>
      </c>
      <c r="C23" s="31" t="n">
        <f aca="false">IF('Y7 Results'!B23="","",'Y7 Results'!B23)</f>
        <v>176</v>
      </c>
      <c r="D23" s="31" t="n">
        <f aca="false">IF('Y8 Results'!B23="","",'Y8 Results'!B23)</f>
        <v>171</v>
      </c>
      <c r="L23" s="41" t="s">
        <v>540</v>
      </c>
    </row>
    <row r="24" customFormat="false" ht="15" hidden="false" customHeight="false" outlineLevel="0" collapsed="false">
      <c r="A24" s="5" t="s">
        <v>541</v>
      </c>
      <c r="B24" s="31" t="n">
        <f aca="false">IF('Y6 Results'!B27="","",'Y6 Results'!B27)</f>
        <v>186</v>
      </c>
      <c r="C24" s="31" t="n">
        <f aca="false">IF('Y7 Results'!B27="","",'Y7 Results'!B27)</f>
        <v>184</v>
      </c>
      <c r="D24" s="31" t="n">
        <f aca="false">IF('Y8 Results'!B27="","",'Y8 Results'!B27)</f>
        <v>181</v>
      </c>
      <c r="L24" s="41" t="s">
        <v>542</v>
      </c>
    </row>
    <row r="25" customFormat="false" ht="15" hidden="false" customHeight="false" outlineLevel="0" collapsed="false">
      <c r="A25" s="11" t="s">
        <v>543</v>
      </c>
      <c r="B25" s="31" t="n">
        <f aca="false">IF('Y6 Results'!C23="","",'Y6 Results'!C23)</f>
        <v>905</v>
      </c>
      <c r="C25" s="31" t="n">
        <f aca="false">IF('Y7 Results'!C23="","",'Y7 Results'!C23)</f>
        <v>884</v>
      </c>
      <c r="D25" s="31" t="n">
        <f aca="false">IF('Y8 Results'!C23="","",'Y8 Results'!C23)</f>
        <v>870</v>
      </c>
      <c r="L25" s="41" t="s">
        <v>544</v>
      </c>
    </row>
    <row r="26" customFormat="false" ht="15" hidden="false" customHeight="false" outlineLevel="0" collapsed="false">
      <c r="A26" s="5" t="s">
        <v>545</v>
      </c>
      <c r="B26" s="31" t="n">
        <f aca="false">IF('Y6 Results'!C27="","",'Y6 Results'!C27)</f>
        <v>890</v>
      </c>
      <c r="C26" s="31" t="n">
        <f aca="false">IF('Y7 Results'!C27="","",'Y7 Results'!C27)</f>
        <v>879</v>
      </c>
      <c r="D26" s="31" t="n">
        <f aca="false">IF('Y8 Results'!C27="","",'Y8 Results'!C27)</f>
        <v>871</v>
      </c>
      <c r="L26" s="41" t="s">
        <v>292</v>
      </c>
    </row>
    <row r="27" customFormat="false" ht="15" hidden="false" customHeight="false" outlineLevel="0" collapsed="false">
      <c r="A27" s="11" t="s">
        <v>546</v>
      </c>
      <c r="B27" s="31" t="n">
        <f aca="false">IF('Y6 Results'!B21="","",'Y6 Results'!B21)</f>
        <v>264</v>
      </c>
      <c r="C27" s="31" t="n">
        <f aca="false">IF('Y7 Results'!B21="","",'Y7 Results'!B21)</f>
        <v>259</v>
      </c>
      <c r="D27" s="31" t="n">
        <f aca="false">IF('Y8 Results'!B21="","",'Y8 Results'!B21)</f>
        <v>255</v>
      </c>
    </row>
    <row r="28" customFormat="false" ht="15" hidden="false" customHeight="false" outlineLevel="0" collapsed="false">
      <c r="A28" s="11" t="s">
        <v>547</v>
      </c>
      <c r="B28" s="31" t="n">
        <f aca="false">IF('Y6 Results'!C21="","",'Y6 Results'!C21)</f>
        <v>1237</v>
      </c>
      <c r="C28" s="31" t="n">
        <f aca="false">IF('Y7 Results'!C21="","",'Y7 Results'!C21)</f>
        <v>1229</v>
      </c>
      <c r="D28" s="31" t="n">
        <f aca="false">IF('Y8 Results'!C21="","",'Y8 Results'!C21)</f>
        <v>1219</v>
      </c>
    </row>
    <row r="29" customFormat="false" ht="15" hidden="false" customHeight="false" outlineLevel="0" collapsed="false">
      <c r="A29" s="11" t="s">
        <v>548</v>
      </c>
      <c r="B29" s="12" t="n">
        <f aca="false">IF('Y6 Results'!B22="","",'Y6 Results'!B22)</f>
        <v>4</v>
      </c>
      <c r="C29" s="12" t="n">
        <f aca="false">IF('Y7 Results'!B22="","",'Y7 Results'!B22)</f>
        <v>4.2</v>
      </c>
      <c r="D29" s="12" t="n">
        <f aca="false">IF('Y8 Results'!B22="","",'Y8 Results'!B22)</f>
        <v>4.3</v>
      </c>
    </row>
    <row r="30" customFormat="false" ht="15" hidden="false" customHeight="false" outlineLevel="0" collapsed="false">
      <c r="A30" s="11" t="s">
        <v>549</v>
      </c>
      <c r="B30" s="12" t="n">
        <f aca="false">IF('Y6 Results'!C22="","",'Y6 Results'!C22)</f>
        <v>4.2</v>
      </c>
      <c r="C30" s="12" t="n">
        <f aca="false">IF('Y7 Results'!C22="","",'Y7 Results'!C22)</f>
        <v>4.4</v>
      </c>
      <c r="D30" s="12" t="n">
        <f aca="false">IF('Y8 Results'!C22="","",'Y8 Results'!C22)</f>
        <v>4.6</v>
      </c>
    </row>
    <row r="31" customFormat="false" ht="15" hidden="false" customHeight="false" outlineLevel="0" collapsed="false">
      <c r="A31" s="11" t="s">
        <v>550</v>
      </c>
      <c r="B31" s="38" t="n">
        <f aca="false">IF('Y6 Results'!B24="","",'Y6 Results'!B24)</f>
        <v>0.11</v>
      </c>
      <c r="C31" s="38" t="n">
        <f aca="false">IF('Y7 Results'!B24="","",'Y7 Results'!B24)</f>
        <v>0.125</v>
      </c>
      <c r="D31" s="38" t="n">
        <f aca="false">IF('Y8 Results'!B24="","",'Y8 Results'!B24)</f>
        <v>0.135</v>
      </c>
    </row>
    <row r="32" customFormat="false" ht="15" hidden="false" customHeight="false" outlineLevel="0" collapsed="false">
      <c r="A32" s="11" t="s">
        <v>551</v>
      </c>
      <c r="B32" s="38" t="n">
        <f aca="false">IF('Y6 Results'!C24="","",'Y6 Results'!C24)</f>
        <v>0.09</v>
      </c>
      <c r="C32" s="38" t="n">
        <f aca="false">IF('Y7 Results'!C24="","",'Y7 Results'!C24)</f>
        <v>0.105</v>
      </c>
      <c r="D32" s="38" t="n">
        <f aca="false">IF('Y8 Results'!C24="","",'Y8 Results'!C24)</f>
        <v>0.112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2026-10-06T20:49:04Z</dcterms:created>
  <dc:creator>openpyxl</dc:creator>
  <dc:description/>
  <dc:language>en-US</dc:language>
  <cp:lastModifiedBy/>
  <dcterms:modified xsi:type="dcterms:W3CDTF">2026-10-06T16:49:09Z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